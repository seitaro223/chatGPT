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13_ncr:1_{76349F4D-774E-448B-9835-5DE6675E8986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6" r:id="rId3"/>
    <sheet name="Cp_T_high" sheetId="7" r:id="rId4"/>
    <sheet name="tm" sheetId="3" r:id="rId5"/>
    <sheet name="Log" sheetId="9" r:id="rId6"/>
  </sheets>
  <functionGroups builtInGroupCount="19"/>
  <definedNames>
    <definedName name="L_tot">#REF!</definedName>
    <definedName name="solver_adj" localSheetId="4" hidden="1">tm!$AP$59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tm!$AY$59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9" i="3" l="1"/>
  <c r="C59" i="3" a="1"/>
  <c r="J59" i="3" a="1"/>
  <c r="K59" i="3" a="1"/>
  <c r="I59" i="3" a="1"/>
  <c r="D59" i="3" a="1"/>
  <c r="E59" i="3" a="1"/>
  <c r="G59" i="3" a="1"/>
  <c r="F59" i="3" a="1"/>
  <c r="L59" i="3" a="1"/>
  <c r="H59" i="3" a="1"/>
  <c r="C58" i="3" a="1"/>
  <c r="H59" i="3" l="1"/>
  <c r="L59" i="3"/>
  <c r="F59" i="3"/>
  <c r="G59" i="3"/>
  <c r="E59" i="3"/>
  <c r="D59" i="3"/>
  <c r="I59" i="3"/>
  <c r="W59" i="3" s="1"/>
  <c r="K59" i="3"/>
  <c r="J59" i="3"/>
  <c r="C59" i="3"/>
  <c r="C58" i="3"/>
  <c r="E58" i="3" a="1"/>
  <c r="D58" i="3" a="1"/>
  <c r="F58" i="3" a="1"/>
  <c r="D58" i="3" l="1"/>
  <c r="E58" i="3"/>
  <c r="AL59" i="3"/>
  <c r="U59" i="3"/>
  <c r="AZ59" i="3"/>
  <c r="BL59" i="3"/>
  <c r="AH59" i="3"/>
  <c r="AI59" i="3" s="1"/>
  <c r="AQ59" i="3"/>
  <c r="Z59" i="3"/>
  <c r="AA59" i="3" s="1"/>
  <c r="AB59" i="3"/>
  <c r="F58" i="3"/>
  <c r="Y58" i="3"/>
  <c r="AH58" i="3"/>
  <c r="AI58" i="3" s="1"/>
  <c r="G58" i="3" a="1"/>
  <c r="K58" i="3" a="1"/>
  <c r="H58" i="3" a="1"/>
  <c r="I58" i="3" a="1"/>
  <c r="L58" i="3" a="1"/>
  <c r="J58" i="3" a="1"/>
  <c r="AK59" i="3" a="1"/>
  <c r="J58" i="3" l="1"/>
  <c r="L58" i="3"/>
  <c r="I58" i="3"/>
  <c r="W58" i="3" s="1"/>
  <c r="H58" i="3"/>
  <c r="K58" i="3"/>
  <c r="AK59" i="3"/>
  <c r="G58" i="3"/>
  <c r="AO59" i="3"/>
  <c r="AR59" i="3" s="1"/>
  <c r="AS59" i="3" s="1"/>
  <c r="AW59" i="3"/>
  <c r="AX59" i="3"/>
  <c r="BA59" i="3"/>
  <c r="BB59" i="3" s="1"/>
  <c r="BP59" i="3"/>
  <c r="BK59" i="3" s="1"/>
  <c r="BO59" i="3" s="1"/>
  <c r="BN59" i="3"/>
  <c r="AD59" i="3"/>
  <c r="AJ59" i="3"/>
  <c r="AD58" i="3"/>
  <c r="Z58" i="3"/>
  <c r="AA58" i="3" s="1"/>
  <c r="AB58" i="3"/>
  <c r="AO58" i="3" s="1"/>
  <c r="AT59" i="3"/>
  <c r="AE59" i="3"/>
  <c r="AM59" i="3"/>
  <c r="AU59" i="3" l="1"/>
  <c r="AV59" i="3" s="1"/>
  <c r="AN59" i="3"/>
  <c r="AF59" i="3"/>
  <c r="AY59" i="3"/>
  <c r="BC59" i="3"/>
  <c r="BM59" i="3"/>
  <c r="BF59" i="3"/>
  <c r="BD59" i="3"/>
  <c r="U58" i="3"/>
  <c r="AL58" i="3"/>
  <c r="AJ58" i="3"/>
  <c r="AR58" i="3"/>
  <c r="AS58" i="3" s="1"/>
  <c r="AQ58" i="3"/>
  <c r="AW58" i="3"/>
  <c r="AX58" i="3" s="1"/>
  <c r="AZ58" i="3"/>
  <c r="BA58" i="3"/>
  <c r="BL58" i="3"/>
  <c r="BP58" i="3" s="1"/>
  <c r="BK58" i="3" s="1"/>
  <c r="BO58" i="3" s="1"/>
  <c r="AT58" i="3"/>
  <c r="C57" i="3" a="1"/>
  <c r="AK58" i="3" a="1"/>
  <c r="AK58" i="3" l="1"/>
  <c r="AU58" i="3"/>
  <c r="AV58" i="3" s="1"/>
  <c r="AY58" i="3" s="1"/>
  <c r="BB58" i="3"/>
  <c r="BD58" i="3" s="1"/>
  <c r="BN58" i="3"/>
  <c r="C57" i="3"/>
  <c r="D57" i="3" a="1"/>
  <c r="AE58" i="3"/>
  <c r="AM58" i="3"/>
  <c r="AN58" i="3" l="1"/>
  <c r="AF58" i="3"/>
  <c r="BM58" i="3"/>
  <c r="BF58" i="3"/>
  <c r="BC58" i="3"/>
  <c r="D57" i="3"/>
  <c r="E57" i="3" a="1"/>
  <c r="F57" i="3" a="1"/>
  <c r="E57" i="3" l="1"/>
  <c r="F57" i="3"/>
  <c r="Y57" i="3"/>
  <c r="AH57" i="3"/>
  <c r="AI57" i="3" s="1"/>
  <c r="L57" i="3" a="1"/>
  <c r="G57" i="3" a="1"/>
  <c r="H57" i="3" a="1"/>
  <c r="I57" i="3" a="1"/>
  <c r="J57" i="3" a="1"/>
  <c r="K57" i="3" a="1"/>
  <c r="K57" i="3" l="1"/>
  <c r="J57" i="3"/>
  <c r="I57" i="3"/>
  <c r="W57" i="3" s="1"/>
  <c r="H57" i="3"/>
  <c r="G57" i="3"/>
  <c r="L57" i="3"/>
  <c r="AB57" i="3" s="1"/>
  <c r="AO57" i="3" s="1"/>
  <c r="AR57" i="3" s="1"/>
  <c r="AS57" i="3" s="1"/>
  <c r="AD57" i="3"/>
  <c r="Z57" i="3"/>
  <c r="AA57" i="3" s="1"/>
  <c r="AJ57" i="3"/>
  <c r="AW57" i="3"/>
  <c r="AZ57" i="3"/>
  <c r="BL57" i="3"/>
  <c r="BP57" i="3" s="1"/>
  <c r="BK57" i="3" s="1"/>
  <c r="BO57" i="3" s="1"/>
  <c r="AT57" i="3"/>
  <c r="C56" i="3" a="1"/>
  <c r="AU57" i="3" l="1"/>
  <c r="AV57" i="3" s="1"/>
  <c r="AQ57" i="3"/>
  <c r="BA57" i="3" s="1"/>
  <c r="BB57" i="3" s="1"/>
  <c r="BM57" i="3" s="1"/>
  <c r="U57" i="3"/>
  <c r="AL57" i="3"/>
  <c r="BN57" i="3"/>
  <c r="C56" i="3"/>
  <c r="D56" i="3" a="1"/>
  <c r="AK57" i="3" a="1"/>
  <c r="AK57" i="3" l="1"/>
  <c r="AX57" i="3"/>
  <c r="AY57" i="3" s="1"/>
  <c r="BC57" i="3"/>
  <c r="BD57" i="3"/>
  <c r="BF57" i="3"/>
  <c r="D56" i="3"/>
  <c r="E56" i="3" a="1"/>
  <c r="F56" i="3" a="1"/>
  <c r="AE57" i="3"/>
  <c r="AM57" i="3"/>
  <c r="E56" i="3" l="1"/>
  <c r="AN57" i="3"/>
  <c r="AF57" i="3"/>
  <c r="F56" i="3"/>
  <c r="Y56" i="3"/>
  <c r="AH56" i="3"/>
  <c r="AI56" i="3" s="1"/>
  <c r="K56" i="3" a="1"/>
  <c r="L56" i="3" a="1"/>
  <c r="G56" i="3" a="1"/>
  <c r="J56" i="3" a="1"/>
  <c r="H56" i="3" a="1"/>
  <c r="I56" i="3" a="1"/>
  <c r="I56" i="3" l="1"/>
  <c r="W56" i="3" s="1"/>
  <c r="H56" i="3"/>
  <c r="J56" i="3"/>
  <c r="G56" i="3"/>
  <c r="L56" i="3"/>
  <c r="AB56" i="3" s="1"/>
  <c r="AO56" i="3" s="1"/>
  <c r="AR56" i="3" s="1"/>
  <c r="AS56" i="3" s="1"/>
  <c r="K56" i="3"/>
  <c r="AD56" i="3"/>
  <c r="Z56" i="3"/>
  <c r="AA56" i="3" s="1"/>
  <c r="AJ56" i="3"/>
  <c r="AQ56" i="3"/>
  <c r="BA56" i="3" s="1"/>
  <c r="AW56" i="3"/>
  <c r="AX56" i="3" s="1"/>
  <c r="AZ56" i="3"/>
  <c r="BL56" i="3"/>
  <c r="BP56" i="3" s="1"/>
  <c r="BK56" i="3" s="1"/>
  <c r="BO56" i="3" s="1"/>
  <c r="C55" i="3" a="1"/>
  <c r="AT56" i="3"/>
  <c r="AU56" i="3" l="1"/>
  <c r="AV56" i="3" s="1"/>
  <c r="AY56" i="3"/>
  <c r="U56" i="3"/>
  <c r="AL56" i="3"/>
  <c r="BB56" i="3"/>
  <c r="BM56" i="3" s="1"/>
  <c r="BN56" i="3"/>
  <c r="C55" i="3"/>
  <c r="D55" i="3" a="1"/>
  <c r="AK56" i="3" a="1"/>
  <c r="AK56" i="3" l="1"/>
  <c r="BD56" i="3"/>
  <c r="BF56" i="3"/>
  <c r="BC56" i="3"/>
  <c r="D55" i="3"/>
  <c r="E55" i="3" a="1"/>
  <c r="F55" i="3" a="1"/>
  <c r="AE56" i="3"/>
  <c r="AM56" i="3"/>
  <c r="E55" i="3" l="1"/>
  <c r="AN56" i="3"/>
  <c r="AF56" i="3"/>
  <c r="F55" i="3"/>
  <c r="Y55" i="3"/>
  <c r="AH55" i="3"/>
  <c r="AI55" i="3" s="1"/>
  <c r="K55" i="3" a="1"/>
  <c r="L55" i="3" a="1"/>
  <c r="G55" i="3" a="1"/>
  <c r="I55" i="3" a="1"/>
  <c r="H55" i="3" a="1"/>
  <c r="J55" i="3" a="1"/>
  <c r="J55" i="3" l="1"/>
  <c r="H55" i="3"/>
  <c r="I55" i="3"/>
  <c r="W55" i="3" s="1"/>
  <c r="G55" i="3"/>
  <c r="L55" i="3"/>
  <c r="AB55" i="3" s="1"/>
  <c r="AO55" i="3" s="1"/>
  <c r="AR55" i="3" s="1"/>
  <c r="AS55" i="3" s="1"/>
  <c r="K55" i="3"/>
  <c r="AD55" i="3"/>
  <c r="Z55" i="3"/>
  <c r="AA55" i="3" s="1"/>
  <c r="AJ55" i="3"/>
  <c r="AQ55" i="3"/>
  <c r="BA55" i="3" s="1"/>
  <c r="AW55" i="3"/>
  <c r="AX55" i="3" s="1"/>
  <c r="AZ55" i="3"/>
  <c r="BL55" i="3"/>
  <c r="BP55" i="3" s="1"/>
  <c r="BK55" i="3" s="1"/>
  <c r="BO55" i="3" s="1"/>
  <c r="AT55" i="3"/>
  <c r="C54" i="3" a="1"/>
  <c r="AU55" i="3" l="1"/>
  <c r="AV55" i="3" s="1"/>
  <c r="AY55" i="3" s="1"/>
  <c r="U55" i="3"/>
  <c r="AL55" i="3"/>
  <c r="BB55" i="3"/>
  <c r="BM55" i="3" s="1"/>
  <c r="BN55" i="3"/>
  <c r="C54" i="3"/>
  <c r="D54" i="3" a="1"/>
  <c r="AK55" i="3" a="1"/>
  <c r="AK55" i="3" l="1"/>
  <c r="BF55" i="3"/>
  <c r="BD55" i="3"/>
  <c r="BC55" i="3"/>
  <c r="D54" i="3"/>
  <c r="E54" i="3" a="1"/>
  <c r="F54" i="3" a="1"/>
  <c r="AE55" i="3"/>
  <c r="AM55" i="3"/>
  <c r="E54" i="3" l="1"/>
  <c r="AN55" i="3"/>
  <c r="AF55" i="3"/>
  <c r="F54" i="3"/>
  <c r="Y54" i="3"/>
  <c r="AH54" i="3"/>
  <c r="AI54" i="3" s="1"/>
  <c r="K54" i="3" a="1"/>
  <c r="G54" i="3" a="1"/>
  <c r="H54" i="3" a="1"/>
  <c r="L54" i="3" a="1"/>
  <c r="I54" i="3" a="1"/>
  <c r="J54" i="3" a="1"/>
  <c r="J54" i="3" l="1"/>
  <c r="I54" i="3"/>
  <c r="W54" i="3" s="1"/>
  <c r="L54" i="3"/>
  <c r="H54" i="3"/>
  <c r="G54" i="3"/>
  <c r="K54" i="3"/>
  <c r="AD54" i="3"/>
  <c r="Z54" i="3"/>
  <c r="AA54" i="3" s="1"/>
  <c r="AB54" i="3"/>
  <c r="AO54" i="3" s="1"/>
  <c r="U54" i="3" l="1"/>
  <c r="AL54" i="3"/>
  <c r="AJ54" i="3"/>
  <c r="AR54" i="3"/>
  <c r="AS54" i="3" s="1"/>
  <c r="AQ54" i="3"/>
  <c r="BA54" i="3" s="1"/>
  <c r="AW54" i="3"/>
  <c r="AZ54" i="3"/>
  <c r="BL54" i="3"/>
  <c r="BP54" i="3" s="1"/>
  <c r="BK54" i="3" s="1"/>
  <c r="BO54" i="3" s="1"/>
  <c r="C53" i="3" a="1"/>
  <c r="AT54" i="3"/>
  <c r="AK54" i="3" a="1"/>
  <c r="AX54" i="3" l="1"/>
  <c r="AU54" i="3"/>
  <c r="AV54" i="3" s="1"/>
  <c r="AK54" i="3"/>
  <c r="BB54" i="3"/>
  <c r="BF54" i="3" s="1"/>
  <c r="AY54" i="3"/>
  <c r="BN54" i="3"/>
  <c r="C53" i="3"/>
  <c r="D53" i="3" a="1"/>
  <c r="AE54" i="3"/>
  <c r="AM54" i="3"/>
  <c r="AN54" i="3" l="1"/>
  <c r="AF54" i="3"/>
  <c r="BD54" i="3"/>
  <c r="BC54" i="3"/>
  <c r="BM54" i="3"/>
  <c r="D53" i="3"/>
  <c r="F53" i="3" a="1"/>
  <c r="E53" i="3" a="1"/>
  <c r="E53" i="3" l="1"/>
  <c r="F53" i="3"/>
  <c r="Y53" i="3"/>
  <c r="AH53" i="3"/>
  <c r="AI53" i="3" s="1"/>
  <c r="L53" i="3" a="1"/>
  <c r="H53" i="3" a="1"/>
  <c r="I53" i="3" a="1"/>
  <c r="J53" i="3" a="1"/>
  <c r="G53" i="3" a="1"/>
  <c r="K53" i="3" a="1"/>
  <c r="K53" i="3" l="1"/>
  <c r="G53" i="3"/>
  <c r="J53" i="3"/>
  <c r="I53" i="3"/>
  <c r="W53" i="3" s="1"/>
  <c r="H53" i="3"/>
  <c r="L53" i="3"/>
  <c r="AB53" i="3" s="1"/>
  <c r="AO53" i="3" s="1"/>
  <c r="AR53" i="3" s="1"/>
  <c r="AS53" i="3" s="1"/>
  <c r="AD53" i="3"/>
  <c r="AJ53" i="3"/>
  <c r="AW53" i="3"/>
  <c r="AZ53" i="3"/>
  <c r="BL53" i="3"/>
  <c r="BP53" i="3" s="1"/>
  <c r="BK53" i="3" s="1"/>
  <c r="BO53" i="3" s="1"/>
  <c r="C52" i="3" a="1"/>
  <c r="AT53" i="3"/>
  <c r="AU53" i="3" l="1"/>
  <c r="AV53" i="3" s="1"/>
  <c r="AQ53" i="3"/>
  <c r="BA53" i="3" s="1"/>
  <c r="Z53" i="3"/>
  <c r="AA53" i="3" s="1"/>
  <c r="U53" i="3"/>
  <c r="AL53" i="3"/>
  <c r="BB53" i="3"/>
  <c r="BM53" i="3" s="1"/>
  <c r="BN53" i="3"/>
  <c r="C52" i="3"/>
  <c r="D52" i="3" a="1"/>
  <c r="AK53" i="3" a="1"/>
  <c r="AK53" i="3" l="1"/>
  <c r="AX53" i="3"/>
  <c r="AY53" i="3" s="1"/>
  <c r="BC53" i="3"/>
  <c r="BD53" i="3"/>
  <c r="BF53" i="3"/>
  <c r="D52" i="3"/>
  <c r="F52" i="3" a="1"/>
  <c r="E52" i="3" a="1"/>
  <c r="AE53" i="3"/>
  <c r="AM53" i="3"/>
  <c r="E52" i="3" l="1"/>
  <c r="AN53" i="3"/>
  <c r="AF53" i="3"/>
  <c r="F52" i="3"/>
  <c r="Y52" i="3"/>
  <c r="AH52" i="3"/>
  <c r="AI52" i="3" s="1"/>
  <c r="K52" i="3" a="1"/>
  <c r="G52" i="3" a="1"/>
  <c r="L52" i="3" a="1"/>
  <c r="H52" i="3" a="1"/>
  <c r="I52" i="3" a="1"/>
  <c r="J52" i="3" a="1"/>
  <c r="J52" i="3" l="1"/>
  <c r="I52" i="3"/>
  <c r="W52" i="3" s="1"/>
  <c r="H52" i="3"/>
  <c r="L52" i="3"/>
  <c r="AB52" i="3" s="1"/>
  <c r="AO52" i="3" s="1"/>
  <c r="AR52" i="3" s="1"/>
  <c r="AS52" i="3" s="1"/>
  <c r="G52" i="3"/>
  <c r="K52" i="3"/>
  <c r="AD52" i="3"/>
  <c r="Z52" i="3"/>
  <c r="AA52" i="3" s="1"/>
  <c r="AJ52" i="3"/>
  <c r="AQ52" i="3"/>
  <c r="BA52" i="3" s="1"/>
  <c r="AW52" i="3"/>
  <c r="AX52" i="3" s="1"/>
  <c r="AZ52" i="3"/>
  <c r="BL52" i="3"/>
  <c r="BP52" i="3" s="1"/>
  <c r="BK52" i="3" s="1"/>
  <c r="BO52" i="3" s="1"/>
  <c r="C51" i="3" a="1"/>
  <c r="AT52" i="3"/>
  <c r="AU52" i="3" l="1"/>
  <c r="AV52" i="3" s="1"/>
  <c r="U52" i="3"/>
  <c r="AL52" i="3"/>
  <c r="BB52" i="3"/>
  <c r="BM52" i="3" s="1"/>
  <c r="AY52" i="3"/>
  <c r="BN52" i="3"/>
  <c r="C51" i="3"/>
  <c r="D51" i="3" a="1"/>
  <c r="AK52" i="3" a="1"/>
  <c r="AK52" i="3" l="1"/>
  <c r="BC52" i="3"/>
  <c r="BF52" i="3"/>
  <c r="BD52" i="3"/>
  <c r="D51" i="3"/>
  <c r="E51" i="3" a="1"/>
  <c r="F51" i="3" a="1"/>
  <c r="AE52" i="3"/>
  <c r="AM52" i="3"/>
  <c r="E51" i="3" l="1"/>
  <c r="AN52" i="3"/>
  <c r="AF52" i="3"/>
  <c r="F51" i="3"/>
  <c r="Y51" i="3"/>
  <c r="AH51" i="3"/>
  <c r="AI51" i="3" s="1"/>
  <c r="K51" i="3" a="1"/>
  <c r="G51" i="3" a="1"/>
  <c r="I51" i="3" a="1"/>
  <c r="L51" i="3" a="1"/>
  <c r="H51" i="3" a="1"/>
  <c r="J51" i="3" a="1"/>
  <c r="J51" i="3" l="1"/>
  <c r="H51" i="3"/>
  <c r="L51" i="3"/>
  <c r="AB51" i="3" s="1"/>
  <c r="AO51" i="3" s="1"/>
  <c r="AR51" i="3" s="1"/>
  <c r="AS51" i="3" s="1"/>
  <c r="I51" i="3"/>
  <c r="W51" i="3" s="1"/>
  <c r="G51" i="3"/>
  <c r="K51" i="3"/>
  <c r="AD51" i="3"/>
  <c r="Z51" i="3"/>
  <c r="AA51" i="3" s="1"/>
  <c r="AJ51" i="3"/>
  <c r="AQ51" i="3"/>
  <c r="AW51" i="3"/>
  <c r="AX51" i="3" s="1"/>
  <c r="AZ51" i="3"/>
  <c r="BA51" i="3"/>
  <c r="BL51" i="3"/>
  <c r="BP51" i="3" s="1"/>
  <c r="BK51" i="3" s="1"/>
  <c r="BO51" i="3" s="1"/>
  <c r="C50" i="3" a="1"/>
  <c r="AT51" i="3"/>
  <c r="AU51" i="3" l="1"/>
  <c r="AV51" i="3" s="1"/>
  <c r="AL51" i="3"/>
  <c r="U51" i="3"/>
  <c r="AY51" i="3"/>
  <c r="BB51" i="3"/>
  <c r="BD51" i="3" s="1"/>
  <c r="BN51" i="3"/>
  <c r="C50" i="3"/>
  <c r="D50" i="3" a="1"/>
  <c r="AK51" i="3" a="1"/>
  <c r="AK51" i="3" l="1"/>
  <c r="BC51" i="3"/>
  <c r="BF51" i="3"/>
  <c r="BM51" i="3"/>
  <c r="D50" i="3"/>
  <c r="Y50" i="3"/>
  <c r="I50" i="3" a="1"/>
  <c r="J50" i="3" a="1"/>
  <c r="E50" i="3" a="1"/>
  <c r="F50" i="3" a="1"/>
  <c r="G50" i="3" a="1"/>
  <c r="K50" i="3" a="1"/>
  <c r="H50" i="3" a="1"/>
  <c r="L50" i="3" a="1"/>
  <c r="AE51" i="3"/>
  <c r="AM51" i="3"/>
  <c r="L50" i="3" l="1"/>
  <c r="Z50" i="3" s="1"/>
  <c r="AA50" i="3" s="1"/>
  <c r="H50" i="3"/>
  <c r="K50" i="3"/>
  <c r="G50" i="3"/>
  <c r="F50" i="3"/>
  <c r="E50" i="3"/>
  <c r="J50" i="3"/>
  <c r="I50" i="3"/>
  <c r="W50" i="3" s="1"/>
  <c r="AN51" i="3"/>
  <c r="AF51" i="3"/>
  <c r="AZ50" i="3"/>
  <c r="BL50" i="3"/>
  <c r="BP50" i="3" s="1"/>
  <c r="BK50" i="3" s="1"/>
  <c r="BO50" i="3" s="1"/>
  <c r="C49" i="3" a="1"/>
  <c r="AH50" i="3" l="1"/>
  <c r="AI50" i="3" s="1"/>
  <c r="AQ50" i="3"/>
  <c r="BA50" i="3" s="1"/>
  <c r="AL50" i="3"/>
  <c r="U50" i="3"/>
  <c r="AB50" i="3"/>
  <c r="BN50" i="3"/>
  <c r="C49" i="3"/>
  <c r="D49" i="3" a="1"/>
  <c r="AK50" i="3" a="1"/>
  <c r="AK50" i="3" l="1"/>
  <c r="AO50" i="3"/>
  <c r="AW50" i="3"/>
  <c r="AX50" i="3" s="1"/>
  <c r="AD50" i="3"/>
  <c r="AJ50" i="3"/>
  <c r="D49" i="3"/>
  <c r="F49" i="3" a="1"/>
  <c r="E49" i="3" a="1"/>
  <c r="AE50" i="3"/>
  <c r="AM50" i="3"/>
  <c r="E49" i="3" l="1"/>
  <c r="AN50" i="3"/>
  <c r="AF50" i="3"/>
  <c r="AR50" i="3"/>
  <c r="AS50" i="3" s="1"/>
  <c r="BB50" i="3"/>
  <c r="F49" i="3"/>
  <c r="Y49" i="3"/>
  <c r="AH49" i="3"/>
  <c r="AI49" i="3" s="1"/>
  <c r="J49" i="3" a="1"/>
  <c r="L49" i="3" a="1"/>
  <c r="G49" i="3" a="1"/>
  <c r="AT50" i="3"/>
  <c r="H49" i="3" a="1"/>
  <c r="K49" i="3" a="1"/>
  <c r="I49" i="3" a="1"/>
  <c r="I49" i="3" l="1"/>
  <c r="W49" i="3" s="1"/>
  <c r="K49" i="3"/>
  <c r="H49" i="3"/>
  <c r="AU50" i="3"/>
  <c r="AV50" i="3" s="1"/>
  <c r="AY50" i="3" s="1"/>
  <c r="G49" i="3"/>
  <c r="L49" i="3"/>
  <c r="J49" i="3"/>
  <c r="BM50" i="3"/>
  <c r="BD50" i="3"/>
  <c r="BF50" i="3"/>
  <c r="BC50" i="3"/>
  <c r="AD49" i="3" l="1"/>
  <c r="Z49" i="3"/>
  <c r="AA49" i="3" s="1"/>
  <c r="AB49" i="3"/>
  <c r="AO49" i="3" s="1"/>
  <c r="U49" i="3"/>
  <c r="AL49" i="3"/>
  <c r="AJ49" i="3"/>
  <c r="AR49" i="3"/>
  <c r="AS49" i="3" s="1"/>
  <c r="AQ49" i="3"/>
  <c r="BA49" i="3" s="1"/>
  <c r="AW49" i="3"/>
  <c r="AX49" i="3" s="1"/>
  <c r="AZ49" i="3"/>
  <c r="BL49" i="3"/>
  <c r="BP49" i="3" s="1"/>
  <c r="BK49" i="3" s="1"/>
  <c r="BO49" i="3" s="1"/>
  <c r="C48" i="3" a="1"/>
  <c r="AT49" i="3"/>
  <c r="AK49" i="3" a="1"/>
  <c r="AU49" i="3" l="1"/>
  <c r="AV49" i="3" s="1"/>
  <c r="AK49" i="3"/>
  <c r="BB49" i="3"/>
  <c r="BM49" i="3" s="1"/>
  <c r="AY49" i="3"/>
  <c r="BN49" i="3"/>
  <c r="C48" i="3"/>
  <c r="D48" i="3" a="1"/>
  <c r="AE49" i="3"/>
  <c r="AM49" i="3"/>
  <c r="AF49" i="3" l="1"/>
  <c r="AN49" i="3"/>
  <c r="BC49" i="3"/>
  <c r="BD49" i="3"/>
  <c r="BF49" i="3"/>
  <c r="D48" i="3"/>
  <c r="F48" i="3" a="1"/>
  <c r="E48" i="3" a="1"/>
  <c r="E48" i="3" l="1"/>
  <c r="F48" i="3"/>
  <c r="Y48" i="3"/>
  <c r="AH48" i="3"/>
  <c r="AI48" i="3" s="1"/>
  <c r="L48" i="3" a="1"/>
  <c r="J48" i="3" a="1"/>
  <c r="K48" i="3" a="1"/>
  <c r="G48" i="3" a="1"/>
  <c r="I48" i="3" a="1"/>
  <c r="H48" i="3" a="1"/>
  <c r="H48" i="3" l="1"/>
  <c r="I48" i="3"/>
  <c r="W48" i="3" s="1"/>
  <c r="G48" i="3"/>
  <c r="K48" i="3"/>
  <c r="J48" i="3"/>
  <c r="L48" i="3"/>
  <c r="AQ48" i="3" s="1"/>
  <c r="BA48" i="3" s="1"/>
  <c r="AD48" i="3"/>
  <c r="Z48" i="3"/>
  <c r="AA48" i="3" s="1"/>
  <c r="AB48" i="3"/>
  <c r="AO48" i="3" s="1"/>
  <c r="AR48" i="3" s="1"/>
  <c r="AS48" i="3" s="1"/>
  <c r="AZ48" i="3"/>
  <c r="BL48" i="3"/>
  <c r="BP48" i="3" s="1"/>
  <c r="BK48" i="3" s="1"/>
  <c r="BO48" i="3" s="1"/>
  <c r="AT48" i="3"/>
  <c r="C47" i="3" a="1"/>
  <c r="AU48" i="3" l="1"/>
  <c r="AV48" i="3" s="1"/>
  <c r="AW48" i="3"/>
  <c r="AX48" i="3" s="1"/>
  <c r="U48" i="3"/>
  <c r="AL48" i="3"/>
  <c r="AJ48" i="3"/>
  <c r="AY48" i="3"/>
  <c r="BB48" i="3"/>
  <c r="BM48" i="3" s="1"/>
  <c r="BN48" i="3"/>
  <c r="C47" i="3"/>
  <c r="D47" i="3" a="1"/>
  <c r="AK48" i="3" a="1"/>
  <c r="AK48" i="3" l="1"/>
  <c r="BD48" i="3"/>
  <c r="BC48" i="3"/>
  <c r="BF48" i="3"/>
  <c r="D47" i="3"/>
  <c r="F47" i="3" a="1"/>
  <c r="E47" i="3" a="1"/>
  <c r="AM48" i="3"/>
  <c r="AE48" i="3"/>
  <c r="E47" i="3" l="1"/>
  <c r="AF48" i="3"/>
  <c r="AN48" i="3"/>
  <c r="F47" i="3"/>
  <c r="Y47" i="3"/>
  <c r="AH47" i="3"/>
  <c r="AI47" i="3" s="1"/>
  <c r="K47" i="3" a="1"/>
  <c r="G47" i="3" a="1"/>
  <c r="H47" i="3" a="1"/>
  <c r="L47" i="3" a="1"/>
  <c r="I47" i="3" a="1"/>
  <c r="J47" i="3" a="1"/>
  <c r="J47" i="3" l="1"/>
  <c r="I47" i="3"/>
  <c r="W47" i="3" s="1"/>
  <c r="L47" i="3"/>
  <c r="AB47" i="3" s="1"/>
  <c r="AO47" i="3" s="1"/>
  <c r="AR47" i="3" s="1"/>
  <c r="AS47" i="3" s="1"/>
  <c r="H47" i="3"/>
  <c r="G47" i="3"/>
  <c r="K47" i="3"/>
  <c r="AD47" i="3"/>
  <c r="Z47" i="3"/>
  <c r="AA47" i="3" s="1"/>
  <c r="AJ47" i="3"/>
  <c r="AQ47" i="3"/>
  <c r="BA47" i="3" s="1"/>
  <c r="AW47" i="3"/>
  <c r="AZ47" i="3"/>
  <c r="BL47" i="3"/>
  <c r="BN47" i="3" s="1"/>
  <c r="AT47" i="3"/>
  <c r="C46" i="3" a="1"/>
  <c r="AX47" i="3" l="1"/>
  <c r="AY47" i="3" s="1"/>
  <c r="AU47" i="3"/>
  <c r="AV47" i="3" s="1"/>
  <c r="U47" i="3"/>
  <c r="AL47" i="3"/>
  <c r="BB47" i="3"/>
  <c r="BM47" i="3" s="1"/>
  <c r="BP47" i="3"/>
  <c r="BK47" i="3" s="1"/>
  <c r="BO47" i="3" s="1"/>
  <c r="C46" i="3"/>
  <c r="D46" i="3" a="1"/>
  <c r="AK47" i="3" a="1"/>
  <c r="AK47" i="3" l="1"/>
  <c r="BF47" i="3"/>
  <c r="BC47" i="3"/>
  <c r="BD47" i="3"/>
  <c r="D46" i="3"/>
  <c r="E46" i="3" a="1"/>
  <c r="F46" i="3" a="1"/>
  <c r="AE47" i="3"/>
  <c r="AM47" i="3"/>
  <c r="E46" i="3" l="1"/>
  <c r="AN47" i="3"/>
  <c r="AF47" i="3"/>
  <c r="F46" i="3"/>
  <c r="Y46" i="3"/>
  <c r="AH46" i="3"/>
  <c r="AI46" i="3" s="1"/>
  <c r="K46" i="3" a="1"/>
  <c r="G46" i="3" a="1"/>
  <c r="H46" i="3" a="1"/>
  <c r="J46" i="3" a="1"/>
  <c r="L46" i="3" a="1"/>
  <c r="I46" i="3" a="1"/>
  <c r="I46" i="3" l="1"/>
  <c r="W46" i="3" s="1"/>
  <c r="L46" i="3"/>
  <c r="J46" i="3"/>
  <c r="H46" i="3"/>
  <c r="G46" i="3"/>
  <c r="K46" i="3"/>
  <c r="AD46" i="3"/>
  <c r="Z46" i="3"/>
  <c r="AA46" i="3" s="1"/>
  <c r="AB46" i="3"/>
  <c r="AO46" i="3" s="1"/>
  <c r="AR46" i="3" s="1"/>
  <c r="AS46" i="3" s="1"/>
  <c r="AJ46" i="3"/>
  <c r="AQ46" i="3"/>
  <c r="BA46" i="3" s="1"/>
  <c r="AZ46" i="3"/>
  <c r="BL46" i="3"/>
  <c r="BP46" i="3" s="1"/>
  <c r="BK46" i="3" s="1"/>
  <c r="BO46" i="3" s="1"/>
  <c r="C45" i="3" a="1"/>
  <c r="AT46" i="3"/>
  <c r="AU46" i="3" l="1"/>
  <c r="AV46" i="3" s="1"/>
  <c r="AW46" i="3"/>
  <c r="AX46" i="3" s="1"/>
  <c r="AL46" i="3"/>
  <c r="U46" i="3"/>
  <c r="AY46" i="3"/>
  <c r="BB46" i="3"/>
  <c r="BC46" i="3" s="1"/>
  <c r="BN46" i="3"/>
  <c r="C45" i="3"/>
  <c r="D45" i="3" a="1"/>
  <c r="AK46" i="3" a="1"/>
  <c r="AK46" i="3" l="1"/>
  <c r="BF46" i="3"/>
  <c r="BD46" i="3"/>
  <c r="BM46" i="3"/>
  <c r="D45" i="3"/>
  <c r="E45" i="3" a="1"/>
  <c r="F45" i="3" a="1"/>
  <c r="AE46" i="3"/>
  <c r="AM46" i="3"/>
  <c r="E45" i="3" l="1"/>
  <c r="AH45" i="3" s="1"/>
  <c r="AI45" i="3" s="1"/>
  <c r="AN46" i="3"/>
  <c r="AF46" i="3"/>
  <c r="F45" i="3"/>
  <c r="Y45" i="3"/>
  <c r="K45" i="3" a="1"/>
  <c r="G45" i="3" a="1"/>
  <c r="I45" i="3" a="1"/>
  <c r="J45" i="3" a="1"/>
  <c r="L45" i="3" a="1"/>
  <c r="H45" i="3" a="1"/>
  <c r="H45" i="3" l="1"/>
  <c r="L45" i="3"/>
  <c r="AB45" i="3" s="1"/>
  <c r="AO45" i="3" s="1"/>
  <c r="AR45" i="3" s="1"/>
  <c r="J45" i="3"/>
  <c r="I45" i="3"/>
  <c r="W45" i="3" s="1"/>
  <c r="G45" i="3"/>
  <c r="K45" i="3"/>
  <c r="AD45" i="3"/>
  <c r="Z45" i="3"/>
  <c r="AA45" i="3" s="1"/>
  <c r="AJ45" i="3"/>
  <c r="AQ45" i="3"/>
  <c r="AW45" i="3"/>
  <c r="AX45" i="3" s="1"/>
  <c r="AZ45" i="3"/>
  <c r="BA45" i="3"/>
  <c r="BL45" i="3"/>
  <c r="BP45" i="3" s="1"/>
  <c r="BK45" i="3" s="1"/>
  <c r="BO45" i="3" s="1"/>
  <c r="C44" i="3" a="1"/>
  <c r="AS45" i="3" l="1"/>
  <c r="AL45" i="3"/>
  <c r="U45" i="3"/>
  <c r="BB45" i="3"/>
  <c r="BM45" i="3" s="1"/>
  <c r="BN45" i="3"/>
  <c r="C44" i="3"/>
  <c r="AT45" i="3"/>
  <c r="D44" i="3" a="1"/>
  <c r="AK45" i="3" a="1"/>
  <c r="AU45" i="3" l="1"/>
  <c r="AV45" i="3" s="1"/>
  <c r="AY45" i="3" s="1"/>
  <c r="AK45" i="3"/>
  <c r="BC45" i="3"/>
  <c r="BD45" i="3"/>
  <c r="BF45" i="3"/>
  <c r="D44" i="3"/>
  <c r="F44" i="3" a="1"/>
  <c r="E44" i="3" a="1"/>
  <c r="AE45" i="3"/>
  <c r="AM45" i="3"/>
  <c r="E44" i="3" l="1"/>
  <c r="AH44" i="3" s="1"/>
  <c r="AI44" i="3" s="1"/>
  <c r="AN45" i="3"/>
  <c r="AF45" i="3"/>
  <c r="F44" i="3"/>
  <c r="Y44" i="3"/>
  <c r="K44" i="3" a="1"/>
  <c r="G44" i="3" a="1"/>
  <c r="H44" i="3" a="1"/>
  <c r="L44" i="3" a="1"/>
  <c r="J44" i="3" a="1"/>
  <c r="I44" i="3" a="1"/>
  <c r="I44" i="3" l="1"/>
  <c r="W44" i="3" s="1"/>
  <c r="Z44" i="3" s="1"/>
  <c r="AA44" i="3" s="1"/>
  <c r="J44" i="3"/>
  <c r="L44" i="3"/>
  <c r="AB44" i="3" s="1"/>
  <c r="AO44" i="3" s="1"/>
  <c r="AR44" i="3" s="1"/>
  <c r="H44" i="3"/>
  <c r="G44" i="3"/>
  <c r="K44" i="3"/>
  <c r="AQ44" i="3"/>
  <c r="AW44" i="3"/>
  <c r="AX44" i="3" s="1"/>
  <c r="AZ44" i="3"/>
  <c r="BA44" i="3"/>
  <c r="BL44" i="3"/>
  <c r="BP44" i="3" s="1"/>
  <c r="BK44" i="3" s="1"/>
  <c r="BO44" i="3" s="1"/>
  <c r="C43" i="3" a="1"/>
  <c r="AJ44" i="3" l="1"/>
  <c r="AS44" i="3"/>
  <c r="AD44" i="3"/>
  <c r="U44" i="3"/>
  <c r="AL44" i="3"/>
  <c r="BB44" i="3"/>
  <c r="BD44" i="3" s="1"/>
  <c r="BN44" i="3"/>
  <c r="C43" i="3"/>
  <c r="AT44" i="3"/>
  <c r="D43" i="3" a="1"/>
  <c r="AK44" i="3" a="1"/>
  <c r="AU44" i="3" l="1"/>
  <c r="AV44" i="3" s="1"/>
  <c r="AY44" i="3" s="1"/>
  <c r="AK44" i="3"/>
  <c r="BM44" i="3"/>
  <c r="BC44" i="3"/>
  <c r="BF44" i="3"/>
  <c r="D43" i="3"/>
  <c r="F43" i="3" a="1"/>
  <c r="E43" i="3" a="1"/>
  <c r="AE44" i="3"/>
  <c r="AM44" i="3"/>
  <c r="E43" i="3" l="1"/>
  <c r="AN44" i="3"/>
  <c r="AF44" i="3"/>
  <c r="F43" i="3"/>
  <c r="Y43" i="3"/>
  <c r="AH43" i="3"/>
  <c r="AI43" i="3" s="1"/>
  <c r="K43" i="3" a="1"/>
  <c r="G43" i="3" a="1"/>
  <c r="H43" i="3" a="1"/>
  <c r="I43" i="3" a="1"/>
  <c r="L43" i="3" a="1"/>
  <c r="J43" i="3" a="1"/>
  <c r="J43" i="3" l="1"/>
  <c r="L43" i="3"/>
  <c r="AB43" i="3" s="1"/>
  <c r="AO43" i="3" s="1"/>
  <c r="I43" i="3"/>
  <c r="W43" i="3" s="1"/>
  <c r="H43" i="3"/>
  <c r="G43" i="3"/>
  <c r="AZ43" i="3" s="1"/>
  <c r="K43" i="3"/>
  <c r="AD43" i="3"/>
  <c r="Z43" i="3"/>
  <c r="AA43" i="3" s="1"/>
  <c r="AJ43" i="3"/>
  <c r="AQ43" i="3"/>
  <c r="BA43" i="3" s="1"/>
  <c r="AR43" i="3"/>
  <c r="AS43" i="3" s="1"/>
  <c r="AW43" i="3"/>
  <c r="AX43" i="3" s="1"/>
  <c r="BL43" i="3"/>
  <c r="BP43" i="3" s="1"/>
  <c r="BK43" i="3" s="1"/>
  <c r="BO43" i="3" s="1"/>
  <c r="AT43" i="3"/>
  <c r="C42" i="3" a="1"/>
  <c r="AU43" i="3" l="1"/>
  <c r="AV43" i="3" s="1"/>
  <c r="U43" i="3"/>
  <c r="AL43" i="3"/>
  <c r="AY43" i="3"/>
  <c r="BB43" i="3"/>
  <c r="BM43" i="3" s="1"/>
  <c r="BN43" i="3"/>
  <c r="C42" i="3"/>
  <c r="D42" i="3" a="1"/>
  <c r="AK43" i="3" a="1"/>
  <c r="AK43" i="3" l="1"/>
  <c r="BD43" i="3"/>
  <c r="BF43" i="3"/>
  <c r="BC43" i="3"/>
  <c r="D42" i="3"/>
  <c r="E42" i="3" a="1"/>
  <c r="F42" i="3" a="1"/>
  <c r="AE43" i="3"/>
  <c r="AM43" i="3"/>
  <c r="E42" i="3" l="1"/>
  <c r="AN43" i="3"/>
  <c r="AF43" i="3"/>
  <c r="F42" i="3"/>
  <c r="Y42" i="3"/>
  <c r="AH42" i="3"/>
  <c r="AI42" i="3" s="1"/>
  <c r="K42" i="3" a="1"/>
  <c r="L42" i="3" a="1"/>
  <c r="I42" i="3" a="1"/>
  <c r="G42" i="3" a="1"/>
  <c r="J42" i="3" a="1"/>
  <c r="H42" i="3" a="1"/>
  <c r="H42" i="3" l="1"/>
  <c r="J42" i="3"/>
  <c r="G42" i="3"/>
  <c r="I42" i="3"/>
  <c r="W42" i="3" s="1"/>
  <c r="L42" i="3"/>
  <c r="AB42" i="3" s="1"/>
  <c r="AO42" i="3" s="1"/>
  <c r="AR42" i="3" s="1"/>
  <c r="AS42" i="3" s="1"/>
  <c r="K42" i="3"/>
  <c r="AD42" i="3"/>
  <c r="Z42" i="3"/>
  <c r="AA42" i="3" s="1"/>
  <c r="AJ42" i="3"/>
  <c r="AW42" i="3"/>
  <c r="AZ42" i="3"/>
  <c r="BL42" i="3"/>
  <c r="BP42" i="3" s="1"/>
  <c r="BK42" i="3" s="1"/>
  <c r="BO42" i="3" s="1"/>
  <c r="C41" i="3" a="1"/>
  <c r="AT42" i="3"/>
  <c r="AU42" i="3" l="1"/>
  <c r="AV42" i="3" s="1"/>
  <c r="U42" i="3"/>
  <c r="AL42" i="3"/>
  <c r="AQ42" i="3"/>
  <c r="BA42" i="3" s="1"/>
  <c r="BB42" i="3" s="1"/>
  <c r="BM42" i="3" s="1"/>
  <c r="BN42" i="3"/>
  <c r="C41" i="3"/>
  <c r="D41" i="3" a="1"/>
  <c r="AK42" i="3" a="1"/>
  <c r="AK42" i="3" l="1"/>
  <c r="AX42" i="3"/>
  <c r="AY42" i="3" s="1"/>
  <c r="BC42" i="3"/>
  <c r="BD42" i="3"/>
  <c r="BF42" i="3"/>
  <c r="D41" i="3"/>
  <c r="F41" i="3" a="1"/>
  <c r="E41" i="3" a="1"/>
  <c r="AE42" i="3"/>
  <c r="AM42" i="3"/>
  <c r="E41" i="3" l="1"/>
  <c r="AN42" i="3"/>
  <c r="AF42" i="3"/>
  <c r="F41" i="3"/>
  <c r="Y41" i="3"/>
  <c r="AH41" i="3"/>
  <c r="AI41" i="3" s="1"/>
  <c r="K41" i="3" a="1"/>
  <c r="L41" i="3" a="1"/>
  <c r="G41" i="3" a="1"/>
  <c r="H41" i="3" a="1"/>
  <c r="I41" i="3" a="1"/>
  <c r="J41" i="3" a="1"/>
  <c r="J41" i="3" l="1"/>
  <c r="I41" i="3"/>
  <c r="W41" i="3" s="1"/>
  <c r="H41" i="3"/>
  <c r="G41" i="3"/>
  <c r="L41" i="3"/>
  <c r="K41" i="3"/>
  <c r="AD41" i="3"/>
  <c r="Z41" i="3"/>
  <c r="AA41" i="3" s="1"/>
  <c r="AB41" i="3"/>
  <c r="AO41" i="3" s="1"/>
  <c r="AR41" i="3" s="1"/>
  <c r="AS41" i="3" s="1"/>
  <c r="AQ41" i="3"/>
  <c r="BA41" i="3" s="1"/>
  <c r="AZ41" i="3"/>
  <c r="BL41" i="3"/>
  <c r="BP41" i="3" s="1"/>
  <c r="BK41" i="3" s="1"/>
  <c r="BO41" i="3" s="1"/>
  <c r="C40" i="3" a="1"/>
  <c r="AT41" i="3"/>
  <c r="AU41" i="3" l="1"/>
  <c r="AV41" i="3" s="1"/>
  <c r="AW41" i="3"/>
  <c r="AX41" i="3" s="1"/>
  <c r="U41" i="3"/>
  <c r="AL41" i="3"/>
  <c r="AJ41" i="3"/>
  <c r="BB41" i="3"/>
  <c r="BM41" i="3" s="1"/>
  <c r="AY41" i="3"/>
  <c r="BN41" i="3"/>
  <c r="C40" i="3"/>
  <c r="D40" i="3" a="1"/>
  <c r="AK41" i="3" a="1"/>
  <c r="AK41" i="3" l="1"/>
  <c r="BF41" i="3"/>
  <c r="BC41" i="3"/>
  <c r="BD41" i="3"/>
  <c r="D40" i="3"/>
  <c r="E40" i="3" a="1"/>
  <c r="F40" i="3" a="1"/>
  <c r="AM41" i="3"/>
  <c r="AE41" i="3"/>
  <c r="E40" i="3" l="1"/>
  <c r="AF41" i="3"/>
  <c r="AN41" i="3"/>
  <c r="F40" i="3"/>
  <c r="Y40" i="3"/>
  <c r="AH40" i="3"/>
  <c r="AI40" i="3" s="1"/>
  <c r="K40" i="3" a="1"/>
  <c r="L40" i="3" a="1"/>
  <c r="I40" i="3" a="1"/>
  <c r="G40" i="3" a="1"/>
  <c r="J40" i="3" a="1"/>
  <c r="H40" i="3" a="1"/>
  <c r="H40" i="3" l="1"/>
  <c r="J40" i="3"/>
  <c r="G40" i="3"/>
  <c r="I40" i="3"/>
  <c r="W40" i="3" s="1"/>
  <c r="L40" i="3"/>
  <c r="K40" i="3"/>
  <c r="AD40" i="3"/>
  <c r="Z40" i="3"/>
  <c r="AA40" i="3" s="1"/>
  <c r="AB40" i="3"/>
  <c r="AO40" i="3" s="1"/>
  <c r="AR40" i="3" s="1"/>
  <c r="AS40" i="3" s="1"/>
  <c r="AQ40" i="3"/>
  <c r="AZ40" i="3"/>
  <c r="BA40" i="3"/>
  <c r="BL40" i="3"/>
  <c r="BP40" i="3" s="1"/>
  <c r="BK40" i="3" s="1"/>
  <c r="BO40" i="3" s="1"/>
  <c r="AT40" i="3"/>
  <c r="C39" i="3" a="1"/>
  <c r="AU40" i="3" l="1"/>
  <c r="AV40" i="3" s="1"/>
  <c r="AW40" i="3"/>
  <c r="AX40" i="3" s="1"/>
  <c r="U40" i="3"/>
  <c r="AL40" i="3"/>
  <c r="AJ40" i="3"/>
  <c r="AY40" i="3"/>
  <c r="BB40" i="3"/>
  <c r="BF40" i="3" s="1"/>
  <c r="BN40" i="3"/>
  <c r="C39" i="3"/>
  <c r="D39" i="3" a="1"/>
  <c r="AK40" i="3" a="1"/>
  <c r="AK40" i="3" l="1"/>
  <c r="BC40" i="3"/>
  <c r="BM40" i="3"/>
  <c r="BD40" i="3"/>
  <c r="D39" i="3"/>
  <c r="E39" i="3" a="1"/>
  <c r="F39" i="3" a="1"/>
  <c r="AM40" i="3"/>
  <c r="AE40" i="3"/>
  <c r="E39" i="3" l="1"/>
  <c r="AF40" i="3"/>
  <c r="AN40" i="3"/>
  <c r="F39" i="3"/>
  <c r="Y39" i="3"/>
  <c r="AH39" i="3"/>
  <c r="AI39" i="3" s="1"/>
  <c r="K39" i="3" a="1"/>
  <c r="G39" i="3" a="1"/>
  <c r="H39" i="3" a="1"/>
  <c r="J39" i="3" a="1"/>
  <c r="L39" i="3" a="1"/>
  <c r="I39" i="3" a="1"/>
  <c r="I39" i="3" l="1"/>
  <c r="W39" i="3" s="1"/>
  <c r="L39" i="3"/>
  <c r="AB39" i="3" s="1"/>
  <c r="AO39" i="3" s="1"/>
  <c r="J39" i="3"/>
  <c r="H39" i="3"/>
  <c r="G39" i="3"/>
  <c r="AZ39" i="3" s="1"/>
  <c r="K39" i="3"/>
  <c r="AD39" i="3"/>
  <c r="Z39" i="3"/>
  <c r="AA39" i="3" s="1"/>
  <c r="AJ39" i="3"/>
  <c r="AR39" i="3"/>
  <c r="AS39" i="3" s="1"/>
  <c r="AQ39" i="3"/>
  <c r="BA39" i="3" s="1"/>
  <c r="AW39" i="3"/>
  <c r="AX39" i="3" s="1"/>
  <c r="BL39" i="3"/>
  <c r="BP39" i="3" s="1"/>
  <c r="BK39" i="3" s="1"/>
  <c r="BO39" i="3" s="1"/>
  <c r="AT39" i="3"/>
  <c r="C38" i="3" a="1"/>
  <c r="AU39" i="3" l="1"/>
  <c r="AV39" i="3" s="1"/>
  <c r="AY39" i="3" s="1"/>
  <c r="U39" i="3"/>
  <c r="AL39" i="3"/>
  <c r="BB39" i="3"/>
  <c r="BC39" i="3" s="1"/>
  <c r="BN39" i="3"/>
  <c r="C38" i="3"/>
  <c r="D38" i="3" a="1"/>
  <c r="AK39" i="3" a="1"/>
  <c r="AK39" i="3" l="1"/>
  <c r="BM39" i="3"/>
  <c r="BF39" i="3"/>
  <c r="BD39" i="3"/>
  <c r="D38" i="3"/>
  <c r="F38" i="3" a="1"/>
  <c r="E38" i="3" a="1"/>
  <c r="AE39" i="3"/>
  <c r="AM39" i="3"/>
  <c r="E38" i="3" l="1"/>
  <c r="AN39" i="3"/>
  <c r="AF39" i="3"/>
  <c r="F38" i="3"/>
  <c r="Y38" i="3"/>
  <c r="AH38" i="3"/>
  <c r="AI38" i="3" s="1"/>
  <c r="K38" i="3" a="1"/>
  <c r="G38" i="3" a="1"/>
  <c r="L38" i="3" a="1"/>
  <c r="H38" i="3" a="1"/>
  <c r="I38" i="3" a="1"/>
  <c r="J38" i="3" a="1"/>
  <c r="J38" i="3" l="1"/>
  <c r="I38" i="3"/>
  <c r="W38" i="3" s="1"/>
  <c r="H38" i="3"/>
  <c r="L38" i="3"/>
  <c r="G38" i="3"/>
  <c r="K38" i="3"/>
  <c r="AD38" i="3"/>
  <c r="Z38" i="3"/>
  <c r="AA38" i="3" s="1"/>
  <c r="AB38" i="3"/>
  <c r="AO38" i="3" s="1"/>
  <c r="AR38" i="3" s="1"/>
  <c r="AS38" i="3" s="1"/>
  <c r="AQ38" i="3"/>
  <c r="BA38" i="3" s="1"/>
  <c r="AW38" i="3"/>
  <c r="AX38" i="3" s="1"/>
  <c r="AZ38" i="3"/>
  <c r="BL38" i="3"/>
  <c r="BP38" i="3" s="1"/>
  <c r="BK38" i="3" s="1"/>
  <c r="BO38" i="3" s="1"/>
  <c r="AT38" i="3"/>
  <c r="C37" i="3" a="1"/>
  <c r="AU38" i="3" l="1"/>
  <c r="AV38" i="3" s="1"/>
  <c r="U38" i="3"/>
  <c r="AL38" i="3"/>
  <c r="AJ38" i="3"/>
  <c r="BB38" i="3"/>
  <c r="BM38" i="3" s="1"/>
  <c r="AY38" i="3"/>
  <c r="BN38" i="3"/>
  <c r="C37" i="3"/>
  <c r="D37" i="3" a="1"/>
  <c r="AK38" i="3" a="1"/>
  <c r="AK38" i="3" l="1"/>
  <c r="BF38" i="3"/>
  <c r="BC38" i="3"/>
  <c r="BD38" i="3"/>
  <c r="D37" i="3"/>
  <c r="E37" i="3" a="1"/>
  <c r="F37" i="3" a="1"/>
  <c r="AM38" i="3"/>
  <c r="AE38" i="3"/>
  <c r="E37" i="3" l="1"/>
  <c r="AF38" i="3"/>
  <c r="AN38" i="3"/>
  <c r="F37" i="3"/>
  <c r="Y37" i="3"/>
  <c r="AH37" i="3"/>
  <c r="AI37" i="3" s="1"/>
  <c r="K37" i="3" a="1"/>
  <c r="G37" i="3" a="1"/>
  <c r="I37" i="3" a="1"/>
  <c r="L37" i="3" a="1"/>
  <c r="J37" i="3" a="1"/>
  <c r="H37" i="3" a="1"/>
  <c r="H37" i="3" l="1"/>
  <c r="J37" i="3"/>
  <c r="L37" i="3"/>
  <c r="I37" i="3"/>
  <c r="W37" i="3" s="1"/>
  <c r="G37" i="3"/>
  <c r="K37" i="3"/>
  <c r="AD37" i="3"/>
  <c r="Z37" i="3"/>
  <c r="AA37" i="3" s="1"/>
  <c r="AB37" i="3"/>
  <c r="AO37" i="3" s="1"/>
  <c r="AR37" i="3" s="1"/>
  <c r="AS37" i="3" s="1"/>
  <c r="AQ37" i="3"/>
  <c r="AZ37" i="3"/>
  <c r="BA37" i="3"/>
  <c r="BL37" i="3"/>
  <c r="BP37" i="3" s="1"/>
  <c r="BK37" i="3" s="1"/>
  <c r="BO37" i="3" s="1"/>
  <c r="AT37" i="3"/>
  <c r="C36" i="3" a="1"/>
  <c r="AU37" i="3" l="1"/>
  <c r="AV37" i="3" s="1"/>
  <c r="AW37" i="3"/>
  <c r="AX37" i="3" s="1"/>
  <c r="AL37" i="3"/>
  <c r="U37" i="3"/>
  <c r="AJ37" i="3"/>
  <c r="BB37" i="3"/>
  <c r="BM37" i="3" s="1"/>
  <c r="AY37" i="3"/>
  <c r="BN37" i="3"/>
  <c r="C36" i="3"/>
  <c r="D36" i="3" a="1"/>
  <c r="AK37" i="3" a="1"/>
  <c r="AK37" i="3" l="1"/>
  <c r="BC37" i="3"/>
  <c r="BD37" i="3"/>
  <c r="BF37" i="3"/>
  <c r="D36" i="3"/>
  <c r="F36" i="3" a="1"/>
  <c r="E36" i="3" a="1"/>
  <c r="AE37" i="3"/>
  <c r="AM37" i="3"/>
  <c r="E36" i="3" l="1"/>
  <c r="AN37" i="3"/>
  <c r="AF37" i="3"/>
  <c r="F36" i="3"/>
  <c r="Y36" i="3"/>
  <c r="AH36" i="3"/>
  <c r="AI36" i="3" s="1"/>
  <c r="K36" i="3" a="1"/>
  <c r="G36" i="3" a="1"/>
  <c r="L36" i="3" a="1"/>
  <c r="H36" i="3" a="1"/>
  <c r="I36" i="3" a="1"/>
  <c r="J36" i="3" a="1"/>
  <c r="J36" i="3" l="1"/>
  <c r="I36" i="3"/>
  <c r="W36" i="3" s="1"/>
  <c r="H36" i="3"/>
  <c r="L36" i="3"/>
  <c r="AB36" i="3" s="1"/>
  <c r="AO36" i="3" s="1"/>
  <c r="AR36" i="3" s="1"/>
  <c r="AS36" i="3" s="1"/>
  <c r="G36" i="3"/>
  <c r="K36" i="3"/>
  <c r="AD36" i="3"/>
  <c r="Z36" i="3"/>
  <c r="AA36" i="3" s="1"/>
  <c r="AJ36" i="3"/>
  <c r="AQ36" i="3"/>
  <c r="BA36" i="3" s="1"/>
  <c r="AW36" i="3"/>
  <c r="AX36" i="3" s="1"/>
  <c r="AZ36" i="3"/>
  <c r="BL36" i="3"/>
  <c r="BP36" i="3" s="1"/>
  <c r="BK36" i="3" s="1"/>
  <c r="BO36" i="3" s="1"/>
  <c r="C35" i="3" a="1"/>
  <c r="AT36" i="3"/>
  <c r="AU36" i="3" l="1"/>
  <c r="AV36" i="3" s="1"/>
  <c r="U36" i="3"/>
  <c r="AL36" i="3"/>
  <c r="BB36" i="3"/>
  <c r="BM36" i="3" s="1"/>
  <c r="AY36" i="3"/>
  <c r="BN36" i="3"/>
  <c r="C35" i="3"/>
  <c r="D35" i="3" a="1"/>
  <c r="AK36" i="3" a="1"/>
  <c r="AK36" i="3" l="1"/>
  <c r="BC36" i="3"/>
  <c r="BD36" i="3"/>
  <c r="BF36" i="3"/>
  <c r="D35" i="3"/>
  <c r="F35" i="3" a="1"/>
  <c r="E35" i="3" a="1"/>
  <c r="AE36" i="3"/>
  <c r="AM36" i="3"/>
  <c r="E35" i="3" l="1"/>
  <c r="AN36" i="3"/>
  <c r="AF36" i="3"/>
  <c r="F35" i="3"/>
  <c r="Y35" i="3"/>
  <c r="AH35" i="3"/>
  <c r="AI35" i="3" s="1"/>
  <c r="K35" i="3" a="1"/>
  <c r="G35" i="3" a="1"/>
  <c r="J35" i="3" a="1"/>
  <c r="L35" i="3" a="1"/>
  <c r="I35" i="3" a="1"/>
  <c r="H35" i="3" a="1"/>
  <c r="H35" i="3" l="1"/>
  <c r="I35" i="3"/>
  <c r="W35" i="3" s="1"/>
  <c r="L35" i="3"/>
  <c r="AB35" i="3" s="1"/>
  <c r="AO35" i="3" s="1"/>
  <c r="AR35" i="3" s="1"/>
  <c r="AS35" i="3" s="1"/>
  <c r="J35" i="3"/>
  <c r="G35" i="3"/>
  <c r="K35" i="3"/>
  <c r="AD35" i="3"/>
  <c r="Z35" i="3"/>
  <c r="AA35" i="3" s="1"/>
  <c r="AJ35" i="3"/>
  <c r="AQ35" i="3"/>
  <c r="BA35" i="3" s="1"/>
  <c r="AW35" i="3"/>
  <c r="AX35" i="3" s="1"/>
  <c r="AZ35" i="3"/>
  <c r="BL35" i="3"/>
  <c r="BP35" i="3" s="1"/>
  <c r="BK35" i="3" s="1"/>
  <c r="BO35" i="3" s="1"/>
  <c r="C34" i="3" a="1"/>
  <c r="AT35" i="3"/>
  <c r="AU35" i="3" l="1"/>
  <c r="AV35" i="3" s="1"/>
  <c r="U35" i="3"/>
  <c r="AL35" i="3"/>
  <c r="BB35" i="3"/>
  <c r="BM35" i="3" s="1"/>
  <c r="AY35" i="3"/>
  <c r="BN35" i="3"/>
  <c r="C34" i="3"/>
  <c r="D34" i="3" a="1"/>
  <c r="AK35" i="3" a="1"/>
  <c r="AK35" i="3" l="1"/>
  <c r="BC35" i="3"/>
  <c r="BD35" i="3"/>
  <c r="BF35" i="3"/>
  <c r="D34" i="3"/>
  <c r="E34" i="3" a="1"/>
  <c r="F34" i="3" a="1"/>
  <c r="AE35" i="3"/>
  <c r="AM35" i="3"/>
  <c r="E34" i="3" l="1"/>
  <c r="AN35" i="3"/>
  <c r="AF35" i="3"/>
  <c r="F34" i="3"/>
  <c r="Y34" i="3"/>
  <c r="AH34" i="3"/>
  <c r="AI34" i="3" s="1"/>
  <c r="K34" i="3" a="1"/>
  <c r="G34" i="3" a="1"/>
  <c r="J34" i="3" a="1"/>
  <c r="L34" i="3" a="1"/>
  <c r="H34" i="3" a="1"/>
  <c r="I34" i="3" a="1"/>
  <c r="I34" i="3" l="1"/>
  <c r="W34" i="3" s="1"/>
  <c r="H34" i="3"/>
  <c r="L34" i="3"/>
  <c r="AB34" i="3" s="1"/>
  <c r="AO34" i="3" s="1"/>
  <c r="AR34" i="3" s="1"/>
  <c r="AS34" i="3" s="1"/>
  <c r="J34" i="3"/>
  <c r="G34" i="3"/>
  <c r="K34" i="3"/>
  <c r="AD34" i="3"/>
  <c r="Z34" i="3"/>
  <c r="AA34" i="3" s="1"/>
  <c r="AJ34" i="3"/>
  <c r="AQ34" i="3"/>
  <c r="BA34" i="3" s="1"/>
  <c r="AW34" i="3"/>
  <c r="AX34" i="3" s="1"/>
  <c r="AZ34" i="3"/>
  <c r="BL34" i="3"/>
  <c r="BP34" i="3" s="1"/>
  <c r="BK34" i="3" s="1"/>
  <c r="BO34" i="3" s="1"/>
  <c r="C33" i="3" a="1"/>
  <c r="AT34" i="3"/>
  <c r="AU34" i="3" l="1"/>
  <c r="AV34" i="3" s="1"/>
  <c r="U34" i="3"/>
  <c r="AL34" i="3"/>
  <c r="AY34" i="3"/>
  <c r="BB34" i="3"/>
  <c r="BM34" i="3" s="1"/>
  <c r="BN34" i="3"/>
  <c r="C33" i="3"/>
  <c r="D33" i="3" a="1"/>
  <c r="AK34" i="3" a="1"/>
  <c r="AK34" i="3" l="1"/>
  <c r="BC34" i="3"/>
  <c r="BD34" i="3"/>
  <c r="BF34" i="3"/>
  <c r="D33" i="3"/>
  <c r="E33" i="3" a="1"/>
  <c r="F33" i="3" a="1"/>
  <c r="AE34" i="3"/>
  <c r="AM34" i="3"/>
  <c r="E33" i="3" l="1"/>
  <c r="AN34" i="3"/>
  <c r="AF34" i="3"/>
  <c r="F33" i="3"/>
  <c r="Y33" i="3"/>
  <c r="AH33" i="3"/>
  <c r="AI33" i="3" s="1"/>
  <c r="K33" i="3" a="1"/>
  <c r="L33" i="3" a="1"/>
  <c r="G33" i="3" a="1"/>
  <c r="H33" i="3" a="1"/>
  <c r="I33" i="3" a="1"/>
  <c r="J33" i="3" a="1"/>
  <c r="J33" i="3" l="1"/>
  <c r="I33" i="3"/>
  <c r="W33" i="3" s="1"/>
  <c r="H33" i="3"/>
  <c r="G33" i="3"/>
  <c r="L33" i="3"/>
  <c r="AB33" i="3" s="1"/>
  <c r="AO33" i="3" s="1"/>
  <c r="AR33" i="3" s="1"/>
  <c r="AS33" i="3" s="1"/>
  <c r="K33" i="3"/>
  <c r="AD33" i="3"/>
  <c r="Z33" i="3"/>
  <c r="AA33" i="3" s="1"/>
  <c r="AJ33" i="3"/>
  <c r="AW33" i="3"/>
  <c r="AZ33" i="3"/>
  <c r="BL33" i="3"/>
  <c r="BP33" i="3" s="1"/>
  <c r="BK33" i="3" s="1"/>
  <c r="BO33" i="3" s="1"/>
  <c r="AT33" i="3"/>
  <c r="C32" i="3" a="1"/>
  <c r="AU33" i="3" l="1"/>
  <c r="AV33" i="3" s="1"/>
  <c r="U33" i="3"/>
  <c r="AL33" i="3"/>
  <c r="AQ33" i="3"/>
  <c r="BA33" i="3" s="1"/>
  <c r="BB33" i="3" s="1"/>
  <c r="BM33" i="3" s="1"/>
  <c r="BN33" i="3"/>
  <c r="C32" i="3"/>
  <c r="D32" i="3" a="1"/>
  <c r="AK33" i="3" a="1"/>
  <c r="AK33" i="3" l="1"/>
  <c r="AX33" i="3"/>
  <c r="AY33" i="3" s="1"/>
  <c r="BC33" i="3"/>
  <c r="BF33" i="3"/>
  <c r="BD33" i="3"/>
  <c r="D32" i="3"/>
  <c r="E32" i="3" a="1"/>
  <c r="F32" i="3" a="1"/>
  <c r="AE33" i="3"/>
  <c r="AM33" i="3"/>
  <c r="E32" i="3" l="1"/>
  <c r="AN33" i="3"/>
  <c r="AF33" i="3"/>
  <c r="F32" i="3"/>
  <c r="Y32" i="3"/>
  <c r="AH32" i="3"/>
  <c r="AI32" i="3" s="1"/>
  <c r="K32" i="3" a="1"/>
  <c r="L32" i="3" a="1"/>
  <c r="G32" i="3" a="1"/>
  <c r="H32" i="3" a="1"/>
  <c r="I32" i="3" a="1"/>
  <c r="J32" i="3" a="1"/>
  <c r="J32" i="3" l="1"/>
  <c r="I32" i="3"/>
  <c r="W32" i="3" s="1"/>
  <c r="H32" i="3"/>
  <c r="G32" i="3"/>
  <c r="L32" i="3"/>
  <c r="K32" i="3"/>
  <c r="AD32" i="3"/>
  <c r="Z32" i="3"/>
  <c r="AA32" i="3" s="1"/>
  <c r="AB32" i="3"/>
  <c r="AO32" i="3" s="1"/>
  <c r="AR32" i="3" s="1"/>
  <c r="AS32" i="3" s="1"/>
  <c r="AQ32" i="3"/>
  <c r="AZ32" i="3"/>
  <c r="BA32" i="3"/>
  <c r="BL32" i="3"/>
  <c r="BP32" i="3" s="1"/>
  <c r="BK32" i="3" s="1"/>
  <c r="BO32" i="3" s="1"/>
  <c r="AT32" i="3"/>
  <c r="C31" i="3" a="1"/>
  <c r="AU32" i="3" l="1"/>
  <c r="AV32" i="3" s="1"/>
  <c r="AW32" i="3"/>
  <c r="AX32" i="3" s="1"/>
  <c r="U32" i="3"/>
  <c r="AL32" i="3"/>
  <c r="AJ32" i="3"/>
  <c r="BB32" i="3"/>
  <c r="BM32" i="3" s="1"/>
  <c r="AY32" i="3"/>
  <c r="BN32" i="3"/>
  <c r="C31" i="3"/>
  <c r="D31" i="3" a="1"/>
  <c r="AK32" i="3" a="1"/>
  <c r="AK32" i="3" l="1"/>
  <c r="BC32" i="3"/>
  <c r="BF32" i="3"/>
  <c r="BD32" i="3"/>
  <c r="D31" i="3"/>
  <c r="E31" i="3" a="1"/>
  <c r="F31" i="3" a="1"/>
  <c r="AM32" i="3"/>
  <c r="AE32" i="3"/>
  <c r="E31" i="3" l="1"/>
  <c r="AF32" i="3"/>
  <c r="AN32" i="3"/>
  <c r="F31" i="3"/>
  <c r="Y31" i="3"/>
  <c r="AH31" i="3"/>
  <c r="AI31" i="3" s="1"/>
  <c r="K31" i="3" a="1"/>
  <c r="L31" i="3" a="1"/>
  <c r="G31" i="3" a="1"/>
  <c r="H31" i="3" a="1"/>
  <c r="I31" i="3" a="1"/>
  <c r="J31" i="3" a="1"/>
  <c r="J31" i="3" l="1"/>
  <c r="I31" i="3"/>
  <c r="W31" i="3" s="1"/>
  <c r="H31" i="3"/>
  <c r="G31" i="3"/>
  <c r="L31" i="3"/>
  <c r="K31" i="3"/>
  <c r="AD31" i="3"/>
  <c r="Z31" i="3"/>
  <c r="AA31" i="3" s="1"/>
  <c r="AB31" i="3"/>
  <c r="AO31" i="3" s="1"/>
  <c r="U31" i="3" l="1"/>
  <c r="AL31" i="3"/>
  <c r="AJ31" i="3"/>
  <c r="AR31" i="3"/>
  <c r="AS31" i="3" s="1"/>
  <c r="AQ31" i="3"/>
  <c r="BA31" i="3" s="1"/>
  <c r="AW31" i="3"/>
  <c r="AX31" i="3" s="1"/>
  <c r="AZ31" i="3"/>
  <c r="BL31" i="3"/>
  <c r="BP31" i="3" s="1"/>
  <c r="BK31" i="3" s="1"/>
  <c r="BO31" i="3" s="1"/>
  <c r="C30" i="3" a="1"/>
  <c r="AT31" i="3"/>
  <c r="AK31" i="3" a="1"/>
  <c r="AU31" i="3" l="1"/>
  <c r="AV31" i="3" s="1"/>
  <c r="AK31" i="3"/>
  <c r="AY31" i="3"/>
  <c r="BB31" i="3"/>
  <c r="BF31" i="3" s="1"/>
  <c r="BN31" i="3"/>
  <c r="C30" i="3"/>
  <c r="D30" i="3" a="1"/>
  <c r="AM31" i="3"/>
  <c r="AE31" i="3"/>
  <c r="AF31" i="3" l="1"/>
  <c r="AN31" i="3"/>
  <c r="BM31" i="3"/>
  <c r="BC31" i="3"/>
  <c r="BD31" i="3"/>
  <c r="D30" i="3"/>
  <c r="E30" i="3" a="1"/>
  <c r="F30" i="3" a="1"/>
  <c r="E30" i="3" l="1"/>
  <c r="F30" i="3"/>
  <c r="Y30" i="3"/>
  <c r="AH30" i="3"/>
  <c r="AI30" i="3" s="1"/>
  <c r="L30" i="3" a="1"/>
  <c r="G30" i="3" a="1"/>
  <c r="H30" i="3" a="1"/>
  <c r="I30" i="3" a="1"/>
  <c r="K30" i="3" a="1"/>
  <c r="J30" i="3" a="1"/>
  <c r="J30" i="3" l="1"/>
  <c r="K30" i="3"/>
  <c r="I30" i="3"/>
  <c r="W30" i="3" s="1"/>
  <c r="H30" i="3"/>
  <c r="G30" i="3"/>
  <c r="L30" i="3"/>
  <c r="AD30" i="3"/>
  <c r="Z30" i="3"/>
  <c r="AA30" i="3" s="1"/>
  <c r="AB30" i="3"/>
  <c r="AO30" i="3" s="1"/>
  <c r="U30" i="3" l="1"/>
  <c r="AL30" i="3"/>
  <c r="AJ30" i="3"/>
  <c r="AR30" i="3"/>
  <c r="AS30" i="3" s="1"/>
  <c r="AQ30" i="3"/>
  <c r="BA30" i="3" s="1"/>
  <c r="AW30" i="3"/>
  <c r="AX30" i="3" s="1"/>
  <c r="AZ30" i="3"/>
  <c r="BL30" i="3"/>
  <c r="BP30" i="3" s="1"/>
  <c r="BK30" i="3" s="1"/>
  <c r="BO30" i="3" s="1"/>
  <c r="C29" i="3" a="1"/>
  <c r="AT30" i="3"/>
  <c r="AK30" i="3" a="1"/>
  <c r="AU30" i="3" l="1"/>
  <c r="AV30" i="3" s="1"/>
  <c r="AK30" i="3"/>
  <c r="BB30" i="3"/>
  <c r="BM30" i="3" s="1"/>
  <c r="AY30" i="3"/>
  <c r="BN30" i="3"/>
  <c r="C29" i="3"/>
  <c r="D29" i="3" a="1"/>
  <c r="AM30" i="3"/>
  <c r="AE30" i="3"/>
  <c r="AF30" i="3" l="1"/>
  <c r="AN30" i="3"/>
  <c r="BD30" i="3"/>
  <c r="BF30" i="3"/>
  <c r="BC30" i="3"/>
  <c r="D29" i="3"/>
  <c r="E29" i="3" a="1"/>
  <c r="F29" i="3" a="1"/>
  <c r="E29" i="3" l="1"/>
  <c r="F29" i="3"/>
  <c r="Y29" i="3"/>
  <c r="AH29" i="3"/>
  <c r="AI29" i="3" s="1"/>
  <c r="L29" i="3" a="1"/>
  <c r="G29" i="3" a="1"/>
  <c r="H29" i="3" a="1"/>
  <c r="I29" i="3" a="1"/>
  <c r="J29" i="3" a="1"/>
  <c r="K29" i="3" a="1"/>
  <c r="K29" i="3" l="1"/>
  <c r="J29" i="3"/>
  <c r="I29" i="3"/>
  <c r="W29" i="3" s="1"/>
  <c r="H29" i="3"/>
  <c r="G29" i="3"/>
  <c r="L29" i="3"/>
  <c r="AB29" i="3" s="1"/>
  <c r="AO29" i="3" s="1"/>
  <c r="AR29" i="3" s="1"/>
  <c r="AS29" i="3" s="1"/>
  <c r="AD29" i="3"/>
  <c r="Z29" i="3"/>
  <c r="AA29" i="3" s="1"/>
  <c r="AJ29" i="3"/>
  <c r="AW29" i="3"/>
  <c r="AZ29" i="3"/>
  <c r="BL29" i="3"/>
  <c r="BP29" i="3" s="1"/>
  <c r="BK29" i="3" s="1"/>
  <c r="BO29" i="3" s="1"/>
  <c r="AT29" i="3"/>
  <c r="C28" i="3" a="1"/>
  <c r="AU29" i="3" l="1"/>
  <c r="AV29" i="3" s="1"/>
  <c r="AQ29" i="3"/>
  <c r="BA29" i="3" s="1"/>
  <c r="U29" i="3"/>
  <c r="AL29" i="3"/>
  <c r="BB29" i="3"/>
  <c r="BM29" i="3" s="1"/>
  <c r="BN29" i="3"/>
  <c r="C28" i="3"/>
  <c r="D28" i="3" a="1"/>
  <c r="AK29" i="3" a="1"/>
  <c r="AK29" i="3" l="1"/>
  <c r="AX29" i="3"/>
  <c r="AY29" i="3" s="1"/>
  <c r="BC29" i="3"/>
  <c r="BD29" i="3"/>
  <c r="BF29" i="3"/>
  <c r="D28" i="3"/>
  <c r="F28" i="3" a="1"/>
  <c r="E28" i="3" a="1"/>
  <c r="AE29" i="3"/>
  <c r="AM29" i="3"/>
  <c r="E28" i="3" l="1"/>
  <c r="AN29" i="3"/>
  <c r="AF29" i="3"/>
  <c r="F28" i="3"/>
  <c r="Y28" i="3"/>
  <c r="AH28" i="3"/>
  <c r="AI28" i="3" s="1"/>
  <c r="K28" i="3" a="1"/>
  <c r="L28" i="3" a="1"/>
  <c r="G28" i="3" a="1"/>
  <c r="H28" i="3" a="1"/>
  <c r="I28" i="3" a="1"/>
  <c r="J28" i="3" a="1"/>
  <c r="J28" i="3" l="1"/>
  <c r="I28" i="3"/>
  <c r="W28" i="3" s="1"/>
  <c r="H28" i="3"/>
  <c r="G28" i="3"/>
  <c r="L28" i="3"/>
  <c r="K28" i="3"/>
  <c r="AD28" i="3"/>
  <c r="Z28" i="3"/>
  <c r="AA28" i="3" s="1"/>
  <c r="AB28" i="3"/>
  <c r="AO28" i="3" s="1"/>
  <c r="AR28" i="3" s="1"/>
  <c r="AS28" i="3" s="1"/>
  <c r="AQ28" i="3"/>
  <c r="AZ28" i="3"/>
  <c r="BA28" i="3"/>
  <c r="BL28" i="3"/>
  <c r="BP28" i="3" s="1"/>
  <c r="BK28" i="3" s="1"/>
  <c r="BO28" i="3" s="1"/>
  <c r="C27" i="3" a="1"/>
  <c r="AT28" i="3"/>
  <c r="AU28" i="3" l="1"/>
  <c r="AV28" i="3" s="1"/>
  <c r="AW28" i="3"/>
  <c r="AX28" i="3" s="1"/>
  <c r="U28" i="3"/>
  <c r="AL28" i="3"/>
  <c r="AJ28" i="3"/>
  <c r="BB28" i="3"/>
  <c r="BM28" i="3" s="1"/>
  <c r="AY28" i="3"/>
  <c r="BN28" i="3"/>
  <c r="C27" i="3"/>
  <c r="D27" i="3" a="1"/>
  <c r="AK28" i="3" a="1"/>
  <c r="AK28" i="3" l="1"/>
  <c r="BD28" i="3"/>
  <c r="BC28" i="3"/>
  <c r="BF28" i="3"/>
  <c r="D27" i="3"/>
  <c r="E27" i="3" a="1"/>
  <c r="F27" i="3" a="1"/>
  <c r="AE28" i="3"/>
  <c r="AM28" i="3"/>
  <c r="E27" i="3" l="1"/>
  <c r="AF28" i="3"/>
  <c r="AN28" i="3"/>
  <c r="F27" i="3"/>
  <c r="Y27" i="3"/>
  <c r="AH27" i="3"/>
  <c r="AI27" i="3" s="1"/>
  <c r="K27" i="3" a="1"/>
  <c r="G27" i="3" a="1"/>
  <c r="H27" i="3" a="1"/>
  <c r="J27" i="3" a="1"/>
  <c r="L27" i="3" a="1"/>
  <c r="I27" i="3" a="1"/>
  <c r="I27" i="3" l="1"/>
  <c r="W27" i="3" s="1"/>
  <c r="L27" i="3"/>
  <c r="J27" i="3"/>
  <c r="H27" i="3"/>
  <c r="G27" i="3"/>
  <c r="K27" i="3"/>
  <c r="AD27" i="3"/>
  <c r="Z27" i="3"/>
  <c r="AA27" i="3" s="1"/>
  <c r="AB27" i="3"/>
  <c r="AO27" i="3" s="1"/>
  <c r="AR27" i="3" s="1"/>
  <c r="AS27" i="3" s="1"/>
  <c r="AJ27" i="3"/>
  <c r="AQ27" i="3"/>
  <c r="BA27" i="3" s="1"/>
  <c r="AZ27" i="3"/>
  <c r="BL27" i="3"/>
  <c r="BP27" i="3" s="1"/>
  <c r="BK27" i="3" s="1"/>
  <c r="BO27" i="3" s="1"/>
  <c r="C26" i="3" a="1"/>
  <c r="AT27" i="3"/>
  <c r="AU27" i="3" l="1"/>
  <c r="AV27" i="3" s="1"/>
  <c r="AW27" i="3"/>
  <c r="AX27" i="3" s="1"/>
  <c r="U27" i="3"/>
  <c r="AL27" i="3"/>
  <c r="AY27" i="3"/>
  <c r="BB27" i="3"/>
  <c r="BC27" i="3" s="1"/>
  <c r="BN27" i="3"/>
  <c r="C26" i="3"/>
  <c r="D26" i="3" a="1"/>
  <c r="AK27" i="3" a="1"/>
  <c r="AK27" i="3" l="1"/>
  <c r="BD27" i="3"/>
  <c r="BM27" i="3"/>
  <c r="BF27" i="3"/>
  <c r="D26" i="3"/>
  <c r="E26" i="3" a="1"/>
  <c r="F26" i="3" a="1"/>
  <c r="AE27" i="3"/>
  <c r="AM27" i="3"/>
  <c r="E26" i="3" l="1"/>
  <c r="AN27" i="3"/>
  <c r="AF27" i="3"/>
  <c r="F26" i="3"/>
  <c r="Y26" i="3"/>
  <c r="AH26" i="3"/>
  <c r="AI26" i="3" s="1"/>
  <c r="K26" i="3" a="1"/>
  <c r="L26" i="3" a="1"/>
  <c r="J26" i="3" a="1"/>
  <c r="G26" i="3" a="1"/>
  <c r="H26" i="3" a="1"/>
  <c r="I26" i="3" a="1"/>
  <c r="I26" i="3" l="1"/>
  <c r="W26" i="3" s="1"/>
  <c r="H26" i="3"/>
  <c r="G26" i="3"/>
  <c r="J26" i="3"/>
  <c r="L26" i="3"/>
  <c r="K26" i="3"/>
  <c r="AD26" i="3"/>
  <c r="Z26" i="3"/>
  <c r="AA26" i="3" s="1"/>
  <c r="AB26" i="3"/>
  <c r="AO26" i="3" s="1"/>
  <c r="U26" i="3" l="1"/>
  <c r="AL26" i="3"/>
  <c r="AJ26" i="3"/>
  <c r="AR26" i="3"/>
  <c r="AS26" i="3" s="1"/>
  <c r="AQ26" i="3"/>
  <c r="BA26" i="3" s="1"/>
  <c r="AW26" i="3"/>
  <c r="AX26" i="3" s="1"/>
  <c r="AZ26" i="3"/>
  <c r="BL26" i="3"/>
  <c r="BP26" i="3" s="1"/>
  <c r="BK26" i="3" s="1"/>
  <c r="BO26" i="3" s="1"/>
  <c r="C25" i="3" a="1"/>
  <c r="AT26" i="3"/>
  <c r="AK26" i="3" a="1"/>
  <c r="AU26" i="3" l="1"/>
  <c r="AV26" i="3" s="1"/>
  <c r="AK26" i="3"/>
  <c r="BB26" i="3"/>
  <c r="BC26" i="3" s="1"/>
  <c r="AY26" i="3"/>
  <c r="BN26" i="3"/>
  <c r="C25" i="3"/>
  <c r="D25" i="3" a="1"/>
  <c r="AM26" i="3"/>
  <c r="AE26" i="3"/>
  <c r="AF26" i="3" l="1"/>
  <c r="AN26" i="3"/>
  <c r="BM26" i="3"/>
  <c r="BF26" i="3"/>
  <c r="BD26" i="3"/>
  <c r="D25" i="3"/>
  <c r="F25" i="3" a="1"/>
  <c r="E25" i="3" a="1"/>
  <c r="E25" i="3" l="1"/>
  <c r="F25" i="3"/>
  <c r="Y25" i="3"/>
  <c r="AH25" i="3"/>
  <c r="AI25" i="3" s="1"/>
  <c r="L25" i="3" a="1"/>
  <c r="K25" i="3" a="1"/>
  <c r="G25" i="3" a="1"/>
  <c r="H25" i="3" a="1"/>
  <c r="I25" i="3" a="1"/>
  <c r="J25" i="3" a="1"/>
  <c r="J25" i="3" l="1"/>
  <c r="I25" i="3"/>
  <c r="W25" i="3" s="1"/>
  <c r="H25" i="3"/>
  <c r="G25" i="3"/>
  <c r="K25" i="3"/>
  <c r="L25" i="3"/>
  <c r="AB25" i="3" s="1"/>
  <c r="AO25" i="3" s="1"/>
  <c r="AR25" i="3" s="1"/>
  <c r="AS25" i="3" s="1"/>
  <c r="AD25" i="3"/>
  <c r="Z25" i="3"/>
  <c r="AA25" i="3" s="1"/>
  <c r="AJ25" i="3"/>
  <c r="AW25" i="3"/>
  <c r="AZ25" i="3"/>
  <c r="BL25" i="3"/>
  <c r="BP25" i="3" s="1"/>
  <c r="BK25" i="3" s="1"/>
  <c r="BO25" i="3" s="1"/>
  <c r="AT25" i="3"/>
  <c r="C24" i="3" a="1"/>
  <c r="AU25" i="3" l="1"/>
  <c r="AV25" i="3" s="1"/>
  <c r="AQ25" i="3"/>
  <c r="BA25" i="3" s="1"/>
  <c r="U25" i="3"/>
  <c r="AL25" i="3"/>
  <c r="BB25" i="3"/>
  <c r="BC25" i="3" s="1"/>
  <c r="BN25" i="3"/>
  <c r="C24" i="3"/>
  <c r="D24" i="3" a="1"/>
  <c r="AK25" i="3" a="1"/>
  <c r="AK25" i="3" l="1"/>
  <c r="AX25" i="3"/>
  <c r="AY25" i="3" s="1"/>
  <c r="BM25" i="3"/>
  <c r="BF25" i="3"/>
  <c r="BD25" i="3"/>
  <c r="D24" i="3"/>
  <c r="E24" i="3" a="1"/>
  <c r="F24" i="3" a="1"/>
  <c r="AE25" i="3"/>
  <c r="AM25" i="3"/>
  <c r="E24" i="3" l="1"/>
  <c r="AN25" i="3"/>
  <c r="AF25" i="3"/>
  <c r="F24" i="3"/>
  <c r="Y24" i="3"/>
  <c r="AH24" i="3"/>
  <c r="AI24" i="3" s="1"/>
  <c r="K24" i="3" a="1"/>
  <c r="L24" i="3" a="1"/>
  <c r="J24" i="3" a="1"/>
  <c r="G24" i="3" a="1"/>
  <c r="H24" i="3" a="1"/>
  <c r="I24" i="3" a="1"/>
  <c r="I24" i="3" l="1"/>
  <c r="W24" i="3" s="1"/>
  <c r="H24" i="3"/>
  <c r="G24" i="3"/>
  <c r="J24" i="3"/>
  <c r="L24" i="3"/>
  <c r="AB24" i="3" s="1"/>
  <c r="AO24" i="3" s="1"/>
  <c r="AR24" i="3" s="1"/>
  <c r="AS24" i="3" s="1"/>
  <c r="K24" i="3"/>
  <c r="AD24" i="3"/>
  <c r="Z24" i="3"/>
  <c r="AA24" i="3" s="1"/>
  <c r="AJ24" i="3"/>
  <c r="AW24" i="3"/>
  <c r="AZ24" i="3"/>
  <c r="BL24" i="3"/>
  <c r="BN24" i="3" s="1"/>
  <c r="AT24" i="3"/>
  <c r="C23" i="3" a="1"/>
  <c r="AU24" i="3" l="1"/>
  <c r="AV24" i="3" s="1"/>
  <c r="U24" i="3"/>
  <c r="AL24" i="3"/>
  <c r="AQ24" i="3"/>
  <c r="BA24" i="3" s="1"/>
  <c r="BP24" i="3"/>
  <c r="BK24" i="3" s="1"/>
  <c r="BO24" i="3" s="1"/>
  <c r="BB24" i="3"/>
  <c r="BM24" i="3" s="1"/>
  <c r="C23" i="3"/>
  <c r="D23" i="3" a="1"/>
  <c r="AK24" i="3" a="1"/>
  <c r="AX24" i="3" l="1"/>
  <c r="AY24" i="3" s="1"/>
  <c r="AK24" i="3"/>
  <c r="BC24" i="3"/>
  <c r="BD24" i="3"/>
  <c r="BF24" i="3"/>
  <c r="D23" i="3"/>
  <c r="E23" i="3" a="1"/>
  <c r="F23" i="3" a="1"/>
  <c r="AE24" i="3"/>
  <c r="AM24" i="3"/>
  <c r="E23" i="3" l="1"/>
  <c r="AN24" i="3"/>
  <c r="AF24" i="3"/>
  <c r="F23" i="3"/>
  <c r="Y23" i="3"/>
  <c r="AH23" i="3"/>
  <c r="AI23" i="3" s="1"/>
  <c r="K23" i="3" a="1"/>
  <c r="L23" i="3" a="1"/>
  <c r="G23" i="3" a="1"/>
  <c r="H23" i="3" a="1"/>
  <c r="I23" i="3" a="1"/>
  <c r="J23" i="3" a="1"/>
  <c r="J23" i="3" l="1"/>
  <c r="I23" i="3"/>
  <c r="W23" i="3" s="1"/>
  <c r="H23" i="3"/>
  <c r="G23" i="3"/>
  <c r="L23" i="3"/>
  <c r="AB23" i="3" s="1"/>
  <c r="AO23" i="3" s="1"/>
  <c r="AR23" i="3" s="1"/>
  <c r="AS23" i="3" s="1"/>
  <c r="K23" i="3"/>
  <c r="AD23" i="3"/>
  <c r="Z23" i="3"/>
  <c r="AA23" i="3" s="1"/>
  <c r="AJ23" i="3"/>
  <c r="AW23" i="3"/>
  <c r="AZ23" i="3"/>
  <c r="BL23" i="3"/>
  <c r="BP23" i="3" s="1"/>
  <c r="BK23" i="3" s="1"/>
  <c r="BO23" i="3" s="1"/>
  <c r="AT23" i="3"/>
  <c r="C22" i="3" a="1"/>
  <c r="AU23" i="3" l="1"/>
  <c r="AV23" i="3" s="1"/>
  <c r="U23" i="3"/>
  <c r="AL23" i="3"/>
  <c r="AQ23" i="3"/>
  <c r="BA23" i="3" s="1"/>
  <c r="BB23" i="3"/>
  <c r="BM23" i="3" s="1"/>
  <c r="BN23" i="3"/>
  <c r="C22" i="3"/>
  <c r="D22" i="3" a="1"/>
  <c r="AK23" i="3" a="1"/>
  <c r="AK23" i="3" l="1"/>
  <c r="AX23" i="3"/>
  <c r="AY23" i="3" s="1"/>
  <c r="BC23" i="3"/>
  <c r="BD23" i="3"/>
  <c r="BF23" i="3"/>
  <c r="D22" i="3"/>
  <c r="E22" i="3" a="1"/>
  <c r="F22" i="3" a="1"/>
  <c r="AE23" i="3"/>
  <c r="AM23" i="3"/>
  <c r="E22" i="3" l="1"/>
  <c r="AN23" i="3"/>
  <c r="AF23" i="3"/>
  <c r="F22" i="3"/>
  <c r="Y22" i="3"/>
  <c r="AH22" i="3"/>
  <c r="AI22" i="3" s="1"/>
  <c r="K22" i="3" a="1"/>
  <c r="L22" i="3" a="1"/>
  <c r="G22" i="3" a="1"/>
  <c r="J22" i="3" a="1"/>
  <c r="I22" i="3" a="1"/>
  <c r="H22" i="3" a="1"/>
  <c r="H22" i="3" l="1"/>
  <c r="I22" i="3"/>
  <c r="W22" i="3" s="1"/>
  <c r="J22" i="3"/>
  <c r="G22" i="3"/>
  <c r="L22" i="3"/>
  <c r="AB22" i="3" s="1"/>
  <c r="AO22" i="3" s="1"/>
  <c r="AR22" i="3" s="1"/>
  <c r="AS22" i="3" s="1"/>
  <c r="K22" i="3"/>
  <c r="AD22" i="3"/>
  <c r="Z22" i="3"/>
  <c r="AA22" i="3" s="1"/>
  <c r="AJ22" i="3"/>
  <c r="AW22" i="3"/>
  <c r="AZ22" i="3"/>
  <c r="BL22" i="3"/>
  <c r="BP22" i="3" s="1"/>
  <c r="BK22" i="3" s="1"/>
  <c r="BO22" i="3" s="1"/>
  <c r="AT22" i="3"/>
  <c r="C21" i="3" a="1"/>
  <c r="AU22" i="3" l="1"/>
  <c r="AV22" i="3" s="1"/>
  <c r="U22" i="3"/>
  <c r="AL22" i="3"/>
  <c r="AQ22" i="3"/>
  <c r="BA22" i="3" s="1"/>
  <c r="BB22" i="3" s="1"/>
  <c r="BD22" i="3" s="1"/>
  <c r="BN22" i="3"/>
  <c r="C21" i="3"/>
  <c r="D21" i="3" a="1"/>
  <c r="AK22" i="3" a="1"/>
  <c r="AK22" i="3" l="1"/>
  <c r="AX22" i="3"/>
  <c r="AY22" i="3" s="1"/>
  <c r="BM22" i="3"/>
  <c r="BC22" i="3"/>
  <c r="BF22" i="3"/>
  <c r="D21" i="3"/>
  <c r="F21" i="3" a="1"/>
  <c r="E21" i="3" a="1"/>
  <c r="AE22" i="3"/>
  <c r="AM22" i="3"/>
  <c r="E21" i="3" l="1"/>
  <c r="AN22" i="3"/>
  <c r="AF22" i="3"/>
  <c r="F21" i="3"/>
  <c r="Y21" i="3"/>
  <c r="AH21" i="3"/>
  <c r="AI21" i="3" s="1"/>
  <c r="K21" i="3" a="1"/>
  <c r="G21" i="3" a="1"/>
  <c r="H21" i="3" a="1"/>
  <c r="I21" i="3" a="1"/>
  <c r="L21" i="3" a="1"/>
  <c r="J21" i="3" a="1"/>
  <c r="J21" i="3" l="1"/>
  <c r="L21" i="3"/>
  <c r="I21" i="3"/>
  <c r="W21" i="3" s="1"/>
  <c r="H21" i="3"/>
  <c r="G21" i="3"/>
  <c r="K21" i="3"/>
  <c r="AD21" i="3"/>
  <c r="Z21" i="3"/>
  <c r="AA21" i="3" s="1"/>
  <c r="AB21" i="3"/>
  <c r="AO21" i="3" s="1"/>
  <c r="U21" i="3" l="1"/>
  <c r="AL21" i="3"/>
  <c r="AJ21" i="3"/>
  <c r="AR21" i="3"/>
  <c r="AS21" i="3" s="1"/>
  <c r="AQ21" i="3"/>
  <c r="BA21" i="3" s="1"/>
  <c r="AW21" i="3"/>
  <c r="AX21" i="3" s="1"/>
  <c r="AZ21" i="3"/>
  <c r="BL21" i="3"/>
  <c r="BP21" i="3" s="1"/>
  <c r="BK21" i="3" s="1"/>
  <c r="BO21" i="3" s="1"/>
  <c r="C20" i="3" a="1"/>
  <c r="AT21" i="3"/>
  <c r="AK21" i="3" a="1"/>
  <c r="AU21" i="3" l="1"/>
  <c r="AV21" i="3" s="1"/>
  <c r="AK21" i="3"/>
  <c r="BB21" i="3"/>
  <c r="BD21" i="3" s="1"/>
  <c r="AY21" i="3"/>
  <c r="BN21" i="3"/>
  <c r="C20" i="3"/>
  <c r="D20" i="3" a="1"/>
  <c r="AM21" i="3"/>
  <c r="AE21" i="3"/>
  <c r="AN21" i="3" l="1"/>
  <c r="AF21" i="3"/>
  <c r="BF21" i="3"/>
  <c r="BM21" i="3"/>
  <c r="BC21" i="3"/>
  <c r="D20" i="3"/>
  <c r="E20" i="3" a="1"/>
  <c r="F20" i="3" a="1"/>
  <c r="E20" i="3" l="1"/>
  <c r="F20" i="3"/>
  <c r="Y20" i="3"/>
  <c r="AH20" i="3"/>
  <c r="AI20" i="3" s="1"/>
  <c r="L20" i="3" a="1"/>
  <c r="G20" i="3" a="1"/>
  <c r="H20" i="3" a="1"/>
  <c r="I20" i="3" a="1"/>
  <c r="J20" i="3" a="1"/>
  <c r="K20" i="3" a="1"/>
  <c r="K20" i="3" l="1"/>
  <c r="J20" i="3"/>
  <c r="I20" i="3"/>
  <c r="W20" i="3" s="1"/>
  <c r="H20" i="3"/>
  <c r="G20" i="3"/>
  <c r="L20" i="3"/>
  <c r="AQ20" i="3" s="1"/>
  <c r="BA20" i="3" s="1"/>
  <c r="AD20" i="3"/>
  <c r="Z20" i="3"/>
  <c r="AA20" i="3" s="1"/>
  <c r="AB20" i="3"/>
  <c r="AO20" i="3" s="1"/>
  <c r="AR20" i="3" s="1"/>
  <c r="AS20" i="3" s="1"/>
  <c r="AZ20" i="3"/>
  <c r="BL20" i="3"/>
  <c r="BP20" i="3" s="1"/>
  <c r="BK20" i="3" s="1"/>
  <c r="BO20" i="3" s="1"/>
  <c r="AT20" i="3"/>
  <c r="C19" i="3" a="1"/>
  <c r="AU20" i="3" l="1"/>
  <c r="AV20" i="3" s="1"/>
  <c r="AW20" i="3"/>
  <c r="AX20" i="3" s="1"/>
  <c r="AJ20" i="3"/>
  <c r="U20" i="3"/>
  <c r="AL20" i="3"/>
  <c r="BB20" i="3"/>
  <c r="BM20" i="3" s="1"/>
  <c r="AY20" i="3"/>
  <c r="BN20" i="3"/>
  <c r="C19" i="3"/>
  <c r="D19" i="3" a="1"/>
  <c r="AK20" i="3" a="1"/>
  <c r="AK20" i="3" l="1"/>
  <c r="BC20" i="3"/>
  <c r="BD20" i="3"/>
  <c r="BF20" i="3"/>
  <c r="D19" i="3"/>
  <c r="E19" i="3" a="1"/>
  <c r="F19" i="3" a="1"/>
  <c r="AE20" i="3"/>
  <c r="AM20" i="3"/>
  <c r="E19" i="3" l="1"/>
  <c r="AN20" i="3"/>
  <c r="AF20" i="3"/>
  <c r="F19" i="3"/>
  <c r="Y19" i="3"/>
  <c r="AH19" i="3"/>
  <c r="AI19" i="3" s="1"/>
  <c r="K19" i="3" a="1"/>
  <c r="L19" i="3" a="1"/>
  <c r="G19" i="3" a="1"/>
  <c r="H19" i="3" a="1"/>
  <c r="I19" i="3" a="1"/>
  <c r="J19" i="3" a="1"/>
  <c r="J19" i="3" l="1"/>
  <c r="I19" i="3"/>
  <c r="W19" i="3" s="1"/>
  <c r="H19" i="3"/>
  <c r="G19" i="3"/>
  <c r="L19" i="3"/>
  <c r="K19" i="3"/>
  <c r="AD19" i="3"/>
  <c r="Z19" i="3"/>
  <c r="AA19" i="3" s="1"/>
  <c r="AB19" i="3"/>
  <c r="AO19" i="3" s="1"/>
  <c r="AR19" i="3" s="1"/>
  <c r="AS19" i="3" s="1"/>
  <c r="AQ19" i="3"/>
  <c r="BA19" i="3" s="1"/>
  <c r="AZ19" i="3"/>
  <c r="BL19" i="3"/>
  <c r="BP19" i="3" s="1"/>
  <c r="BK19" i="3" s="1"/>
  <c r="BO19" i="3" s="1"/>
  <c r="AT19" i="3"/>
  <c r="C18" i="3" a="1"/>
  <c r="AU19" i="3" l="1"/>
  <c r="AV19" i="3" s="1"/>
  <c r="AW19" i="3"/>
  <c r="AX19" i="3" s="1"/>
  <c r="U19" i="3"/>
  <c r="AL19" i="3"/>
  <c r="AJ19" i="3"/>
  <c r="BB19" i="3"/>
  <c r="BM19" i="3" s="1"/>
  <c r="AY19" i="3"/>
  <c r="BN19" i="3"/>
  <c r="C18" i="3"/>
  <c r="D18" i="3" a="1"/>
  <c r="AK19" i="3" a="1"/>
  <c r="AK19" i="3" l="1"/>
  <c r="BC19" i="3"/>
  <c r="BD19" i="3"/>
  <c r="BF19" i="3"/>
  <c r="D18" i="3"/>
  <c r="E18" i="3" a="1"/>
  <c r="F18" i="3" a="1"/>
  <c r="AM19" i="3"/>
  <c r="AE19" i="3"/>
  <c r="E18" i="3" l="1"/>
  <c r="AF19" i="3"/>
  <c r="AN19" i="3"/>
  <c r="F18" i="3"/>
  <c r="Y18" i="3"/>
  <c r="AH18" i="3"/>
  <c r="AI18" i="3" s="1"/>
  <c r="K18" i="3" a="1"/>
  <c r="L18" i="3" a="1"/>
  <c r="G18" i="3" a="1"/>
  <c r="H18" i="3" a="1"/>
  <c r="I18" i="3" a="1"/>
  <c r="J18" i="3" a="1"/>
  <c r="J18" i="3" l="1"/>
  <c r="I18" i="3"/>
  <c r="W18" i="3" s="1"/>
  <c r="H18" i="3"/>
  <c r="G18" i="3"/>
  <c r="L18" i="3"/>
  <c r="K18" i="3"/>
  <c r="AD18" i="3"/>
  <c r="Z18" i="3"/>
  <c r="AA18" i="3" s="1"/>
  <c r="AB18" i="3"/>
  <c r="AO18" i="3" s="1"/>
  <c r="AR18" i="3" s="1"/>
  <c r="AS18" i="3" s="1"/>
  <c r="AQ18" i="3"/>
  <c r="BA18" i="3" s="1"/>
  <c r="AZ18" i="3"/>
  <c r="BL18" i="3"/>
  <c r="BP18" i="3" s="1"/>
  <c r="BK18" i="3" s="1"/>
  <c r="BO18" i="3" s="1"/>
  <c r="AT18" i="3"/>
  <c r="C17" i="3" a="1"/>
  <c r="AU18" i="3" l="1"/>
  <c r="AV18" i="3" s="1"/>
  <c r="AW18" i="3"/>
  <c r="AX18" i="3" s="1"/>
  <c r="U18" i="3"/>
  <c r="AL18" i="3"/>
  <c r="AJ18" i="3"/>
  <c r="BB18" i="3"/>
  <c r="BD18" i="3" s="1"/>
  <c r="AY18" i="3"/>
  <c r="BN18" i="3"/>
  <c r="C17" i="3"/>
  <c r="D17" i="3" a="1"/>
  <c r="AK18" i="3" a="1"/>
  <c r="AK18" i="3" l="1"/>
  <c r="BF18" i="3"/>
  <c r="BM18" i="3"/>
  <c r="BC18" i="3"/>
  <c r="D17" i="3"/>
  <c r="E17" i="3" a="1"/>
  <c r="F17" i="3" a="1"/>
  <c r="AM18" i="3"/>
  <c r="AE18" i="3"/>
  <c r="E17" i="3" l="1"/>
  <c r="AF18" i="3"/>
  <c r="AN18" i="3"/>
  <c r="F17" i="3"/>
  <c r="Y17" i="3"/>
  <c r="AH17" i="3"/>
  <c r="AI17" i="3" s="1"/>
  <c r="K17" i="3" a="1"/>
  <c r="L17" i="3" a="1"/>
  <c r="G17" i="3" a="1"/>
  <c r="H17" i="3" a="1"/>
  <c r="I17" i="3" a="1"/>
  <c r="J17" i="3" a="1"/>
  <c r="J17" i="3" l="1"/>
  <c r="I17" i="3"/>
  <c r="W17" i="3" s="1"/>
  <c r="H17" i="3"/>
  <c r="G17" i="3"/>
  <c r="L17" i="3"/>
  <c r="AB17" i="3" s="1"/>
  <c r="AO17" i="3" s="1"/>
  <c r="AR17" i="3" s="1"/>
  <c r="AS17" i="3" s="1"/>
  <c r="K17" i="3"/>
  <c r="AD17" i="3"/>
  <c r="Z17" i="3"/>
  <c r="AA17" i="3" s="1"/>
  <c r="AJ17" i="3"/>
  <c r="AW17" i="3"/>
  <c r="AZ17" i="3"/>
  <c r="BL17" i="3"/>
  <c r="BP17" i="3" s="1"/>
  <c r="BK17" i="3" s="1"/>
  <c r="BO17" i="3" s="1"/>
  <c r="AT17" i="3"/>
  <c r="C16" i="3" a="1"/>
  <c r="AU17" i="3" l="1"/>
  <c r="AV17" i="3" s="1"/>
  <c r="U17" i="3"/>
  <c r="AL17" i="3"/>
  <c r="AQ17" i="3"/>
  <c r="BA17" i="3" s="1"/>
  <c r="BB17" i="3" s="1"/>
  <c r="BM17" i="3" s="1"/>
  <c r="BN17" i="3"/>
  <c r="C16" i="3"/>
  <c r="D16" i="3" a="1"/>
  <c r="AK17" i="3" a="1"/>
  <c r="AK17" i="3" l="1"/>
  <c r="AX17" i="3"/>
  <c r="AY17" i="3" s="1"/>
  <c r="BC17" i="3"/>
  <c r="BD17" i="3"/>
  <c r="BF17" i="3"/>
  <c r="D16" i="3"/>
  <c r="E16" i="3" a="1"/>
  <c r="F16" i="3" a="1"/>
  <c r="AE17" i="3"/>
  <c r="AM17" i="3"/>
  <c r="E16" i="3" l="1"/>
  <c r="AN17" i="3"/>
  <c r="AF17" i="3"/>
  <c r="F16" i="3"/>
  <c r="Y16" i="3"/>
  <c r="AH16" i="3"/>
  <c r="AI16" i="3" s="1"/>
  <c r="K16" i="3" a="1"/>
  <c r="L16" i="3" a="1"/>
  <c r="G16" i="3" a="1"/>
  <c r="H16" i="3" a="1"/>
  <c r="I16" i="3" a="1"/>
  <c r="J16" i="3" a="1"/>
  <c r="J16" i="3" l="1"/>
  <c r="I16" i="3"/>
  <c r="W16" i="3" s="1"/>
  <c r="H16" i="3"/>
  <c r="G16" i="3"/>
  <c r="L16" i="3"/>
  <c r="AB16" i="3" s="1"/>
  <c r="AO16" i="3" s="1"/>
  <c r="AR16" i="3" s="1"/>
  <c r="AS16" i="3" s="1"/>
  <c r="K16" i="3"/>
  <c r="AD16" i="3"/>
  <c r="Z16" i="3"/>
  <c r="AA16" i="3" s="1"/>
  <c r="AJ16" i="3"/>
  <c r="AW16" i="3"/>
  <c r="AZ16" i="3"/>
  <c r="BL16" i="3"/>
  <c r="BP16" i="3" s="1"/>
  <c r="BK16" i="3" s="1"/>
  <c r="BO16" i="3" s="1"/>
  <c r="AT16" i="3"/>
  <c r="C15" i="3" a="1"/>
  <c r="AU16" i="3" l="1"/>
  <c r="AV16" i="3" s="1"/>
  <c r="U16" i="3"/>
  <c r="AL16" i="3"/>
  <c r="AQ16" i="3"/>
  <c r="BA16" i="3" s="1"/>
  <c r="BB16" i="3" s="1"/>
  <c r="BM16" i="3" s="1"/>
  <c r="BN16" i="3"/>
  <c r="C15" i="3"/>
  <c r="D15" i="3" a="1"/>
  <c r="AK16" i="3" a="1"/>
  <c r="AK16" i="3" l="1"/>
  <c r="AX16" i="3"/>
  <c r="AY16" i="3" s="1"/>
  <c r="BC16" i="3"/>
  <c r="BD16" i="3"/>
  <c r="BF16" i="3"/>
  <c r="D15" i="3"/>
  <c r="E15" i="3" a="1"/>
  <c r="F15" i="3" a="1"/>
  <c r="AE16" i="3"/>
  <c r="AM16" i="3"/>
  <c r="E15" i="3" l="1"/>
  <c r="AN16" i="3"/>
  <c r="AF16" i="3"/>
  <c r="F15" i="3"/>
  <c r="Y15" i="3"/>
  <c r="AH15" i="3"/>
  <c r="AI15" i="3" s="1"/>
  <c r="K15" i="3" a="1"/>
  <c r="L15" i="3" a="1"/>
  <c r="G15" i="3" a="1"/>
  <c r="H15" i="3" a="1"/>
  <c r="I15" i="3" a="1"/>
  <c r="J15" i="3" a="1"/>
  <c r="J15" i="3" l="1"/>
  <c r="I15" i="3"/>
  <c r="W15" i="3" s="1"/>
  <c r="H15" i="3"/>
  <c r="G15" i="3"/>
  <c r="L15" i="3"/>
  <c r="K15" i="3"/>
  <c r="AD15" i="3"/>
  <c r="Z15" i="3"/>
  <c r="AA15" i="3" s="1"/>
  <c r="AB15" i="3"/>
  <c r="AO15" i="3" s="1"/>
  <c r="U15" i="3" l="1"/>
  <c r="AL15" i="3"/>
  <c r="AJ15" i="3"/>
  <c r="AR15" i="3"/>
  <c r="AS15" i="3" s="1"/>
  <c r="AQ15" i="3"/>
  <c r="BA15" i="3" s="1"/>
  <c r="AW15" i="3"/>
  <c r="AX15" i="3" s="1"/>
  <c r="AZ15" i="3"/>
  <c r="BL15" i="3"/>
  <c r="BP15" i="3" s="1"/>
  <c r="BK15" i="3" s="1"/>
  <c r="BO15" i="3" s="1"/>
  <c r="C14" i="3" a="1"/>
  <c r="AT15" i="3"/>
  <c r="AK15" i="3" a="1"/>
  <c r="AU15" i="3" l="1"/>
  <c r="AV15" i="3" s="1"/>
  <c r="AK15" i="3"/>
  <c r="BB15" i="3"/>
  <c r="BF15" i="3" s="1"/>
  <c r="AY15" i="3"/>
  <c r="BN15" i="3"/>
  <c r="C14" i="3"/>
  <c r="D14" i="3" a="1"/>
  <c r="AM15" i="3"/>
  <c r="AE15" i="3"/>
  <c r="AF15" i="3" l="1"/>
  <c r="AN15" i="3"/>
  <c r="BD15" i="3"/>
  <c r="BC15" i="3"/>
  <c r="BM15" i="3"/>
  <c r="D14" i="3"/>
  <c r="E14" i="3" a="1"/>
  <c r="F14" i="3" a="1"/>
  <c r="E14" i="3" l="1"/>
  <c r="F14" i="3"/>
  <c r="Y14" i="3"/>
  <c r="AH14" i="3"/>
  <c r="AI14" i="3" s="1"/>
  <c r="L14" i="3" a="1"/>
  <c r="G14" i="3" a="1"/>
  <c r="H14" i="3" a="1"/>
  <c r="I14" i="3" a="1"/>
  <c r="J14" i="3" a="1"/>
  <c r="K14" i="3" a="1"/>
  <c r="K14" i="3" l="1"/>
  <c r="J14" i="3"/>
  <c r="I14" i="3"/>
  <c r="W14" i="3" s="1"/>
  <c r="H14" i="3"/>
  <c r="G14" i="3"/>
  <c r="L14" i="3"/>
  <c r="AB14" i="3" s="1"/>
  <c r="AO14" i="3" s="1"/>
  <c r="AR14" i="3" s="1"/>
  <c r="AS14" i="3" s="1"/>
  <c r="AD14" i="3"/>
  <c r="Z14" i="3"/>
  <c r="AA14" i="3" s="1"/>
  <c r="AJ14" i="3"/>
  <c r="AW14" i="3"/>
  <c r="AZ14" i="3"/>
  <c r="BL14" i="3"/>
  <c r="BP14" i="3" s="1"/>
  <c r="BK14" i="3" s="1"/>
  <c r="BO14" i="3" s="1"/>
  <c r="AT14" i="3"/>
  <c r="C13" i="3" a="1"/>
  <c r="AU14" i="3" l="1"/>
  <c r="AV14" i="3" s="1"/>
  <c r="AQ14" i="3"/>
  <c r="BA14" i="3" s="1"/>
  <c r="U14" i="3"/>
  <c r="AL14" i="3"/>
  <c r="BB14" i="3"/>
  <c r="BM14" i="3" s="1"/>
  <c r="BN14" i="3"/>
  <c r="C13" i="3"/>
  <c r="D13" i="3" a="1"/>
  <c r="AK14" i="3" a="1"/>
  <c r="AK14" i="3" l="1"/>
  <c r="AX14" i="3"/>
  <c r="AY14" i="3" s="1"/>
  <c r="BC14" i="3"/>
  <c r="BD14" i="3"/>
  <c r="BF14" i="3"/>
  <c r="D13" i="3"/>
  <c r="E13" i="3" a="1"/>
  <c r="F13" i="3" a="1"/>
  <c r="AE14" i="3"/>
  <c r="AM14" i="3"/>
  <c r="E13" i="3" l="1"/>
  <c r="AN14" i="3"/>
  <c r="AF14" i="3"/>
  <c r="F13" i="3"/>
  <c r="Y13" i="3"/>
  <c r="AH13" i="3"/>
  <c r="AI13" i="3" s="1"/>
  <c r="K13" i="3" a="1"/>
  <c r="L13" i="3" a="1"/>
  <c r="G13" i="3" a="1"/>
  <c r="H13" i="3" a="1"/>
  <c r="I13" i="3" a="1"/>
  <c r="J13" i="3" a="1"/>
  <c r="J13" i="3" l="1"/>
  <c r="I13" i="3"/>
  <c r="W13" i="3" s="1"/>
  <c r="H13" i="3"/>
  <c r="G13" i="3"/>
  <c r="L13" i="3"/>
  <c r="K13" i="3"/>
  <c r="AD13" i="3"/>
  <c r="Z13" i="3"/>
  <c r="AA13" i="3" s="1"/>
  <c r="AB13" i="3"/>
  <c r="AO13" i="3" s="1"/>
  <c r="U13" i="3" l="1"/>
  <c r="AL13" i="3"/>
  <c r="AJ13" i="3"/>
  <c r="AR13" i="3"/>
  <c r="AS13" i="3" s="1"/>
  <c r="AQ13" i="3"/>
  <c r="BA13" i="3" s="1"/>
  <c r="AW13" i="3"/>
  <c r="AZ13" i="3"/>
  <c r="BL13" i="3"/>
  <c r="BP13" i="3" s="1"/>
  <c r="BK13" i="3" s="1"/>
  <c r="BO13" i="3" s="1"/>
  <c r="AT13" i="3"/>
  <c r="C12" i="3" a="1"/>
  <c r="AK13" i="3" a="1"/>
  <c r="AX13" i="3" l="1"/>
  <c r="AU13" i="3"/>
  <c r="AV13" i="3" s="1"/>
  <c r="AK13" i="3"/>
  <c r="AY13" i="3"/>
  <c r="BB13" i="3"/>
  <c r="BD13" i="3" s="1"/>
  <c r="BN13" i="3"/>
  <c r="C12" i="3"/>
  <c r="D12" i="3" a="1"/>
  <c r="AM13" i="3"/>
  <c r="AE13" i="3"/>
  <c r="AF13" i="3" l="1"/>
  <c r="AN13" i="3"/>
  <c r="BM13" i="3"/>
  <c r="BC13" i="3"/>
  <c r="BF13" i="3"/>
  <c r="D12" i="3"/>
  <c r="F12" i="3" a="1"/>
  <c r="E12" i="3" a="1"/>
  <c r="E12" i="3" l="1"/>
  <c r="F12" i="3"/>
  <c r="Y12" i="3"/>
  <c r="AH12" i="3"/>
  <c r="AI12" i="3" s="1"/>
  <c r="L12" i="3" a="1"/>
  <c r="G12" i="3" a="1"/>
  <c r="J12" i="3" a="1"/>
  <c r="K12" i="3" a="1"/>
  <c r="H12" i="3" a="1"/>
  <c r="I12" i="3" a="1"/>
  <c r="I12" i="3" l="1"/>
  <c r="W12" i="3" s="1"/>
  <c r="H12" i="3"/>
  <c r="K12" i="3"/>
  <c r="J12" i="3"/>
  <c r="G12" i="3"/>
  <c r="L12" i="3"/>
  <c r="AD12" i="3"/>
  <c r="Z12" i="3"/>
  <c r="AA12" i="3" s="1"/>
  <c r="AB12" i="3"/>
  <c r="AO12" i="3" s="1"/>
  <c r="AR12" i="3" s="1"/>
  <c r="AS12" i="3" s="1"/>
  <c r="AJ12" i="3"/>
  <c r="AQ12" i="3"/>
  <c r="BA12" i="3" s="1"/>
  <c r="AZ12" i="3"/>
  <c r="BL12" i="3"/>
  <c r="BP12" i="3" s="1"/>
  <c r="BK12" i="3" s="1"/>
  <c r="BO12" i="3" s="1"/>
  <c r="AT12" i="3"/>
  <c r="C11" i="3" a="1"/>
  <c r="AU12" i="3" l="1"/>
  <c r="AV12" i="3" s="1"/>
  <c r="AW12" i="3"/>
  <c r="AX12" i="3" s="1"/>
  <c r="U12" i="3"/>
  <c r="AL12" i="3"/>
  <c r="AY12" i="3"/>
  <c r="BB12" i="3"/>
  <c r="BM12" i="3" s="1"/>
  <c r="BN12" i="3"/>
  <c r="C11" i="3"/>
  <c r="D11" i="3" a="1"/>
  <c r="AK12" i="3" a="1"/>
  <c r="AK12" i="3" l="1"/>
  <c r="BC12" i="3"/>
  <c r="BD12" i="3"/>
  <c r="BF12" i="3"/>
  <c r="D11" i="3"/>
  <c r="F11" i="3" a="1"/>
  <c r="E11" i="3" a="1"/>
  <c r="AE12" i="3"/>
  <c r="AM12" i="3"/>
  <c r="E11" i="3" l="1"/>
  <c r="AN12" i="3"/>
  <c r="AF12" i="3"/>
  <c r="F11" i="3"/>
  <c r="Y11" i="3"/>
  <c r="AH11" i="3"/>
  <c r="AI11" i="3" s="1"/>
  <c r="K11" i="3" a="1"/>
  <c r="G11" i="3" a="1"/>
  <c r="H11" i="3" a="1"/>
  <c r="L11" i="3" a="1"/>
  <c r="I11" i="3" a="1"/>
  <c r="J11" i="3" a="1"/>
  <c r="J11" i="3" l="1"/>
  <c r="I11" i="3"/>
  <c r="W11" i="3" s="1"/>
  <c r="L11" i="3"/>
  <c r="AB11" i="3" s="1"/>
  <c r="AO11" i="3" s="1"/>
  <c r="AR11" i="3" s="1"/>
  <c r="AS11" i="3" s="1"/>
  <c r="H11" i="3"/>
  <c r="G11" i="3"/>
  <c r="K11" i="3"/>
  <c r="AD11" i="3"/>
  <c r="Z11" i="3"/>
  <c r="AA11" i="3" s="1"/>
  <c r="AJ11" i="3"/>
  <c r="AQ11" i="3"/>
  <c r="BA11" i="3" s="1"/>
  <c r="AW11" i="3"/>
  <c r="AX11" i="3" s="1"/>
  <c r="AZ11" i="3"/>
  <c r="BL11" i="3"/>
  <c r="BP11" i="3" s="1"/>
  <c r="BK11" i="3" s="1"/>
  <c r="BO11" i="3" s="1"/>
  <c r="AT11" i="3"/>
  <c r="C10" i="3" a="1"/>
  <c r="AU11" i="3" l="1"/>
  <c r="AV11" i="3" s="1"/>
  <c r="U11" i="3"/>
  <c r="AL11" i="3"/>
  <c r="AY11" i="3"/>
  <c r="BB11" i="3"/>
  <c r="BM11" i="3" s="1"/>
  <c r="BN11" i="3"/>
  <c r="C10" i="3"/>
  <c r="D10" i="3" a="1"/>
  <c r="AK11" i="3" a="1"/>
  <c r="AK11" i="3" l="1"/>
  <c r="BC11" i="3"/>
  <c r="BD11" i="3"/>
  <c r="BF11" i="3"/>
  <c r="D10" i="3"/>
  <c r="E10" i="3" a="1"/>
  <c r="F10" i="3" a="1"/>
  <c r="AE11" i="3"/>
  <c r="AM11" i="3"/>
  <c r="E10" i="3" l="1"/>
  <c r="AN11" i="3"/>
  <c r="AF11" i="3"/>
  <c r="F10" i="3"/>
  <c r="Y10" i="3"/>
  <c r="AH10" i="3"/>
  <c r="AI10" i="3" s="1"/>
  <c r="K10" i="3" a="1"/>
  <c r="G10" i="3" a="1"/>
  <c r="H10" i="3" a="1"/>
  <c r="I10" i="3" a="1"/>
  <c r="J10" i="3" a="1"/>
  <c r="L10" i="3" a="1"/>
  <c r="L10" i="3" l="1"/>
  <c r="AB10" i="3" s="1"/>
  <c r="AO10" i="3" s="1"/>
  <c r="J10" i="3"/>
  <c r="I10" i="3"/>
  <c r="W10" i="3" s="1"/>
  <c r="H10" i="3"/>
  <c r="G10" i="3"/>
  <c r="AZ10" i="3" s="1"/>
  <c r="K10" i="3"/>
  <c r="AD10" i="3"/>
  <c r="Z10" i="3"/>
  <c r="AA10" i="3" s="1"/>
  <c r="AJ10" i="3"/>
  <c r="AR10" i="3"/>
  <c r="AS10" i="3" s="1"/>
  <c r="AQ10" i="3"/>
  <c r="BA10" i="3" s="1"/>
  <c r="AW10" i="3"/>
  <c r="AX10" i="3" s="1"/>
  <c r="BL10" i="3"/>
  <c r="BP10" i="3" s="1"/>
  <c r="BK10" i="3" s="1"/>
  <c r="BO10" i="3" s="1"/>
  <c r="AT10" i="3"/>
  <c r="C9" i="3" a="1"/>
  <c r="AU10" i="3" l="1"/>
  <c r="AV10" i="3" s="1"/>
  <c r="U10" i="3"/>
  <c r="AL10" i="3"/>
  <c r="AY10" i="3"/>
  <c r="BB10" i="3"/>
  <c r="BM10" i="3" s="1"/>
  <c r="BN10" i="3"/>
  <c r="C9" i="3"/>
  <c r="D9" i="3" a="1"/>
  <c r="AK10" i="3" a="1"/>
  <c r="AK10" i="3" l="1"/>
  <c r="BC10" i="3"/>
  <c r="BD10" i="3"/>
  <c r="BF10" i="3"/>
  <c r="D9" i="3"/>
  <c r="F9" i="3" a="1"/>
  <c r="E9" i="3" a="1"/>
  <c r="AE10" i="3"/>
  <c r="AM10" i="3"/>
  <c r="E9" i="3" l="1"/>
  <c r="AN10" i="3"/>
  <c r="AF10" i="3"/>
  <c r="F9" i="3"/>
  <c r="Y9" i="3"/>
  <c r="AH9" i="3"/>
  <c r="AI9" i="3" s="1"/>
  <c r="K9" i="3" a="1"/>
  <c r="L9" i="3" a="1"/>
  <c r="H9" i="3" a="1"/>
  <c r="G9" i="3" a="1"/>
  <c r="I9" i="3" a="1"/>
  <c r="J9" i="3" a="1"/>
  <c r="J9" i="3" l="1"/>
  <c r="I9" i="3"/>
  <c r="W9" i="3" s="1"/>
  <c r="G9" i="3"/>
  <c r="H9" i="3"/>
  <c r="L9" i="3"/>
  <c r="AB9" i="3" s="1"/>
  <c r="AO9" i="3" s="1"/>
  <c r="AR9" i="3" s="1"/>
  <c r="AS9" i="3" s="1"/>
  <c r="K9" i="3"/>
  <c r="AD9" i="3"/>
  <c r="Z9" i="3"/>
  <c r="AA9" i="3" s="1"/>
  <c r="AJ9" i="3"/>
  <c r="AW9" i="3"/>
  <c r="AZ9" i="3"/>
  <c r="BL9" i="3"/>
  <c r="BP9" i="3" s="1"/>
  <c r="BK9" i="3" s="1"/>
  <c r="BO9" i="3" s="1"/>
  <c r="AT9" i="3"/>
  <c r="C8" i="3" a="1"/>
  <c r="AU9" i="3" l="1"/>
  <c r="AV9" i="3" s="1"/>
  <c r="U9" i="3"/>
  <c r="AL9" i="3"/>
  <c r="AQ9" i="3"/>
  <c r="BA9" i="3" s="1"/>
  <c r="BB9" i="3" s="1"/>
  <c r="BC9" i="3" s="1"/>
  <c r="BN9" i="3"/>
  <c r="C8" i="3"/>
  <c r="D8" i="3" a="1"/>
  <c r="AK9" i="3" a="1"/>
  <c r="AK9" i="3" l="1"/>
  <c r="AX9" i="3"/>
  <c r="AY9" i="3" s="1"/>
  <c r="BM9" i="3"/>
  <c r="BD9" i="3"/>
  <c r="BF9" i="3"/>
  <c r="D8" i="3"/>
  <c r="F8" i="3" a="1"/>
  <c r="E8" i="3" a="1"/>
  <c r="AE9" i="3"/>
  <c r="AM9" i="3"/>
  <c r="E8" i="3" l="1"/>
  <c r="AN9" i="3"/>
  <c r="AF9" i="3"/>
  <c r="F8" i="3"/>
  <c r="Y8" i="3"/>
  <c r="AH8" i="3"/>
  <c r="AI8" i="3" s="1"/>
  <c r="K8" i="3" a="1"/>
  <c r="L8" i="3" a="1"/>
  <c r="H8" i="3" a="1"/>
  <c r="G8" i="3" a="1"/>
  <c r="I8" i="3" a="1"/>
  <c r="J8" i="3" a="1"/>
  <c r="J8" i="3" l="1"/>
  <c r="I8" i="3"/>
  <c r="W8" i="3" s="1"/>
  <c r="G8" i="3"/>
  <c r="H8" i="3"/>
  <c r="L8" i="3"/>
  <c r="K8" i="3"/>
  <c r="AD8" i="3"/>
  <c r="Z8" i="3"/>
  <c r="AA8" i="3" s="1"/>
  <c r="AB8" i="3"/>
  <c r="AO8" i="3" s="1"/>
  <c r="U8" i="3" l="1"/>
  <c r="AL8" i="3"/>
  <c r="AJ8" i="3"/>
  <c r="AR8" i="3"/>
  <c r="AS8" i="3" s="1"/>
  <c r="AQ8" i="3"/>
  <c r="BA8" i="3" s="1"/>
  <c r="AW8" i="3"/>
  <c r="AZ8" i="3"/>
  <c r="BL8" i="3"/>
  <c r="BP8" i="3" s="1"/>
  <c r="BK8" i="3" s="1"/>
  <c r="BO8" i="3" s="1"/>
  <c r="C7" i="3" a="1"/>
  <c r="AT8" i="3"/>
  <c r="AK8" i="3" a="1"/>
  <c r="AX8" i="3" l="1"/>
  <c r="AU8" i="3"/>
  <c r="AV8" i="3" s="1"/>
  <c r="AK8" i="3"/>
  <c r="BB8" i="3"/>
  <c r="BM8" i="3" s="1"/>
  <c r="AY8" i="3"/>
  <c r="BN8" i="3"/>
  <c r="C7" i="3"/>
  <c r="D7" i="3" a="1"/>
  <c r="AE8" i="3"/>
  <c r="AM8" i="3"/>
  <c r="AN8" i="3" l="1"/>
  <c r="AF8" i="3"/>
  <c r="BD8" i="3"/>
  <c r="BC8" i="3"/>
  <c r="BF8" i="3"/>
  <c r="D7" i="3"/>
  <c r="F7" i="3" a="1"/>
  <c r="E7" i="3" a="1"/>
  <c r="E7" i="3" l="1"/>
  <c r="F7" i="3"/>
  <c r="Y7" i="3"/>
  <c r="AH7" i="3"/>
  <c r="AI7" i="3" s="1"/>
  <c r="L7" i="3" a="1"/>
  <c r="G7" i="3" a="1"/>
  <c r="I7" i="3" a="1"/>
  <c r="H7" i="3" a="1"/>
  <c r="J7" i="3" a="1"/>
  <c r="K7" i="3" a="1"/>
  <c r="K7" i="3" l="1"/>
  <c r="J7" i="3"/>
  <c r="H7" i="3"/>
  <c r="I7" i="3"/>
  <c r="W7" i="3" s="1"/>
  <c r="G7" i="3"/>
  <c r="L7" i="3"/>
  <c r="AB7" i="3" s="1"/>
  <c r="AO7" i="3" s="1"/>
  <c r="AR7" i="3" s="1"/>
  <c r="AS7" i="3" s="1"/>
  <c r="AD7" i="3"/>
  <c r="Z7" i="3"/>
  <c r="AA7" i="3" s="1"/>
  <c r="AJ7" i="3"/>
  <c r="AW7" i="3"/>
  <c r="AZ7" i="3"/>
  <c r="BL7" i="3"/>
  <c r="BP7" i="3" s="1"/>
  <c r="BK7" i="3" s="1"/>
  <c r="BO7" i="3" s="1"/>
  <c r="AT7" i="3"/>
  <c r="C6" i="3" a="1"/>
  <c r="AU7" i="3" l="1"/>
  <c r="AV7" i="3" s="1"/>
  <c r="AQ7" i="3"/>
  <c r="BA7" i="3" s="1"/>
  <c r="AL7" i="3"/>
  <c r="U7" i="3"/>
  <c r="BB7" i="3"/>
  <c r="BC7" i="3" s="1"/>
  <c r="BN7" i="3"/>
  <c r="C6" i="3"/>
  <c r="D6" i="3" a="1"/>
  <c r="AK7" i="3" a="1"/>
  <c r="AK7" i="3" l="1"/>
  <c r="AX7" i="3"/>
  <c r="AY7" i="3" s="1"/>
  <c r="BM7" i="3"/>
  <c r="BD7" i="3"/>
  <c r="BF7" i="3"/>
  <c r="D6" i="3"/>
  <c r="F6" i="3" a="1"/>
  <c r="E6" i="3" a="1"/>
  <c r="AE7" i="3"/>
  <c r="AM7" i="3"/>
  <c r="E6" i="3" l="1"/>
  <c r="AN7" i="3"/>
  <c r="AF7" i="3"/>
  <c r="F6" i="3"/>
  <c r="Y6" i="3"/>
  <c r="AH6" i="3"/>
  <c r="AI6" i="3" s="1"/>
  <c r="K6" i="3" a="1"/>
  <c r="L6" i="3" a="1"/>
  <c r="G6" i="3" a="1"/>
  <c r="I6" i="3" a="1"/>
  <c r="H6" i="3" a="1"/>
  <c r="J6" i="3" a="1"/>
  <c r="J6" i="3" l="1"/>
  <c r="H6" i="3"/>
  <c r="I6" i="3"/>
  <c r="W6" i="3" s="1"/>
  <c r="G6" i="3"/>
  <c r="L6" i="3"/>
  <c r="AB6" i="3" s="1"/>
  <c r="AO6" i="3" s="1"/>
  <c r="AR6" i="3" s="1"/>
  <c r="AS6" i="3" s="1"/>
  <c r="K6" i="3"/>
  <c r="AD6" i="3"/>
  <c r="Z6" i="3"/>
  <c r="AA6" i="3" s="1"/>
  <c r="AJ6" i="3"/>
  <c r="AW6" i="3"/>
  <c r="AZ6" i="3"/>
  <c r="BL6" i="3"/>
  <c r="BP6" i="3" s="1"/>
  <c r="BK6" i="3" s="1"/>
  <c r="BO6" i="3" s="1"/>
  <c r="AT6" i="3"/>
  <c r="C5" i="3" a="1"/>
  <c r="AU6" i="3" l="1"/>
  <c r="AV6" i="3" s="1"/>
  <c r="U6" i="3"/>
  <c r="AL6" i="3"/>
  <c r="AQ6" i="3"/>
  <c r="BA6" i="3" s="1"/>
  <c r="BB6" i="3" s="1"/>
  <c r="BM6" i="3" s="1"/>
  <c r="BN6" i="3"/>
  <c r="C5" i="3"/>
  <c r="D5" i="3" a="1"/>
  <c r="AK6" i="3" a="1"/>
  <c r="AK6" i="3" l="1"/>
  <c r="AX6" i="3"/>
  <c r="AY6" i="3" s="1"/>
  <c r="BC6" i="3"/>
  <c r="BD6" i="3"/>
  <c r="BF6" i="3"/>
  <c r="D5" i="3"/>
  <c r="F5" i="3" a="1"/>
  <c r="E5" i="3" a="1"/>
  <c r="AE6" i="3"/>
  <c r="AM6" i="3"/>
  <c r="E5" i="3" l="1"/>
  <c r="AN6" i="3"/>
  <c r="AF6" i="3"/>
  <c r="F5" i="3"/>
  <c r="Y5" i="3"/>
  <c r="AH5" i="3"/>
  <c r="AI5" i="3" s="1"/>
  <c r="K5" i="3" a="1"/>
  <c r="L5" i="3" a="1"/>
  <c r="G5" i="3" a="1"/>
  <c r="J5" i="3" a="1"/>
  <c r="H5" i="3" a="1"/>
  <c r="I5" i="3" a="1"/>
  <c r="I5" i="3" l="1"/>
  <c r="W5" i="3" s="1"/>
  <c r="H5" i="3"/>
  <c r="J5" i="3"/>
  <c r="G5" i="3"/>
  <c r="L5" i="3"/>
  <c r="K5" i="3"/>
  <c r="AD5" i="3"/>
  <c r="Z5" i="3"/>
  <c r="AA5" i="3" s="1"/>
  <c r="AB5" i="3"/>
  <c r="AO5" i="3" s="1"/>
  <c r="AR5" i="3" s="1"/>
  <c r="AS5" i="3" s="1"/>
  <c r="AJ5" i="3"/>
  <c r="AQ5" i="3"/>
  <c r="BA5" i="3" s="1"/>
  <c r="AZ5" i="3"/>
  <c r="BL5" i="3"/>
  <c r="BP5" i="3" s="1"/>
  <c r="BK5" i="3" s="1"/>
  <c r="BO5" i="3" s="1"/>
  <c r="C4" i="3" a="1"/>
  <c r="AT5" i="3"/>
  <c r="AU5" i="3" l="1"/>
  <c r="AV5" i="3" s="1"/>
  <c r="U5" i="3"/>
  <c r="AL5" i="3"/>
  <c r="AW5" i="3"/>
  <c r="AX5" i="3" s="1"/>
  <c r="AY5" i="3" s="1"/>
  <c r="BB5" i="3"/>
  <c r="BM5" i="3" s="1"/>
  <c r="BN5" i="3"/>
  <c r="C4" i="3"/>
  <c r="D4" i="3" a="1"/>
  <c r="AK5" i="3" a="1"/>
  <c r="AK5" i="3" l="1"/>
  <c r="BC5" i="3"/>
  <c r="BD5" i="3"/>
  <c r="BF5" i="3"/>
  <c r="D4" i="3"/>
  <c r="F4" i="3" a="1"/>
  <c r="E4" i="3" a="1"/>
  <c r="AE5" i="3"/>
  <c r="AM5" i="3"/>
  <c r="E4" i="3" l="1"/>
  <c r="AN5" i="3"/>
  <c r="AF5" i="3"/>
  <c r="F4" i="3"/>
  <c r="Y4" i="3"/>
  <c r="AH4" i="3"/>
  <c r="AI4" i="3" s="1"/>
  <c r="K4" i="3" a="1"/>
  <c r="G4" i="3" a="1"/>
  <c r="H4" i="3" a="1"/>
  <c r="I4" i="3" a="1"/>
  <c r="L4" i="3" a="1"/>
  <c r="J4" i="3" a="1"/>
  <c r="J4" i="3" l="1"/>
  <c r="L4" i="3"/>
  <c r="I4" i="3"/>
  <c r="W4" i="3" s="1"/>
  <c r="H4" i="3"/>
  <c r="G4" i="3"/>
  <c r="K4" i="3"/>
  <c r="AD4" i="3"/>
  <c r="Z4" i="3"/>
  <c r="AA4" i="3" s="1"/>
  <c r="AB4" i="3"/>
  <c r="AO4" i="3" s="1"/>
  <c r="AL4" i="3" l="1"/>
  <c r="U4" i="3"/>
  <c r="AJ4" i="3"/>
  <c r="AR4" i="3"/>
  <c r="AS4" i="3" s="1"/>
  <c r="AQ4" i="3"/>
  <c r="BA4" i="3" s="1"/>
  <c r="AW4" i="3"/>
  <c r="AX4" i="3" s="1"/>
  <c r="AZ4" i="3"/>
  <c r="BL4" i="3"/>
  <c r="BP4" i="3" s="1"/>
  <c r="BK4" i="3" s="1"/>
  <c r="BO4" i="3" s="1"/>
  <c r="AT4" i="3"/>
  <c r="C3" i="3" a="1"/>
  <c r="AK4" i="3" a="1"/>
  <c r="AK4" i="3" l="1"/>
  <c r="AU4" i="3"/>
  <c r="AV4" i="3" s="1"/>
  <c r="AY4" i="3"/>
  <c r="BB4" i="3"/>
  <c r="BC4" i="3" s="1"/>
  <c r="BN4" i="3"/>
  <c r="C3" i="3"/>
  <c r="D3" i="3" a="1"/>
  <c r="AM4" i="3"/>
  <c r="AE4" i="3"/>
  <c r="AF4" i="3" l="1"/>
  <c r="AN4" i="3"/>
  <c r="BD4" i="3"/>
  <c r="BM4" i="3"/>
  <c r="BF4" i="3"/>
  <c r="D3" i="3"/>
  <c r="E3" i="3" a="1"/>
  <c r="F3" i="3" a="1"/>
  <c r="E3" i="3" l="1"/>
  <c r="F3" i="3"/>
  <c r="Y3" i="3"/>
  <c r="AH3" i="3"/>
  <c r="AI3" i="3" s="1"/>
  <c r="L3" i="3" a="1"/>
  <c r="H3" i="3" a="1"/>
  <c r="J3" i="3" a="1"/>
  <c r="K3" i="3" a="1"/>
  <c r="G3" i="3" a="1"/>
  <c r="I3" i="3" a="1"/>
  <c r="I3" i="3" l="1"/>
  <c r="W3" i="3" s="1"/>
  <c r="G3" i="3"/>
  <c r="K3" i="3"/>
  <c r="J3" i="3"/>
  <c r="H3" i="3"/>
  <c r="L3" i="3"/>
  <c r="AD3" i="3"/>
  <c r="Z3" i="3"/>
  <c r="AA3" i="3" s="1"/>
  <c r="AB3" i="3"/>
  <c r="AO3" i="3" s="1"/>
  <c r="AR3" i="3" s="1"/>
  <c r="AS3" i="3" s="1"/>
  <c r="AJ3" i="3"/>
  <c r="AQ3" i="3"/>
  <c r="BA3" i="3" s="1"/>
  <c r="AZ3" i="3"/>
  <c r="BL3" i="3"/>
  <c r="BP3" i="3" s="1"/>
  <c r="BK3" i="3" s="1"/>
  <c r="BO3" i="3" s="1"/>
  <c r="C2" i="3" a="1"/>
  <c r="AT3" i="3"/>
  <c r="AU3" i="3" l="1"/>
  <c r="AV3" i="3" s="1"/>
  <c r="AW3" i="3"/>
  <c r="AX3" i="3" s="1"/>
  <c r="U3" i="3"/>
  <c r="AL3" i="3"/>
  <c r="BB3" i="3"/>
  <c r="BM3" i="3" s="1"/>
  <c r="AY3" i="3"/>
  <c r="BN3" i="3"/>
  <c r="C2" i="3"/>
  <c r="D2" i="3" a="1"/>
  <c r="AK3" i="3" a="1"/>
  <c r="AK3" i="3" l="1"/>
  <c r="BC3" i="3"/>
  <c r="BD3" i="3"/>
  <c r="BF3" i="3"/>
  <c r="D2" i="3"/>
  <c r="F2" i="3" a="1"/>
  <c r="E2" i="3" a="1"/>
  <c r="AE3" i="3"/>
  <c r="AM3" i="3"/>
  <c r="E2" i="3" l="1"/>
  <c r="AN3" i="3"/>
  <c r="AF3" i="3"/>
  <c r="F2" i="3"/>
  <c r="Y2" i="3"/>
  <c r="AH2" i="3"/>
  <c r="AI2" i="3" s="1"/>
  <c r="K2" i="3" a="1"/>
  <c r="H2" i="3" a="1"/>
  <c r="J2" i="3" a="1"/>
  <c r="L2" i="3" a="1"/>
  <c r="G2" i="3" a="1"/>
  <c r="I2" i="3" a="1"/>
  <c r="I2" i="3" l="1"/>
  <c r="W2" i="3" s="1"/>
  <c r="G2" i="3"/>
  <c r="AZ2" i="3" s="1"/>
  <c r="L2" i="3"/>
  <c r="AB2" i="3" s="1"/>
  <c r="AO2" i="3" s="1"/>
  <c r="J2" i="3"/>
  <c r="H2" i="3"/>
  <c r="K2" i="3"/>
  <c r="AD2" i="3"/>
  <c r="Z2" i="3"/>
  <c r="AA2" i="3" s="1"/>
  <c r="AJ2" i="3"/>
  <c r="AR2" i="3"/>
  <c r="AS2" i="3" s="1"/>
  <c r="AQ2" i="3"/>
  <c r="BA2" i="3" s="1"/>
  <c r="AW2" i="3"/>
  <c r="AX2" i="3" s="1"/>
  <c r="BL2" i="3"/>
  <c r="BP2" i="3" s="1"/>
  <c r="BK2" i="3" s="1"/>
  <c r="BO2" i="3" s="1"/>
  <c r="AT2" i="3"/>
  <c r="AU2" i="3" l="1"/>
  <c r="AV2" i="3" s="1"/>
  <c r="AL2" i="3"/>
  <c r="U2" i="3"/>
  <c r="BB2" i="3"/>
  <c r="BM2" i="3" s="1"/>
  <c r="AY2" i="3"/>
  <c r="BN2" i="3"/>
  <c r="AK2" i="3" a="1"/>
  <c r="AK2" i="3" l="1"/>
  <c r="BC2" i="3"/>
  <c r="BD2" i="3"/>
  <c r="BF2" i="3"/>
  <c r="AE2" i="3"/>
  <c r="AM2" i="3"/>
  <c r="AN2" i="3" l="1"/>
  <c r="AF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<sst xmlns="http://schemas.openxmlformats.org/spreadsheetml/2006/main" count="161" uniqueCount="146">
  <si>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</si>
  <si>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</si>
  <si>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</si>
  <si>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</si>
  <si>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</si>
  <si>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</si>
  <si>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</si>
  <si>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</si>
  <si>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</si>
  <si>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</si>
  <si>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</si>
  <si>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</si>
  <si>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G</t>
  </si>
  <si>
    <t>A</t>
  </si>
  <si>
    <t>Pw</t>
  </si>
  <si>
    <t>DH</t>
  </si>
  <si>
    <t>Tin</t>
  </si>
  <si>
    <t>Tf</t>
  </si>
  <si>
    <t>f(beta)</t>
  </si>
  <si>
    <t>Re</t>
  </si>
  <si>
    <t>f</t>
  </si>
  <si>
    <t>f_left</t>
  </si>
  <si>
    <t>f_rihgt</t>
  </si>
  <si>
    <t>DB</t>
  </si>
  <si>
    <t>Tw</t>
  </si>
  <si>
    <t>Tm</t>
  </si>
  <si>
    <t>tauw</t>
  </si>
  <si>
    <t>Utau</t>
  </si>
  <si>
    <t>Q</t>
  </si>
  <si>
    <t>Pr</t>
  </si>
  <si>
    <t>delta</t>
  </si>
  <si>
    <t>UB</t>
  </si>
  <si>
    <t>LB</t>
  </si>
  <si>
    <t>YB</t>
  </si>
  <si>
    <t>HG-HL</t>
  </si>
  <si>
    <t>LB/UB</t>
  </si>
  <si>
    <t>x_Mes</t>
  </si>
  <si>
    <t>Tsub</t>
  </si>
  <si>
    <t>(Tsub-40)^2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</si>
  <si>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</si>
  <si>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</si>
  <si>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</si>
  <si>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</si>
  <si>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</si>
  <si>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</si>
  <si>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</si>
  <si>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</si>
  <si>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</si>
  <si>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</si>
  <si>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</si>
  <si>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</si>
  <si>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</si>
  <si>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</si>
  <si>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</si>
  <si>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Step</t>
  </si>
  <si>
    <t>No</t>
  </si>
  <si>
    <t>q_in</t>
  </si>
  <si>
    <t>y_plus</t>
  </si>
  <si>
    <t>y_star</t>
  </si>
  <si>
    <t>y_plus2</t>
  </si>
  <si>
    <t>T(y_plus)</t>
  </si>
  <si>
    <t>YB_plus</t>
  </si>
  <si>
    <t>Karman_UB</t>
  </si>
  <si>
    <t>UBL</t>
  </si>
  <si>
    <t>UB_left</t>
  </si>
  <si>
    <t>CD</t>
  </si>
  <si>
    <t>UB_right</t>
  </si>
  <si>
    <t>q_P</t>
  </si>
  <si>
    <t>dq_chf</t>
  </si>
  <si>
    <t>dq_ratio</t>
  </si>
  <si>
    <t>q_M</t>
  </si>
  <si>
    <t>PM_ratio</t>
  </si>
  <si>
    <t>F_form</t>
  </si>
  <si>
    <t>A_corr</t>
  </si>
  <si>
    <t>σ_corr</t>
  </si>
  <si>
    <t>Fcorr</t>
  </si>
  <si>
    <t>q_P_MW</t>
  </si>
  <si>
    <t>Tsub2</t>
  </si>
  <si>
    <t>Fcorr2</t>
  </si>
  <si>
    <t>Tw_balance</t>
    <phoneticPr fontId="1"/>
  </si>
  <si>
    <t>y_star_balance</t>
    <phoneticPr fontId="1"/>
  </si>
  <si>
    <t>UB_balance</t>
    <phoneticPr fontId="1"/>
  </si>
  <si>
    <t>f_balance</t>
    <phoneticPr fontId="1"/>
  </si>
  <si>
    <t>RowNo</t>
  </si>
  <si>
    <t>y_star-delta</t>
  </si>
  <si>
    <t>delta&lt;0</t>
  </si>
  <si>
    <t>3_108</t>
  </si>
  <si>
    <t>4_108</t>
  </si>
  <si>
    <t>5_108</t>
  </si>
  <si>
    <t>6_108</t>
  </si>
  <si>
    <t>16_108</t>
  </si>
  <si>
    <t>17_108</t>
  </si>
  <si>
    <t>18_108</t>
  </si>
  <si>
    <t>19_108</t>
  </si>
  <si>
    <t>20_108</t>
  </si>
  <si>
    <t>21_108</t>
  </si>
  <si>
    <t>22_108</t>
  </si>
  <si>
    <t>26_108</t>
  </si>
  <si>
    <t>27_108</t>
  </si>
  <si>
    <t>28_108</t>
  </si>
  <si>
    <t>1_161</t>
  </si>
  <si>
    <t>2_161</t>
  </si>
  <si>
    <t>3_161</t>
  </si>
  <si>
    <t>4_161</t>
  </si>
  <si>
    <t>6_161</t>
  </si>
  <si>
    <t>7_161</t>
  </si>
  <si>
    <t>8_161</t>
  </si>
  <si>
    <t>9_161</t>
  </si>
  <si>
    <t>10_161</t>
  </si>
  <si>
    <t>11_161</t>
  </si>
  <si>
    <t>12_161</t>
  </si>
  <si>
    <t>15_161</t>
  </si>
  <si>
    <t>16_161</t>
  </si>
  <si>
    <t>25_161</t>
  </si>
  <si>
    <t>26_161</t>
  </si>
  <si>
    <t>30_161</t>
  </si>
  <si>
    <t>32_161</t>
  </si>
  <si>
    <t>33_161</t>
  </si>
  <si>
    <t>36_161</t>
  </si>
  <si>
    <t>37_161</t>
  </si>
  <si>
    <t>40_161</t>
  </si>
  <si>
    <t>45_161</t>
  </si>
  <si>
    <t>70_161</t>
  </si>
  <si>
    <t>2_164</t>
  </si>
  <si>
    <t>3_164</t>
  </si>
  <si>
    <t>5_164</t>
  </si>
  <si>
    <t>6_164</t>
  </si>
  <si>
    <t>8_164</t>
  </si>
  <si>
    <t>9_164</t>
  </si>
  <si>
    <t>10_164</t>
  </si>
  <si>
    <t>12_164</t>
  </si>
  <si>
    <t>13_164</t>
  </si>
  <si>
    <t>14_164</t>
  </si>
  <si>
    <t>17_164</t>
  </si>
  <si>
    <t>18_164</t>
  </si>
  <si>
    <t>19_164</t>
  </si>
  <si>
    <t>21_164</t>
  </si>
  <si>
    <t>22_164</t>
  </si>
  <si>
    <t>23_164</t>
  </si>
  <si>
    <t>43_164</t>
  </si>
  <si>
    <t>55_164</t>
  </si>
  <si>
    <t>71_164</t>
  </si>
  <si>
    <t>72_164</t>
  </si>
  <si>
    <t>F2</t>
    <phoneticPr fontId="1"/>
  </si>
  <si>
    <t>L_DNB</t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</si>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</sst>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0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49" fontId="5" fillId="13" borderId="0" xfId="0" applyNumberFormat="1" applyFont="1" applyFill="1">
      <alignment vertical="center"/>
    </xf>
    <xf numFmtId="0" fontId="5" fillId="13" borderId="0" xfId="0" applyFont="1" applyFill="1">
      <alignment vertical="center"/>
    </xf>
    <xf numFmtId="0" fontId="5" fillId="13" borderId="0" xfId="0" applyFont="1" applyFill="1" applyAlignment="1"/>
    <xf numFmtId="11" fontId="5" fillId="13" borderId="0" xfId="0" applyNumberFormat="1" applyFont="1" applyFill="1">
      <alignment vertical="center"/>
    </xf>
    <xf numFmtId="1" fontId="5" fillId="13" borderId="0" xfId="0" applyNumberFormat="1" applyFont="1" applyFill="1">
      <alignment vertical="center"/>
    </xf>
    <xf numFmtId="176" fontId="5" fillId="13" borderId="0" xfId="1" applyNumberFormat="1" applyFont="1" applyFill="1"/>
    <xf numFmtId="177" fontId="5" fillId="13" borderId="0" xfId="0" applyNumberFormat="1" applyFont="1" applyFill="1">
      <alignment vertical="center"/>
    </xf>
    <xf numFmtId="2" fontId="5" fillId="13" borderId="0" xfId="0" applyNumberFormat="1" applyFont="1" applyFill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0</xdr:row>
      <xdr:rowOff>66675</xdr:rowOff>
    </xdr:from>
    <xdr:to>
      <xdr:col>27</xdr:col>
      <xdr:colOff>1235244</xdr:colOff>
      <xdr:row>0</xdr:row>
      <xdr:rowOff>492183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0" y="962025"/>
          <a:ext cx="1209844" cy="41915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23</xdr:col>
      <xdr:colOff>47625</xdr:colOff>
      <xdr:row>0</xdr:row>
      <xdr:rowOff>114300</xdr:rowOff>
    </xdr:from>
    <xdr:to>
      <xdr:col>24</xdr:col>
      <xdr:colOff>687</xdr:colOff>
      <xdr:row>0</xdr:row>
      <xdr:rowOff>514406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8300" y="1009650"/>
          <a:ext cx="2257740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24</xdr:col>
      <xdr:colOff>152400</xdr:colOff>
      <xdr:row>0</xdr:row>
      <xdr:rowOff>142875</xdr:rowOff>
    </xdr:from>
    <xdr:to>
      <xdr:col>24</xdr:col>
      <xdr:colOff>492172</xdr:colOff>
      <xdr:row>0</xdr:row>
      <xdr:rowOff>552507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40375" y="1038225"/>
          <a:ext cx="333422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25</xdr:col>
      <xdr:colOff>266700</xdr:colOff>
      <xdr:row>0</xdr:row>
      <xdr:rowOff>152400</xdr:rowOff>
    </xdr:from>
    <xdr:to>
      <xdr:col>25</xdr:col>
      <xdr:colOff>2168790</xdr:colOff>
      <xdr:row>0</xdr:row>
      <xdr:rowOff>568382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97625" y="1047750"/>
          <a:ext cx="1895740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34</xdr:col>
      <xdr:colOff>266700</xdr:colOff>
      <xdr:row>0</xdr:row>
      <xdr:rowOff>57150</xdr:rowOff>
    </xdr:from>
    <xdr:to>
      <xdr:col>34</xdr:col>
      <xdr:colOff>971648</xdr:colOff>
      <xdr:row>0</xdr:row>
      <xdr:rowOff>590624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65650" y="952500"/>
          <a:ext cx="704948" cy="53347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35</xdr:col>
      <xdr:colOff>85725</xdr:colOff>
      <xdr:row>0</xdr:row>
      <xdr:rowOff>76200</xdr:rowOff>
    </xdr:from>
    <xdr:to>
      <xdr:col>35</xdr:col>
      <xdr:colOff>895463</xdr:colOff>
      <xdr:row>0</xdr:row>
      <xdr:rowOff>514411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8675" y="971550"/>
          <a:ext cx="809738" cy="4382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33</xdr:col>
      <xdr:colOff>419100</xdr:colOff>
      <xdr:row>0</xdr:row>
      <xdr:rowOff>76200</xdr:rowOff>
    </xdr:from>
    <xdr:to>
      <xdr:col>33</xdr:col>
      <xdr:colOff>971627</xdr:colOff>
      <xdr:row>0</xdr:row>
      <xdr:rowOff>530287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94050" y="971550"/>
          <a:ext cx="552527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36</xdr:col>
      <xdr:colOff>171450</xdr:colOff>
      <xdr:row>0</xdr:row>
      <xdr:rowOff>123825</xdr:rowOff>
    </xdr:from>
    <xdr:to>
      <xdr:col>36</xdr:col>
      <xdr:colOff>1082801</xdr:colOff>
      <xdr:row>0</xdr:row>
      <xdr:rowOff>552510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728025" y="1019175"/>
          <a:ext cx="905001" cy="4286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42</xdr:col>
      <xdr:colOff>19050</xdr:colOff>
      <xdr:row>0</xdr:row>
      <xdr:rowOff>133350</xdr:rowOff>
    </xdr:from>
    <xdr:to>
      <xdr:col>42</xdr:col>
      <xdr:colOff>1152691</xdr:colOff>
      <xdr:row>0</xdr:row>
      <xdr:rowOff>533456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57300" y="1028700"/>
          <a:ext cx="1190791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47</xdr:col>
      <xdr:colOff>247650</xdr:colOff>
      <xdr:row>0</xdr:row>
      <xdr:rowOff>152400</xdr:rowOff>
    </xdr:from>
    <xdr:to>
      <xdr:col>47</xdr:col>
      <xdr:colOff>819230</xdr:colOff>
      <xdr:row>0</xdr:row>
      <xdr:rowOff>473119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958125" y="1047750"/>
          <a:ext cx="571580" cy="3143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49</xdr:col>
      <xdr:colOff>95250</xdr:colOff>
      <xdr:row>0</xdr:row>
      <xdr:rowOff>76200</xdr:rowOff>
    </xdr:from>
    <xdr:to>
      <xdr:col>49</xdr:col>
      <xdr:colOff>1197128</xdr:colOff>
      <xdr:row>0</xdr:row>
      <xdr:rowOff>530287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186850" y="971550"/>
          <a:ext cx="1095528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19050</xdr:colOff>
      <xdr:row>0</xdr:row>
      <xdr:rowOff>66675</xdr:rowOff>
    </xdr:from>
    <xdr:to>
      <xdr:col>48</xdr:col>
      <xdr:colOff>1324168</xdr:colOff>
      <xdr:row>0</xdr:row>
      <xdr:rowOff>704939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110650" y="962025"/>
          <a:ext cx="1381318" cy="63826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20</xdr:col>
      <xdr:colOff>28575</xdr:colOff>
      <xdr:row>0</xdr:row>
      <xdr:rowOff>190500</xdr:rowOff>
    </xdr:from>
    <xdr:to>
      <xdr:col>20</xdr:col>
      <xdr:colOff>1082821</xdr:colOff>
      <xdr:row>0</xdr:row>
      <xdr:rowOff>625535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97250" y="1085850"/>
          <a:ext cx="1047896" cy="42868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28</xdr:col>
      <xdr:colOff>771525</xdr:colOff>
      <xdr:row>0</xdr:row>
      <xdr:rowOff>114300</xdr:rowOff>
    </xdr:from>
    <xdr:ext cx="809738" cy="438211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40350" y="1009650"/>
          <a:ext cx="809738" cy="438211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59" totalsRowShown="0">
  <autoFilter ref="A1:BR59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+gettm2(AD2,AC2,AK2,AL2,1)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>
      <calculatedColumnFormula>1+テーブル2[[#This Row],[A_corr]]*EXP(-テーブル2[[#This Row],[(Tsub-40)^2]]/テーブル2[[#This Row],[σ_corr]])</calculatedColumnFormula>
    </tableColumn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FEDD2FAA-5CA3-4DC6-BAE4-A9EEA3CE8B4C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48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23" t="s">
        <v>39</v>
      </c>
      <c r="B1" s="23" t="s">
        <v>40</v>
      </c>
      <c r="C1" s="23" t="s">
        <v>41</v>
      </c>
      <c r="D1" s="23" t="s">
        <v>42</v>
      </c>
      <c r="E1" s="23" t="s">
        <v>43</v>
      </c>
      <c r="F1" s="23" t="s">
        <v>44</v>
      </c>
      <c r="G1" s="23" t="s">
        <v>45</v>
      </c>
      <c r="H1" s="23" t="s">
        <v>46</v>
      </c>
      <c r="I1" s="23" t="s">
        <v>47</v>
      </c>
      <c r="J1" s="23" t="s">
        <v>48</v>
      </c>
      <c r="K1" s="23" t="s">
        <v>11</v>
      </c>
      <c r="M1" s="24" t="s">
        <v>49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417503.91083365487</v>
      </c>
      <c r="F2">
        <v>2674947.6774689942</v>
      </c>
      <c r="G2">
        <v>2.8275054163792235E-4</v>
      </c>
      <c r="H2">
        <v>1.2218464015897248E-5</v>
      </c>
      <c r="I2">
        <v>0.67706063852756737</v>
      </c>
      <c r="J2">
        <v>4215.2228770654929</v>
      </c>
      <c r="K2">
        <v>5.8997248632534069E-2</v>
      </c>
      <c r="M2" t="s">
        <v>50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1.2251224495341306E-5</v>
      </c>
      <c r="I3">
        <v>0.67741596500517487</v>
      </c>
      <c r="J3">
        <v>4216.3074734940428</v>
      </c>
      <c r="K3">
        <v>5.8813650026566154E-2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1258626.4713629826</v>
      </c>
      <c r="F4">
        <v>2774863.2172916508</v>
      </c>
      <c r="G4">
        <v>9.1928026726738571E-5</v>
      </c>
      <c r="H4">
        <v>1.8812418136402912E-5</v>
      </c>
      <c r="I4">
        <v>0.57547908399454439</v>
      </c>
      <c r="J4">
        <v>5367.8848362695135</v>
      </c>
      <c r="K4">
        <v>1.7852909015351522E-2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1260424.2202912145</v>
      </c>
      <c r="F5">
        <v>2774425.9806907387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35.912218974162315</v>
      </c>
      <c r="E6">
        <v>1262216.9602104735</v>
      </c>
      <c r="F6">
        <v>2773986.3547672625</v>
      </c>
      <c r="G6">
        <v>9.1664210536410444E-5</v>
      </c>
      <c r="H6">
        <v>1.8842962394587807E-5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1.8858208761437205E-5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36.313396913129836</v>
      </c>
      <c r="E8">
        <v>1265787.6120255352</v>
      </c>
      <c r="F8">
        <v>2773099.9795593969</v>
      </c>
      <c r="G8">
        <v>9.1402939649199843E-5</v>
      </c>
      <c r="H8">
        <v>1.8873438554470605E-5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1267565.6217992639</v>
      </c>
      <c r="F9">
        <v>2772653.2520028893</v>
      </c>
      <c r="G9">
        <v>9.1273239351942053E-5</v>
      </c>
      <c r="H9">
        <v>1.8888652218810944E-5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36.525088826851935</v>
      </c>
      <c r="E10">
        <v>1267659.2832643443</v>
      </c>
      <c r="F10">
        <v>2772629.620505983</v>
      </c>
      <c r="G10">
        <v>9.1266414355739841E-5</v>
      </c>
      <c r="H10">
        <v>1.8889454347379294E-5</v>
      </c>
      <c r="I10">
        <v>0.57314906244367347</v>
      </c>
      <c r="J10">
        <v>5402.4794639967822</v>
      </c>
      <c r="K10">
        <v>1.7459835261136696E-2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2772204.1785875577</v>
      </c>
      <c r="G11">
        <v>9.1144152416375426E-5</v>
      </c>
      <c r="H11">
        <v>1.8903850195194508E-5</v>
      </c>
      <c r="I11">
        <v>0.5727142467148485</v>
      </c>
      <c r="J11">
        <v>5409.0339951429487</v>
      </c>
      <c r="K11">
        <v>1.7387053945399567E-2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1271107.2490317759</v>
      </c>
      <c r="F12">
        <v>2771752.7696196139</v>
      </c>
      <c r="G12">
        <v>9.1015671440181417E-5</v>
      </c>
      <c r="H12">
        <v>1.8919032920070647E-5</v>
      </c>
      <c r="I12">
        <v>0.5722558872415161</v>
      </c>
      <c r="J12">
        <v>5415.9776735122296</v>
      </c>
      <c r="K12">
        <v>1.7310525026362673E-2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37.119663466644056</v>
      </c>
      <c r="E13">
        <v>1272870.960624882</v>
      </c>
      <c r="F13">
        <v>2771299.0351890107</v>
      </c>
      <c r="G13">
        <v>9.0887789137660192E-5</v>
      </c>
      <c r="H13">
        <v>1.8934200825699127E-5</v>
      </c>
      <c r="I13">
        <v>0.57179821219430105</v>
      </c>
      <c r="J13">
        <v>5422.9463299177496</v>
      </c>
      <c r="K13">
        <v>1.7234307646221154E-2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38.543434954242066</v>
      </c>
      <c r="E14">
        <v>1285088.6131588942</v>
      </c>
      <c r="F14">
        <v>2768058.5850062394</v>
      </c>
      <c r="G14">
        <v>9.0008787265423692E-5</v>
      </c>
      <c r="H14">
        <v>1.9039996699282652E-5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 s="10">
        <v>10273187.93</v>
      </c>
      <c r="B15" s="10">
        <v>586.13430346130383</v>
      </c>
      <c r="C15" s="10">
        <v>683.87988086598716</v>
      </c>
      <c r="D15" s="10">
        <v>57.352435344035484</v>
      </c>
      <c r="E15" s="10">
        <v>1419800.7015599329</v>
      </c>
      <c r="F15" s="10">
        <v>2720431.3258571494</v>
      </c>
      <c r="G15" s="10">
        <v>8.0969891423623451E-5</v>
      </c>
      <c r="H15" s="10">
        <v>2.0315305298798345E-5</v>
      </c>
      <c r="I15" s="10">
        <v>0.53200974031765291</v>
      </c>
      <c r="J15" s="10">
        <v>6204.9107072464121</v>
      </c>
      <c r="K15" s="10">
        <v>1.1305692890007803E-2</v>
      </c>
    </row>
    <row r="16" spans="1:13" x14ac:dyDescent="0.15">
      <c r="A16" s="10">
        <v>10376609.285</v>
      </c>
      <c r="B16" s="10">
        <v>586.8759119145376</v>
      </c>
      <c r="C16" s="10">
        <v>682.16154807641692</v>
      </c>
      <c r="D16" s="10">
        <v>58.076085118479952</v>
      </c>
      <c r="E16" s="10">
        <v>1424210.7808278007</v>
      </c>
      <c r="F16" s="10">
        <v>2718482.2329562278</v>
      </c>
      <c r="G16" s="10">
        <v>8.0690155610351578E-5</v>
      </c>
      <c r="H16" s="10">
        <v>2.0361344287286353E-5</v>
      </c>
      <c r="I16" s="10">
        <v>0.53077197244693697</v>
      </c>
      <c r="J16" s="10">
        <v>6236.5350644444852</v>
      </c>
      <c r="K16" s="10">
        <v>1.114199646546294E-2</v>
      </c>
    </row>
    <row r="17" spans="1:11" x14ac:dyDescent="0.15">
      <c r="A17" s="10">
        <v>10411083.07</v>
      </c>
      <c r="B17" s="10">
        <v>587.12184153560975</v>
      </c>
      <c r="C17" s="10">
        <v>681.58894372584575</v>
      </c>
      <c r="D17" s="10">
        <v>58.318347416861954</v>
      </c>
      <c r="E17" s="10">
        <v>1425676.9151810594</v>
      </c>
      <c r="F17" s="10">
        <v>2717828.4834664925</v>
      </c>
      <c r="G17" s="10">
        <v>8.0597336130161507E-5</v>
      </c>
      <c r="H17" s="10">
        <v>2.0376724170658081E-5</v>
      </c>
      <c r="I17" s="10">
        <v>0.53036001180466197</v>
      </c>
      <c r="J17" s="10">
        <v>6247.1878014014937</v>
      </c>
      <c r="K17" s="10">
        <v>1.1087777486461222E-2</v>
      </c>
    </row>
    <row r="18" spans="1:11" x14ac:dyDescent="0.15">
      <c r="A18" s="10">
        <v>10445556.854999999</v>
      </c>
      <c r="B18" s="10">
        <v>587.36714056353833</v>
      </c>
      <c r="C18" s="10">
        <v>681.0164156251443</v>
      </c>
      <c r="D18" s="10">
        <v>58.56113711330066</v>
      </c>
      <c r="E18" s="10">
        <v>1427141.1347125513</v>
      </c>
      <c r="F18" s="10">
        <v>2717172.7048884607</v>
      </c>
      <c r="G18" s="10">
        <v>8.0504725827435319E-5</v>
      </c>
      <c r="H18" s="10">
        <v>2.0392121333231654E-5</v>
      </c>
      <c r="I18" s="10">
        <v>0.52994836083727459</v>
      </c>
      <c r="J18" s="10">
        <v>6257.8970196920882</v>
      </c>
      <c r="K18" s="10">
        <v>1.1033730369434426E-2</v>
      </c>
    </row>
    <row r="19" spans="1:11" x14ac:dyDescent="0.15">
      <c r="A19" s="10">
        <v>10652399.564999999</v>
      </c>
      <c r="B19" s="10">
        <v>588.82588897650953</v>
      </c>
      <c r="C19" s="10">
        <v>677.5825015864292</v>
      </c>
      <c r="D19" s="10">
        <v>60.029106465050397</v>
      </c>
      <c r="E19" s="10">
        <v>1435887.2719265418</v>
      </c>
      <c r="F19" s="10">
        <v>2713195.3031657916</v>
      </c>
      <c r="G19" s="10">
        <v>7.9953334804478573E-5</v>
      </c>
      <c r="H19" s="10">
        <v>2.048488413123789E-5</v>
      </c>
      <c r="I19" s="10">
        <v>0.52748480460352509</v>
      </c>
      <c r="J19" s="10">
        <v>6323.3675605114504</v>
      </c>
      <c r="K19" s="10">
        <v>1.0713011407568288E-2</v>
      </c>
    </row>
    <row r="20" spans="1:11" x14ac:dyDescent="0.15">
      <c r="A20" s="10">
        <v>10790294.705</v>
      </c>
      <c r="B20" s="10">
        <v>589.78621399136853</v>
      </c>
      <c r="C20" s="10">
        <v>675.29396862991621</v>
      </c>
      <c r="D20" s="10">
        <v>61.018657698041302</v>
      </c>
      <c r="E20" s="10">
        <v>1441682.0426634967</v>
      </c>
      <c r="F20" s="10">
        <v>2710502.8313337835</v>
      </c>
      <c r="G20" s="10">
        <v>7.9589652595738828E-5</v>
      </c>
      <c r="H20" s="10">
        <v>2.0547110080122658E-5</v>
      </c>
      <c r="I20" s="10">
        <v>0.52584828353128565</v>
      </c>
      <c r="J20" s="10">
        <v>6368.2114890788816</v>
      </c>
      <c r="K20" s="10">
        <v>1.050253506811907E-2</v>
      </c>
    </row>
    <row r="21" spans="1:11" x14ac:dyDescent="0.15">
      <c r="A21" s="10">
        <v>12341615.029999999</v>
      </c>
      <c r="B21" s="10">
        <v>599.9799801328129</v>
      </c>
      <c r="C21" s="10">
        <v>649.46521010949471</v>
      </c>
      <c r="D21" s="10">
        <v>72.816521135477899</v>
      </c>
      <c r="E21" s="10">
        <v>1505230.7162956411</v>
      </c>
      <c r="F21" s="10">
        <v>2677886.670586206</v>
      </c>
      <c r="G21" s="10">
        <v>7.5675269438825427E-5</v>
      </c>
      <c r="H21" s="10">
        <v>2.1274764991596995E-5</v>
      </c>
      <c r="I21" s="10">
        <v>0.50771016086975462</v>
      </c>
      <c r="J21" s="10">
        <v>6951.8253576901698</v>
      </c>
      <c r="K21" s="10">
        <v>8.3045704853731608E-3</v>
      </c>
    </row>
    <row r="22" spans="1:11" x14ac:dyDescent="0.15">
      <c r="A22" s="10">
        <v>12376088.814999999</v>
      </c>
      <c r="B22" s="10">
        <v>600.1948144628825</v>
      </c>
      <c r="C22" s="10">
        <v>648.88713795133378</v>
      </c>
      <c r="D22" s="10">
        <v>73.093943284833998</v>
      </c>
      <c r="E22" s="10">
        <v>1506614.7614684766</v>
      </c>
      <c r="F22" s="10">
        <v>2677111.4828473427</v>
      </c>
      <c r="G22" s="10">
        <v>7.5591310120252519E-5</v>
      </c>
      <c r="H22" s="10">
        <v>2.1291640654220771E-5</v>
      </c>
      <c r="I22" s="10">
        <v>0.50731192941358827</v>
      </c>
      <c r="J22" s="10">
        <v>6966.747327197736</v>
      </c>
      <c r="K22" s="10">
        <v>8.2590371006168485E-3</v>
      </c>
    </row>
    <row r="23" spans="1:11" x14ac:dyDescent="0.15">
      <c r="A23" s="10">
        <v>12410562.6</v>
      </c>
      <c r="B23" s="10">
        <v>600.40917815374269</v>
      </c>
      <c r="C23" s="10">
        <v>648.30878787204176</v>
      </c>
      <c r="D23" s="10">
        <v>73.372090442332606</v>
      </c>
      <c r="E23" s="10">
        <v>1507997.8235180366</v>
      </c>
      <c r="F23" s="10">
        <v>2676334.0095142126</v>
      </c>
      <c r="G23" s="10">
        <v>7.5507457069512522E-5</v>
      </c>
      <c r="H23" s="10">
        <v>2.1308552640654366E-5</v>
      </c>
      <c r="I23" s="10">
        <v>0.50691387709209623</v>
      </c>
      <c r="J23" s="10">
        <v>6981.7690086139</v>
      </c>
      <c r="K23" s="10">
        <v>8.2136391333202854E-3</v>
      </c>
    </row>
    <row r="24" spans="1:11" x14ac:dyDescent="0.15">
      <c r="A24" s="10">
        <v>12445036.385</v>
      </c>
      <c r="B24" s="10">
        <v>600.62307338779112</v>
      </c>
      <c r="C24" s="10">
        <v>647.73015324591881</v>
      </c>
      <c r="D24" s="10">
        <v>73.65096699650779</v>
      </c>
      <c r="E24" s="10">
        <v>1509379.9174575773</v>
      </c>
      <c r="F24" s="10">
        <v>2675554.2433210411</v>
      </c>
      <c r="G24" s="10">
        <v>7.542370875497005E-5</v>
      </c>
      <c r="H24" s="10">
        <v>2.1325501337549776E-5</v>
      </c>
      <c r="I24" s="10">
        <v>0.50651600214947412</v>
      </c>
      <c r="J24" s="10">
        <v>6996.8915278807299</v>
      </c>
      <c r="K24" s="10">
        <v>8.1683760977733326E-3</v>
      </c>
    </row>
    <row r="25" spans="1:11" x14ac:dyDescent="0.15">
      <c r="A25" s="10">
        <v>12479510.17</v>
      </c>
      <c r="B25" s="10">
        <v>600.8365023302473</v>
      </c>
      <c r="C25" s="10">
        <v>647.15122741627238</v>
      </c>
      <c r="D25" s="10">
        <v>73.930577375909749</v>
      </c>
      <c r="E25" s="10">
        <v>1510761.0582881749</v>
      </c>
      <c r="F25" s="10">
        <v>2674772.1768945744</v>
      </c>
      <c r="G25" s="10">
        <v>7.5340063650001631E-5</v>
      </c>
      <c r="H25" s="10">
        <v>2.1342487134156997E-5</v>
      </c>
      <c r="I25" s="10">
        <v>0.50611830285189063</v>
      </c>
      <c r="J25" s="10">
        <v>7012.1160291556434</v>
      </c>
      <c r="K25" s="10">
        <v>8.1232475126216917E-3</v>
      </c>
    </row>
    <row r="26" spans="1:11" x14ac:dyDescent="0.15">
      <c r="A26" s="10">
        <v>12513983.955</v>
      </c>
      <c r="B26" s="10">
        <v>601.04946712932554</v>
      </c>
      <c r="C26" s="10">
        <v>646.57200369437157</v>
      </c>
      <c r="D26" s="10">
        <v>74.210926049632405</v>
      </c>
      <c r="E26" s="10">
        <v>1512141.2610004984</v>
      </c>
      <c r="F26" s="10">
        <v>2673987.8027531314</v>
      </c>
      <c r="G26" s="10">
        <v>7.5256520232777754E-5</v>
      </c>
      <c r="H26" s="10">
        <v>2.1359510422370691E-5</v>
      </c>
      <c r="I26" s="10">
        <v>0.50572077748779087</v>
      </c>
      <c r="J26" s="10">
        <v>7027.4436751982685</v>
      </c>
      <c r="K26" s="10">
        <v>8.078252900830243E-3</v>
      </c>
    </row>
    <row r="27" spans="1:11" x14ac:dyDescent="0.15">
      <c r="A27" s="10">
        <v>12582931.524999999</v>
      </c>
      <c r="B27" s="10">
        <v>601.4740128062333</v>
      </c>
      <c r="C27" s="10">
        <v>645.41263565235602</v>
      </c>
      <c r="D27" s="10">
        <v>74.773856362324906</v>
      </c>
      <c r="E27" s="10">
        <v>1514898.9119919236</v>
      </c>
      <c r="F27" s="10">
        <v>2672412.1008509072</v>
      </c>
      <c r="G27" s="10">
        <v>7.5089732396918502E-5</v>
      </c>
      <c r="H27" s="10">
        <v>2.1393671054705832E-5</v>
      </c>
      <c r="I27" s="10">
        <v>0.50492624182719592</v>
      </c>
      <c r="J27" s="10">
        <v>7058.413148019863</v>
      </c>
      <c r="K27" s="10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1562686.9740257831</v>
      </c>
      <c r="F28">
        <v>2643264.3898665085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 s="10">
        <v>14375568.344999999</v>
      </c>
      <c r="B29" s="10">
        <v>611.91386270436794</v>
      </c>
      <c r="C29" s="10">
        <v>614.64786138635702</v>
      </c>
      <c r="D29" s="10">
        <v>90.588882843330609</v>
      </c>
      <c r="E29" s="10">
        <v>1585699.5072411739</v>
      </c>
      <c r="F29" s="10">
        <v>2627949.0973156863</v>
      </c>
      <c r="G29" s="10">
        <v>7.0854881629944488E-5</v>
      </c>
      <c r="H29" s="10">
        <v>2.2346600140505724E-5</v>
      </c>
      <c r="I29" s="10">
        <v>0.48447617649609065</v>
      </c>
      <c r="J29" s="10">
        <v>8050.1582667114426</v>
      </c>
      <c r="K29" s="10">
        <v>5.8358284375620894E-3</v>
      </c>
    </row>
    <row r="30" spans="1:11" x14ac:dyDescent="0.15">
      <c r="A30" s="10">
        <v>14410042.129999999</v>
      </c>
      <c r="B30" s="10">
        <v>612.10417526659455</v>
      </c>
      <c r="C30" s="10">
        <v>614.04047527067326</v>
      </c>
      <c r="D30" s="10">
        <v>90.918182000549308</v>
      </c>
      <c r="E30" s="10">
        <v>1587051.743777507</v>
      </c>
      <c r="F30" s="10">
        <v>2627022.5861350344</v>
      </c>
      <c r="G30" s="10">
        <v>7.0774633188978175E-5</v>
      </c>
      <c r="H30" s="10">
        <v>2.2366390223892932E-5</v>
      </c>
      <c r="I30" s="10">
        <v>0.4840864465582857</v>
      </c>
      <c r="J30" s="10">
        <v>8073.7157051809381</v>
      </c>
      <c r="K30" s="10">
        <v>5.7975807482611623E-3</v>
      </c>
    </row>
    <row r="31" spans="1:11" x14ac:dyDescent="0.15">
      <c r="A31" s="10">
        <v>14444515.914999999</v>
      </c>
      <c r="B31" s="10">
        <v>612.29412141213845</v>
      </c>
      <c r="C31" s="10">
        <v>613.43232402419449</v>
      </c>
      <c r="D31" s="10">
        <v>91.248555698911844</v>
      </c>
      <c r="E31" s="10">
        <v>1588403.9289842495</v>
      </c>
      <c r="F31" s="10">
        <v>2626093.1345668421</v>
      </c>
      <c r="G31" s="10">
        <v>7.0694401850615891E-5</v>
      </c>
      <c r="H31" s="10">
        <v>2.2386245793773059E-5</v>
      </c>
      <c r="I31" s="10">
        <v>0.48369684775438243</v>
      </c>
      <c r="J31" s="10">
        <v>8097.4885849811244</v>
      </c>
      <c r="K31" s="10">
        <v>5.7594462826100956E-3</v>
      </c>
    </row>
    <row r="32" spans="1:11" x14ac:dyDescent="0.15">
      <c r="A32" s="10">
        <v>14478989.699999999</v>
      </c>
      <c r="B32" s="10">
        <v>612.48370255129544</v>
      </c>
      <c r="C32" s="10">
        <v>612.82339669043313</v>
      </c>
      <c r="D32" s="10">
        <v>91.580011978832957</v>
      </c>
      <c r="E32" s="10">
        <v>1589756.0808983105</v>
      </c>
      <c r="F32" s="10">
        <v>2625160.7264840975</v>
      </c>
      <c r="G32" s="10">
        <v>7.0614185977515193E-5</v>
      </c>
      <c r="H32" s="10">
        <v>2.2406167499944594E-5</v>
      </c>
      <c r="I32" s="10">
        <v>0.48330738078477459</v>
      </c>
      <c r="J32" s="10">
        <v>8121.4802011854335</v>
      </c>
      <c r="K32" s="10">
        <v>5.7214247636284644E-3</v>
      </c>
    </row>
    <row r="33" spans="1:11" x14ac:dyDescent="0.15">
      <c r="A33" s="10">
        <v>14513463.484999999</v>
      </c>
      <c r="B33" s="10">
        <v>612.67292008461743</v>
      </c>
      <c r="C33" s="10">
        <v>612.21368217827785</v>
      </c>
      <c r="D33" s="10">
        <v>91.91255897533145</v>
      </c>
      <c r="E33" s="10">
        <v>1591108.2176913612</v>
      </c>
      <c r="F33" s="10">
        <v>2624225.3455417412</v>
      </c>
      <c r="G33" s="10">
        <v>7.053398392243067E-5</v>
      </c>
      <c r="H33" s="10">
        <v>2.2426155999369982E-5</v>
      </c>
      <c r="I33" s="10">
        <v>0.48291804642989189</v>
      </c>
      <c r="J33" s="10">
        <v>8145.6939161944201</v>
      </c>
      <c r="K33" s="10">
        <v>5.6835159172802328E-3</v>
      </c>
    </row>
    <row r="34" spans="1:11" x14ac:dyDescent="0.15">
      <c r="A34" s="10">
        <v>14547937.27</v>
      </c>
      <c r="B34" s="10">
        <v>612.8617754030106</v>
      </c>
      <c r="C34" s="10">
        <v>611.60316925921416</v>
      </c>
      <c r="D34" s="10">
        <v>92.246204919594888</v>
      </c>
      <c r="E34" s="10">
        <v>1592460.3576735058</v>
      </c>
      <c r="F34" s="10">
        <v>2623286.9751734058</v>
      </c>
      <c r="G34" s="10">
        <v>7.0453794027894906E-5</v>
      </c>
      <c r="H34" s="10">
        <v>2.2446211956304489E-5</v>
      </c>
      <c r="I34" s="10">
        <v>0.482528845552468</v>
      </c>
      <c r="J34" s="10">
        <v>8170.133161316754</v>
      </c>
      <c r="K34" s="10">
        <v>5.6457194724596916E-3</v>
      </c>
    </row>
    <row r="35" spans="1:11" x14ac:dyDescent="0.15">
      <c r="A35" s="10">
        <v>14582411.055</v>
      </c>
      <c r="B35" s="10">
        <v>613.05026988781367</v>
      </c>
      <c r="C35" s="10">
        <v>610.99184656446221</v>
      </c>
      <c r="D35" s="10">
        <v>92.580958140603215</v>
      </c>
      <c r="E35" s="10">
        <v>1593812.5192969192</v>
      </c>
      <c r="F35" s="10">
        <v>2622345.5985878608</v>
      </c>
      <c r="G35" s="10">
        <v>7.0373614625891007E-5</v>
      </c>
      <c r="H35" s="10">
        <v>2.2466336042427335E-5</v>
      </c>
      <c r="I35" s="10">
        <v>0.48213977909987105</v>
      </c>
      <c r="J35" s="10">
        <v>8194.8014383951322</v>
      </c>
      <c r="K35" s="10">
        <v>5.6080351609815058E-3</v>
      </c>
    </row>
    <row r="36" spans="1:11" x14ac:dyDescent="0.15">
      <c r="A36" s="10">
        <v>14651358.625</v>
      </c>
      <c r="B36" s="10">
        <v>613.42618183469449</v>
      </c>
      <c r="C36" s="10">
        <v>609.76672565409854</v>
      </c>
      <c r="D36" s="10">
        <v>93.253820227631977</v>
      </c>
      <c r="E36" s="10">
        <v>1596516.9820091785</v>
      </c>
      <c r="F36" s="10">
        <v>2620453.7584548215</v>
      </c>
      <c r="G36" s="10">
        <v>7.0213280572698186E-5</v>
      </c>
      <c r="H36" s="10">
        <v>2.2506791326882159E-5</v>
      </c>
      <c r="I36" s="10">
        <v>0.48136205369642565</v>
      </c>
      <c r="J36" s="10">
        <v>8244.8394584875186</v>
      </c>
      <c r="K36" s="10">
        <v>5.5330018798425981E-3</v>
      </c>
    </row>
    <row r="37" spans="1:11" x14ac:dyDescent="0.15">
      <c r="A37" s="10">
        <v>14927148.904999999</v>
      </c>
      <c r="B37" s="10">
        <v>614.9156661127455</v>
      </c>
      <c r="C37" s="10">
        <v>604.83147460894611</v>
      </c>
      <c r="D37" s="10">
        <v>95.99129627600891</v>
      </c>
      <c r="E37" s="10">
        <v>1607339.4945123668</v>
      </c>
      <c r="F37" s="10">
        <v>2612762.6286267578</v>
      </c>
      <c r="G37" s="10">
        <v>6.9572022522881486E-5</v>
      </c>
      <c r="H37" s="10">
        <v>2.2671477363907453E-5</v>
      </c>
      <c r="I37" s="10">
        <v>0.47825678197067412</v>
      </c>
      <c r="J37" s="10">
        <v>8454.9052671850641</v>
      </c>
      <c r="K37" s="10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1610200.3974908292</v>
      </c>
      <c r="F38">
        <v>2610697.1187380725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5.1603660687177975E-3</v>
      </c>
    </row>
    <row r="39" spans="1:11" x14ac:dyDescent="0.15">
      <c r="A39" s="10">
        <v>15202939.184999999</v>
      </c>
      <c r="B39" s="10">
        <v>616.38298773795884</v>
      </c>
      <c r="C39" s="10">
        <v>599.83568684708052</v>
      </c>
      <c r="D39" s="10">
        <v>98.805986990565799</v>
      </c>
      <c r="E39" s="10">
        <v>1618177.1175807738</v>
      </c>
      <c r="F39" s="10">
        <v>2604866.1696356409</v>
      </c>
      <c r="G39" s="10">
        <v>6.893020605980822E-5</v>
      </c>
      <c r="H39" s="10">
        <v>2.2841033589457943E-5</v>
      </c>
      <c r="I39" s="10">
        <v>0.47516122635885782</v>
      </c>
      <c r="J39" s="10">
        <v>8682.4563332685593</v>
      </c>
      <c r="K39" s="10">
        <v>4.9486038322964464E-3</v>
      </c>
    </row>
    <row r="40" spans="1:11" x14ac:dyDescent="0.15">
      <c r="A40" s="10">
        <v>15237412.969999999</v>
      </c>
      <c r="B40" s="10">
        <v>616.56487672022718</v>
      </c>
      <c r="C40" s="10">
        <v>599.20660938046922</v>
      </c>
      <c r="D40" s="10">
        <v>99.163504111451545</v>
      </c>
      <c r="E40" s="10">
        <v>1619533.4140909328</v>
      </c>
      <c r="F40" s="10">
        <v>2603864.1573589253</v>
      </c>
      <c r="G40" s="10">
        <v>6.8849892577692534E-5</v>
      </c>
      <c r="H40" s="10">
        <v>2.2862590685604771E-5</v>
      </c>
      <c r="I40" s="10">
        <v>0.47477502658162224</v>
      </c>
      <c r="J40" s="10">
        <v>8712.2487597525196</v>
      </c>
      <c r="K40" s="10">
        <v>4.9130029103202051E-3</v>
      </c>
    </row>
    <row r="41" spans="1:11" x14ac:dyDescent="0.15">
      <c r="A41" s="10">
        <v>16409521.66</v>
      </c>
      <c r="B41" s="10">
        <v>622.55717842585057</v>
      </c>
      <c r="C41" s="10">
        <v>577.06923612188393</v>
      </c>
      <c r="D41" s="10">
        <v>112.17033955473804</v>
      </c>
      <c r="E41" s="10">
        <v>1666062.1825179108</v>
      </c>
      <c r="F41" s="10">
        <v>2567609.1601615446</v>
      </c>
      <c r="G41" s="10">
        <v>6.6089994477805278E-5</v>
      </c>
      <c r="H41" s="10">
        <v>2.3651444847865132E-5</v>
      </c>
      <c r="I41" s="10">
        <v>0.46178151866568262</v>
      </c>
      <c r="J41" s="10">
        <v>9956.6215657984085</v>
      </c>
      <c r="K41" s="10">
        <v>3.7652331796772971E-3</v>
      </c>
    </row>
    <row r="42" spans="1:11" x14ac:dyDescent="0.15">
      <c r="A42" s="10">
        <v>16512943.014999999</v>
      </c>
      <c r="B42" s="10">
        <v>623.06876481641166</v>
      </c>
      <c r="C42" s="10">
        <v>575.03240959954769</v>
      </c>
      <c r="D42" s="10">
        <v>113.40712548656836</v>
      </c>
      <c r="E42" s="10">
        <v>1670225.6027112233</v>
      </c>
      <c r="F42" s="10">
        <v>2564185.6875572475</v>
      </c>
      <c r="G42" s="10">
        <v>6.5842090570695716E-5</v>
      </c>
      <c r="H42" s="10">
        <v>2.372703712674797E-5</v>
      </c>
      <c r="I42" s="10">
        <v>0.46065294069691948</v>
      </c>
      <c r="J42" s="10">
        <v>10093.678311132502</v>
      </c>
      <c r="K42" s="10">
        <v>3.6696905670353932E-3</v>
      </c>
    </row>
    <row r="43" spans="1:11" x14ac:dyDescent="0.15">
      <c r="A43" s="10">
        <v>16547416.799999999</v>
      </c>
      <c r="B43" s="10">
        <v>623.23870133313642</v>
      </c>
      <c r="C43" s="10">
        <v>574.34988711113044</v>
      </c>
      <c r="D43" s="10">
        <v>113.82300371015133</v>
      </c>
      <c r="E43" s="10">
        <v>1671616.2807993235</v>
      </c>
      <c r="F43" s="10">
        <v>2563035.5779140079</v>
      </c>
      <c r="G43" s="10">
        <v>6.5759231557403181E-5</v>
      </c>
      <c r="H43" s="10">
        <v>2.3752482411014488E-5</v>
      </c>
      <c r="I43" s="10">
        <v>0.46027765484939753</v>
      </c>
      <c r="J43" s="10">
        <v>10140.600460117175</v>
      </c>
      <c r="K43" s="10">
        <v>3.6380461586323874E-3</v>
      </c>
    </row>
    <row r="44" spans="1:11" x14ac:dyDescent="0.15">
      <c r="A44">
        <v>16581890.584999999</v>
      </c>
      <c r="B44">
        <v>623.40834329200698</v>
      </c>
      <c r="C44">
        <v>573.66553119769708</v>
      </c>
      <c r="D44">
        <v>114.24072089270538</v>
      </c>
      <c r="E44">
        <v>1673008.4528857057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3.6065031383353337E-3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114.66029599737462</v>
      </c>
      <c r="E45">
        <v>1674402.1546774118</v>
      </c>
      <c r="F45">
        <v>2560721.691284928</v>
      </c>
      <c r="G45">
        <v>6.559315938668894E-5</v>
      </c>
      <c r="H45">
        <v>2.3803753768346773E-5</v>
      </c>
      <c r="I45">
        <v>0.45952852946905182</v>
      </c>
      <c r="J45">
        <v>10236.374668774288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114.66029599737462</v>
      </c>
      <c r="E46">
        <v>1674402.1546774118</v>
      </c>
      <c r="F46">
        <v>2560721.691284928</v>
      </c>
      <c r="G46">
        <v>6.559315938668894E-5</v>
      </c>
      <c r="H46">
        <v>2.3803753768346773E-5</v>
      </c>
      <c r="I46">
        <v>0.45952852946905182</v>
      </c>
      <c r="J46">
        <v>10236.374668774288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115.08174830522883</v>
      </c>
      <c r="E47">
        <v>1675797.4223693286</v>
      </c>
      <c r="F47">
        <v>2559557.8321399409</v>
      </c>
      <c r="G47">
        <v>6.5509940250288218E-5</v>
      </c>
      <c r="H47">
        <v>2.3829582904311094E-5</v>
      </c>
      <c r="I47">
        <v>0.45915472043015876</v>
      </c>
      <c r="J47">
        <v>10285.252806144354</v>
      </c>
      <c r="K47">
        <v>3.5437208597502243E-3</v>
      </c>
    </row>
    <row r="48" spans="1:11" x14ac:dyDescent="0.15">
      <c r="A48" s="10">
        <v>16719785.725</v>
      </c>
      <c r="B48" s="10">
        <v>624.08398426992824</v>
      </c>
      <c r="C48" s="10">
        <v>570.9092360058894</v>
      </c>
      <c r="D48" s="10">
        <v>115.93036328992132</v>
      </c>
      <c r="E48" s="10">
        <v>1678592.8027206569</v>
      </c>
      <c r="F48" s="10">
        <v>2557216.0713552916</v>
      </c>
      <c r="G48" s="10">
        <v>6.5343120666275665E-5</v>
      </c>
      <c r="H48" s="10">
        <v>2.3881635703930669E-5</v>
      </c>
      <c r="I48" s="10">
        <v>0.45840868995416201</v>
      </c>
      <c r="J48" s="10">
        <v>10385.058717031257</v>
      </c>
      <c r="K48" s="10">
        <v>3.4813429573410932E-3</v>
      </c>
    </row>
  </sheetData>
  <sortState xmlns:xlrd2="http://schemas.microsoft.com/office/spreadsheetml/2017/richdata2" ref="A54:K57">
    <sortCondition ref="A54:A57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4205.4014337612389</v>
      </c>
      <c r="D2" t="s">
        <v>53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4182.3214473299095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4179.4042320963235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4180.7757977392275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4181.3031131882535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4185.7893369592775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2077.3083736010267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2050.6859777202053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2044.6888688498427</v>
      </c>
    </row>
    <row r="107" spans="1:2" x14ac:dyDescent="0.15">
      <c r="A107">
        <v>383</v>
      </c>
      <c r="B107">
        <v>2041.8878392011911</v>
      </c>
    </row>
    <row r="108" spans="1:2" x14ac:dyDescent="0.15">
      <c r="A108">
        <v>384</v>
      </c>
      <c r="B108">
        <v>2039.2056461397788</v>
      </c>
    </row>
    <row r="109" spans="1:2" x14ac:dyDescent="0.15">
      <c r="A109">
        <v>385</v>
      </c>
      <c r="B109">
        <v>2036.6340453104665</v>
      </c>
    </row>
    <row r="110" spans="1:2" x14ac:dyDescent="0.15">
      <c r="A110">
        <v>386</v>
      </c>
      <c r="B110">
        <v>2034.1657227717567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2029.5135700333976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2025.2049236894024</v>
      </c>
    </row>
    <row r="115" spans="1:2" x14ac:dyDescent="0.15">
      <c r="A115">
        <v>391</v>
      </c>
      <c r="B115">
        <v>2023.1679621750125</v>
      </c>
    </row>
    <row r="116" spans="1:2" x14ac:dyDescent="0.15">
      <c r="A116">
        <v>392</v>
      </c>
      <c r="B116">
        <v>2021.2040014286185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2017.4814549688465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2012.3672191290818</v>
      </c>
    </row>
    <row r="122" spans="1:2" x14ac:dyDescent="0.15">
      <c r="A122">
        <v>398</v>
      </c>
      <c r="B122">
        <v>2010.7775806914929</v>
      </c>
    </row>
    <row r="123" spans="1:2" x14ac:dyDescent="0.15">
      <c r="A123">
        <v>399</v>
      </c>
      <c r="B123">
        <v>2009.2418202186882</v>
      </c>
    </row>
    <row r="124" spans="1:2" x14ac:dyDescent="0.15">
      <c r="A124">
        <v>400</v>
      </c>
      <c r="B124">
        <v>2007.7579608546882</v>
      </c>
    </row>
    <row r="125" spans="1:2" x14ac:dyDescent="0.15">
      <c r="A125">
        <v>401</v>
      </c>
      <c r="B125">
        <v>2006.3241550642458</v>
      </c>
    </row>
    <row r="126" spans="1:2" x14ac:dyDescent="0.15">
      <c r="A126">
        <v>402</v>
      </c>
      <c r="B126">
        <v>2004.9386710829724</v>
      </c>
    </row>
    <row r="127" spans="1:2" x14ac:dyDescent="0.15">
      <c r="A127">
        <v>403</v>
      </c>
      <c r="B127">
        <v>2003.5998811205136</v>
      </c>
    </row>
    <row r="128" spans="1:2" x14ac:dyDescent="0.15">
      <c r="A128">
        <v>404</v>
      </c>
      <c r="B128">
        <v>2002.3062510722693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1998.6822035703224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1996.4673200155241</v>
      </c>
    </row>
    <row r="134" spans="1:2" x14ac:dyDescent="0.15">
      <c r="A134">
        <v>410</v>
      </c>
      <c r="B134">
        <v>1995.4166760214825</v>
      </c>
    </row>
    <row r="135" spans="1:2" x14ac:dyDescent="0.15">
      <c r="A135">
        <v>411</v>
      </c>
      <c r="B135">
        <v>1994.4024448297655</v>
      </c>
    </row>
    <row r="136" spans="1:2" x14ac:dyDescent="0.15">
      <c r="A136">
        <v>412</v>
      </c>
      <c r="B136">
        <v>1993.4235954517994</v>
      </c>
    </row>
    <row r="137" spans="1:2" x14ac:dyDescent="0.15">
      <c r="A137">
        <v>413</v>
      </c>
      <c r="B137">
        <v>1992.4791394956153</v>
      </c>
    </row>
    <row r="138" spans="1:2" x14ac:dyDescent="0.15">
      <c r="A138">
        <v>414</v>
      </c>
      <c r="B138">
        <v>1991.5681282184548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1989.8428274174387</v>
      </c>
    </row>
    <row r="141" spans="1:2" x14ac:dyDescent="0.15">
      <c r="A141">
        <v>417</v>
      </c>
      <c r="B141">
        <v>1989.0268162265331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1987.4840005512258</v>
      </c>
    </row>
    <row r="144" spans="1:2" x14ac:dyDescent="0.15">
      <c r="A144">
        <v>420</v>
      </c>
      <c r="B144">
        <v>1986.7556530139207</v>
      </c>
    </row>
    <row r="145" spans="1:2" x14ac:dyDescent="0.15">
      <c r="A145">
        <v>421</v>
      </c>
      <c r="B145">
        <v>1986.0550276201627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1984.1125235290197</v>
      </c>
    </row>
    <row r="149" spans="1:2" x14ac:dyDescent="0.15">
      <c r="A149">
        <v>425</v>
      </c>
      <c r="B149">
        <v>1983.5159379371107</v>
      </c>
    </row>
    <row r="150" spans="1:2" x14ac:dyDescent="0.15">
      <c r="A150">
        <v>426</v>
      </c>
      <c r="B150">
        <v>1982.9437584894274</v>
      </c>
    </row>
    <row r="151" spans="1:2" x14ac:dyDescent="0.15">
      <c r="A151">
        <v>427</v>
      </c>
      <c r="B151">
        <v>1982.3953836185008</v>
      </c>
    </row>
    <row r="152" spans="1:2" x14ac:dyDescent="0.15">
      <c r="A152">
        <v>428</v>
      </c>
      <c r="B152">
        <v>1981.8702302276274</v>
      </c>
    </row>
    <row r="153" spans="1:2" x14ac:dyDescent="0.15">
      <c r="A153">
        <v>429</v>
      </c>
      <c r="B153">
        <v>1981.3677329232216</v>
      </c>
    </row>
    <row r="154" spans="1:2" x14ac:dyDescent="0.15">
      <c r="A154">
        <v>430</v>
      </c>
      <c r="B154">
        <v>1980.8873432967464</v>
      </c>
    </row>
    <row r="155" spans="1:2" x14ac:dyDescent="0.15">
      <c r="A155">
        <v>431</v>
      </c>
      <c r="B155">
        <v>1980.4285292514205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1979.5735773161316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1978.7989234277577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1978.1008379425064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1977.4757995196999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1976.9204809084385</v>
      </c>
    </row>
    <row r="166" spans="1:2" x14ac:dyDescent="0.15">
      <c r="A166">
        <v>442</v>
      </c>
      <c r="B166">
        <v>1976.6679766377263</v>
      </c>
    </row>
    <row r="167" spans="1:2" x14ac:dyDescent="0.15">
      <c r="A167">
        <v>443</v>
      </c>
      <c r="B167">
        <v>1976.4317360415507</v>
      </c>
    </row>
    <row r="168" spans="1:2" x14ac:dyDescent="0.15">
      <c r="A168">
        <v>444</v>
      </c>
      <c r="B168">
        <v>1976.2113922397205</v>
      </c>
    </row>
    <row r="169" spans="1:2" x14ac:dyDescent="0.15">
      <c r="A169">
        <v>445</v>
      </c>
      <c r="B169">
        <v>1976.0065882587187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1975.3359604523864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1975.0852812489784</v>
      </c>
    </row>
    <row r="176" spans="1:2" x14ac:dyDescent="0.15">
      <c r="A176">
        <v>452</v>
      </c>
      <c r="B176">
        <v>1974.9800295804416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1974.8082612821577</v>
      </c>
    </row>
    <row r="179" spans="1:2" x14ac:dyDescent="0.15">
      <c r="A179">
        <v>455</v>
      </c>
      <c r="B179">
        <v>1974.7411905837384</v>
      </c>
    </row>
    <row r="180" spans="1:2" x14ac:dyDescent="0.15">
      <c r="A180">
        <v>456</v>
      </c>
      <c r="B180">
        <v>1974.6863046589938</v>
      </c>
    </row>
    <row r="181" spans="1:2" x14ac:dyDescent="0.15">
      <c r="A181">
        <v>457</v>
      </c>
      <c r="B181">
        <v>1974.6433439360653</v>
      </c>
    </row>
    <row r="182" spans="1:2" x14ac:dyDescent="0.15">
      <c r="A182">
        <v>458</v>
      </c>
      <c r="B182">
        <v>1974.6120554591366</v>
      </c>
    </row>
    <row r="183" spans="1:2" x14ac:dyDescent="0.15">
      <c r="A183">
        <v>459</v>
      </c>
      <c r="B183">
        <v>1974.5921926944145</v>
      </c>
    </row>
    <row r="184" spans="1:2" x14ac:dyDescent="0.15">
      <c r="A184">
        <v>460</v>
      </c>
      <c r="B184">
        <v>1974.5835153427129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1974.6222825325005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1974.6999134153377</v>
      </c>
    </row>
    <row r="190" spans="1:2" x14ac:dyDescent="0.15">
      <c r="A190">
        <v>466</v>
      </c>
      <c r="B190">
        <v>1974.7536293251887</v>
      </c>
    </row>
    <row r="191" spans="1:2" x14ac:dyDescent="0.15">
      <c r="A191">
        <v>467</v>
      </c>
      <c r="B191">
        <v>1974.8170086468194</v>
      </c>
    </row>
    <row r="192" spans="1:2" x14ac:dyDescent="0.15">
      <c r="A192">
        <v>468</v>
      </c>
      <c r="B192">
        <v>1974.8898549194546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1975.0631863618169</v>
      </c>
    </row>
    <row r="195" spans="1:2" x14ac:dyDescent="0.15">
      <c r="A195">
        <v>471</v>
      </c>
      <c r="B195">
        <v>1975.1633020985153</v>
      </c>
    </row>
    <row r="196" spans="1:2" x14ac:dyDescent="0.15">
      <c r="A196">
        <v>472</v>
      </c>
      <c r="B196">
        <v>1975.2721456641846</v>
      </c>
    </row>
    <row r="197" spans="1:2" x14ac:dyDescent="0.15">
      <c r="A197">
        <v>473</v>
      </c>
      <c r="B197">
        <v>1975.3895433183343</v>
      </c>
    </row>
    <row r="198" spans="1:2" x14ac:dyDescent="0.15">
      <c r="A198">
        <v>474</v>
      </c>
      <c r="B198">
        <v>1975.5153254943432</v>
      </c>
    </row>
    <row r="199" spans="1:2" x14ac:dyDescent="0.15">
      <c r="A199">
        <v>475</v>
      </c>
      <c r="B199">
        <v>1975.6493266849768</v>
      </c>
    </row>
    <row r="200" spans="1:2" x14ac:dyDescent="0.15">
      <c r="A200">
        <v>476</v>
      </c>
      <c r="B200">
        <v>1975.7913853314528</v>
      </c>
    </row>
    <row r="201" spans="1:2" x14ac:dyDescent="0.15">
      <c r="A201">
        <v>477</v>
      </c>
      <c r="B201">
        <v>1975.9413437159274</v>
      </c>
    </row>
    <row r="202" spans="1:2" x14ac:dyDescent="0.15">
      <c r="A202">
        <v>478</v>
      </c>
      <c r="B202">
        <v>1976.0990478572915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1976.4370955668985</v>
      </c>
    </row>
    <row r="205" spans="1:2" x14ac:dyDescent="0.15">
      <c r="A205">
        <v>481</v>
      </c>
      <c r="B205">
        <v>1976.6171489627404</v>
      </c>
    </row>
    <row r="206" spans="1:2" x14ac:dyDescent="0.15">
      <c r="A206">
        <v>482</v>
      </c>
      <c r="B206">
        <v>1976.8043675836145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1977.1997566646812</v>
      </c>
    </row>
    <row r="209" spans="1:2" x14ac:dyDescent="0.15">
      <c r="A209">
        <v>485</v>
      </c>
      <c r="B209">
        <v>1977.4076630599131</v>
      </c>
    </row>
    <row r="210" spans="1:2" x14ac:dyDescent="0.15">
      <c r="A210">
        <v>486</v>
      </c>
      <c r="B210">
        <v>1977.6222063846826</v>
      </c>
    </row>
    <row r="211" spans="1:2" x14ac:dyDescent="0.15">
      <c r="A211">
        <v>487</v>
      </c>
      <c r="B211">
        <v>1977.8432620912038</v>
      </c>
    </row>
    <row r="212" spans="1:2" x14ac:dyDescent="0.15">
      <c r="A212">
        <v>488</v>
      </c>
      <c r="B212">
        <v>1978.0707084850217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1978.5443003785583</v>
      </c>
    </row>
    <row r="215" spans="1:2" x14ac:dyDescent="0.15">
      <c r="A215">
        <v>491</v>
      </c>
      <c r="B215">
        <v>1978.7902160963688</v>
      </c>
    </row>
    <row r="216" spans="1:2" x14ac:dyDescent="0.15">
      <c r="A216">
        <v>492</v>
      </c>
      <c r="B216">
        <v>1979.0420627993137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1979.5631175878714</v>
      </c>
    </row>
    <row r="219" spans="1:2" x14ac:dyDescent="0.15">
      <c r="A219">
        <v>495</v>
      </c>
      <c r="B219">
        <v>1979.8321159191214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1980.6717847570296</v>
      </c>
    </row>
    <row r="223" spans="1:2" x14ac:dyDescent="0.15">
      <c r="A223">
        <v>499</v>
      </c>
      <c r="B223">
        <v>1980.9622425287248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1981.5584509720777</v>
      </c>
    </row>
    <row r="226" spans="1:2" x14ac:dyDescent="0.15">
      <c r="A226">
        <v>502</v>
      </c>
      <c r="B226">
        <v>1981.8640223281795</v>
      </c>
    </row>
    <row r="227" spans="1:2" x14ac:dyDescent="0.15">
      <c r="A227">
        <v>503</v>
      </c>
      <c r="B227">
        <v>1982.1744554904908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1982.8095697143701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1983.4631367481363</v>
      </c>
    </row>
    <row r="232" spans="1:2" x14ac:dyDescent="0.15">
      <c r="A232">
        <v>508</v>
      </c>
      <c r="B232">
        <v>1983.7966424932592</v>
      </c>
    </row>
    <row r="233" spans="1:2" x14ac:dyDescent="0.15">
      <c r="A233">
        <v>509</v>
      </c>
      <c r="B233">
        <v>1984.1345277347175</v>
      </c>
    </row>
    <row r="234" spans="1:2" x14ac:dyDescent="0.15">
      <c r="A234">
        <v>510</v>
      </c>
      <c r="B234">
        <v>1984.4767180237718</v>
      </c>
    </row>
    <row r="235" spans="1:2" x14ac:dyDescent="0.15">
      <c r="A235">
        <v>511</v>
      </c>
      <c r="B235">
        <v>1984.8231404985256</v>
      </c>
    </row>
    <row r="236" spans="1:2" x14ac:dyDescent="0.15">
      <c r="A236">
        <v>512</v>
      </c>
      <c r="B236">
        <v>1985.1737238454837</v>
      </c>
    </row>
    <row r="237" spans="1:2" x14ac:dyDescent="0.15">
      <c r="A237">
        <v>513</v>
      </c>
      <c r="B237">
        <v>1985.5283982621525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1986.2497484323676</v>
      </c>
    </row>
    <row r="240" spans="1:2" x14ac:dyDescent="0.15">
      <c r="A240">
        <v>516</v>
      </c>
      <c r="B240">
        <v>1986.6162918134191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1987.3607945719596</v>
      </c>
    </row>
    <row r="243" spans="1:2" x14ac:dyDescent="0.15">
      <c r="A243">
        <v>519</v>
      </c>
      <c r="B243">
        <v>1987.7386297085914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1988.5051665119536</v>
      </c>
    </row>
    <row r="246" spans="1:2" x14ac:dyDescent="0.15">
      <c r="A246">
        <v>522</v>
      </c>
      <c r="B246">
        <v>1988.8937515055297</v>
      </c>
    </row>
    <row r="247" spans="1:2" x14ac:dyDescent="0.15">
      <c r="A247">
        <v>523</v>
      </c>
      <c r="B247">
        <v>1989.2858051109533</v>
      </c>
    </row>
    <row r="248" spans="1:2" x14ac:dyDescent="0.15">
      <c r="A248">
        <v>524</v>
      </c>
      <c r="B248">
        <v>1989.6812719486877</v>
      </c>
    </row>
    <row r="249" spans="1:2" x14ac:dyDescent="0.15">
      <c r="A249">
        <v>525</v>
      </c>
      <c r="B249">
        <v>1990.0800977726487</v>
      </c>
    </row>
    <row r="250" spans="1:2" x14ac:dyDescent="0.15">
      <c r="A250">
        <v>526</v>
      </c>
      <c r="B250">
        <v>1990.4822294438977</v>
      </c>
    </row>
    <row r="251" spans="1:2" x14ac:dyDescent="0.15">
      <c r="A251">
        <v>527</v>
      </c>
      <c r="B251">
        <v>1990.8876149050204</v>
      </c>
    </row>
    <row r="252" spans="1:2" x14ac:dyDescent="0.15">
      <c r="A252">
        <v>528</v>
      </c>
      <c r="B252">
        <v>1991.2962031551745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1992.1227891568415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1993.3854721613516</v>
      </c>
    </row>
    <row r="258" spans="1:2" x14ac:dyDescent="0.15">
      <c r="A258">
        <v>534</v>
      </c>
      <c r="B258">
        <v>1993.8122623110135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1994.6744194446196</v>
      </c>
    </row>
    <row r="261" spans="1:2" x14ac:dyDescent="0.15">
      <c r="A261">
        <v>537</v>
      </c>
      <c r="B261">
        <v>1995.1097005421248</v>
      </c>
    </row>
    <row r="262" spans="1:2" x14ac:dyDescent="0.15">
      <c r="A262">
        <v>538</v>
      </c>
      <c r="B262">
        <v>1995.5477274815348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1996.4318562766477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1997.3264885311462</v>
      </c>
    </row>
    <row r="267" spans="1:2" x14ac:dyDescent="0.15">
      <c r="A267">
        <v>543</v>
      </c>
      <c r="B267">
        <v>1997.7776476730621</v>
      </c>
    </row>
    <row r="268" spans="1:2" x14ac:dyDescent="0.15">
      <c r="A268">
        <v>544</v>
      </c>
      <c r="B268">
        <v>1998.2313192284635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1999.6070489107628</v>
      </c>
    </row>
    <row r="272" spans="1:2" x14ac:dyDescent="0.15">
      <c r="A272">
        <v>548</v>
      </c>
      <c r="B272">
        <v>2000.0704141044282</v>
      </c>
    </row>
    <row r="273" spans="1:2" x14ac:dyDescent="0.15">
      <c r="A273">
        <v>549</v>
      </c>
      <c r="B273">
        <v>2000.5361171004492</v>
      </c>
    </row>
    <row r="274" spans="1:2" x14ac:dyDescent="0.15">
      <c r="A274">
        <v>550</v>
      </c>
      <c r="B274">
        <v>2001.0041249632104</v>
      </c>
    </row>
    <row r="275" spans="1:2" x14ac:dyDescent="0.15">
      <c r="A275">
        <v>551</v>
      </c>
      <c r="B275">
        <v>2001.4744053860222</v>
      </c>
    </row>
    <row r="276" spans="1:2" x14ac:dyDescent="0.15">
      <c r="A276">
        <v>552</v>
      </c>
      <c r="B276">
        <v>2001.9469266775416</v>
      </c>
    </row>
    <row r="277" spans="1:2" x14ac:dyDescent="0.15">
      <c r="A277">
        <v>553</v>
      </c>
      <c r="B277">
        <v>2002.4216577485272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2003.3776278051532</v>
      </c>
    </row>
    <row r="280" spans="1:2" x14ac:dyDescent="0.15">
      <c r="A280">
        <v>556</v>
      </c>
      <c r="B280">
        <v>2003.8588075079795</v>
      </c>
    </row>
    <row r="281" spans="1:2" x14ac:dyDescent="0.15">
      <c r="A281">
        <v>557</v>
      </c>
      <c r="B281">
        <v>2004.3420784002947</v>
      </c>
    </row>
    <row r="282" spans="1:2" x14ac:dyDescent="0.15">
      <c r="A282">
        <v>558</v>
      </c>
      <c r="B282">
        <v>2004.8274122154755</v>
      </c>
    </row>
    <row r="283" spans="1:2" x14ac:dyDescent="0.15">
      <c r="A283">
        <v>559</v>
      </c>
      <c r="B283">
        <v>2005.3147812158984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2006.2955164000862</v>
      </c>
    </row>
    <row r="286" spans="1:2" x14ac:dyDescent="0.15">
      <c r="A286">
        <v>562</v>
      </c>
      <c r="B286">
        <v>2006.7888296541826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2008.2802446895803</v>
      </c>
    </row>
    <row r="290" spans="1:2" x14ac:dyDescent="0.15">
      <c r="A290">
        <v>566</v>
      </c>
      <c r="B290">
        <v>2008.7811254837222</v>
      </c>
    </row>
    <row r="291" spans="1:2" x14ac:dyDescent="0.15">
      <c r="A291">
        <v>567</v>
      </c>
      <c r="B291">
        <v>2009.2838373165746</v>
      </c>
    </row>
    <row r="292" spans="1:2" x14ac:dyDescent="0.15">
      <c r="A292">
        <v>568</v>
      </c>
      <c r="B292">
        <v>2009.7883567380165</v>
      </c>
    </row>
    <row r="293" spans="1:2" x14ac:dyDescent="0.15">
      <c r="A293">
        <v>569</v>
      </c>
      <c r="B293">
        <v>2010.2946607260478</v>
      </c>
    </row>
    <row r="294" spans="1:2" x14ac:dyDescent="0.15">
      <c r="A294">
        <v>570</v>
      </c>
      <c r="B294">
        <v>2010.8027266779347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2011.8240561069956</v>
      </c>
    </row>
    <row r="297" spans="1:2" x14ac:dyDescent="0.15">
      <c r="A297">
        <v>573</v>
      </c>
      <c r="B297">
        <v>2012.3372763981802</v>
      </c>
    </row>
    <row r="298" spans="1:2" x14ac:dyDescent="0.15">
      <c r="A298">
        <v>574</v>
      </c>
      <c r="B298">
        <v>2012.8521722649098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2013.8869085661267</v>
      </c>
    </row>
    <row r="301" spans="1:2" x14ac:dyDescent="0.15">
      <c r="A301">
        <v>577</v>
      </c>
      <c r="B301">
        <v>2014.4067088391917</v>
      </c>
    </row>
    <row r="302" spans="1:2" x14ac:dyDescent="0.15">
      <c r="A302">
        <v>578</v>
      </c>
      <c r="B302">
        <v>2014.9281043500368</v>
      </c>
    </row>
    <row r="303" spans="1:2" x14ac:dyDescent="0.15">
      <c r="A303">
        <v>579</v>
      </c>
      <c r="B303">
        <v>2015.4510759026925</v>
      </c>
    </row>
    <row r="304" spans="1:2" x14ac:dyDescent="0.15">
      <c r="A304">
        <v>580</v>
      </c>
      <c r="B304">
        <v>2015.9756046422349</v>
      </c>
    </row>
    <row r="305" spans="1:2" x14ac:dyDescent="0.15">
      <c r="A305">
        <v>581</v>
      </c>
      <c r="B305">
        <v>2016.5016720478952</v>
      </c>
    </row>
    <row r="306" spans="1:2" x14ac:dyDescent="0.15">
      <c r="A306">
        <v>582</v>
      </c>
      <c r="B306">
        <v>2017.0292599263155</v>
      </c>
    </row>
    <row r="307" spans="1:2" x14ac:dyDescent="0.15">
      <c r="A307">
        <v>583</v>
      </c>
      <c r="B307">
        <v>2017.5583504049555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2018.6209692382913</v>
      </c>
    </row>
    <row r="310" spans="1:2" x14ac:dyDescent="0.15">
      <c r="A310">
        <v>586</v>
      </c>
      <c r="B310">
        <v>2019.1544633946746</v>
      </c>
    </row>
    <row r="311" spans="1:2" x14ac:dyDescent="0.15">
      <c r="A311">
        <v>587</v>
      </c>
      <c r="B311">
        <v>2019.6893917424497</v>
      </c>
    </row>
    <row r="312" spans="1:2" x14ac:dyDescent="0.15">
      <c r="A312">
        <v>588</v>
      </c>
      <c r="B312">
        <v>2020.2257379192242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2021.3026197254408</v>
      </c>
    </row>
    <row r="315" spans="1:2" x14ac:dyDescent="0.15">
      <c r="A315">
        <v>591</v>
      </c>
      <c r="B315">
        <v>2021.8431240285104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2022.9281831337682</v>
      </c>
    </row>
    <row r="318" spans="1:2" x14ac:dyDescent="0.15">
      <c r="A318">
        <v>594</v>
      </c>
      <c r="B318">
        <v>2023.4727081994438</v>
      </c>
    </row>
    <row r="319" spans="1:2" x14ac:dyDescent="0.15">
      <c r="A319">
        <v>595</v>
      </c>
      <c r="B319">
        <v>2024.0185442062495</v>
      </c>
    </row>
    <row r="320" spans="1:2" x14ac:dyDescent="0.15">
      <c r="A320">
        <v>596</v>
      </c>
      <c r="B320">
        <v>2024.5656769135906</v>
      </c>
    </row>
    <row r="321" spans="1:2" x14ac:dyDescent="0.15">
      <c r="A321">
        <v>597</v>
      </c>
      <c r="B321">
        <v>2025.1140923230835</v>
      </c>
    </row>
    <row r="322" spans="1:2" x14ac:dyDescent="0.15">
      <c r="A322">
        <v>598</v>
      </c>
      <c r="B322">
        <v>2025.6637766738002</v>
      </c>
    </row>
    <row r="323" spans="1:2" x14ac:dyDescent="0.15">
      <c r="A323">
        <v>599</v>
      </c>
      <c r="B323">
        <v>2026.2147164376106</v>
      </c>
    </row>
    <row r="324" spans="1:2" x14ac:dyDescent="0.15">
      <c r="A324">
        <v>600</v>
      </c>
      <c r="B324">
        <v>2026.7668983146225</v>
      </c>
    </row>
    <row r="325" spans="1:2" x14ac:dyDescent="0.15">
      <c r="A325">
        <v>601</v>
      </c>
      <c r="B325">
        <v>2027.3203092287176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2028.9877886978204</v>
      </c>
    </row>
    <row r="329" spans="1:2" x14ac:dyDescent="0.15">
      <c r="A329">
        <v>605</v>
      </c>
      <c r="B329">
        <v>2029.5459893235127</v>
      </c>
    </row>
    <row r="330" spans="1:2" x14ac:dyDescent="0.15">
      <c r="A330">
        <v>606</v>
      </c>
      <c r="B330">
        <v>2030.1053568125037</v>
      </c>
    </row>
    <row r="331" spans="1:2" x14ac:dyDescent="0.15">
      <c r="A331">
        <v>607</v>
      </c>
      <c r="B331">
        <v>2030.6658793426564</v>
      </c>
    </row>
    <row r="332" spans="1:2" x14ac:dyDescent="0.15">
      <c r="A332">
        <v>608</v>
      </c>
      <c r="B332">
        <v>2031.2275452868575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2032.9192901791287</v>
      </c>
    </row>
    <row r="336" spans="1:2" x14ac:dyDescent="0.15">
      <c r="A336">
        <v>612</v>
      </c>
      <c r="B336">
        <v>2033.4854172782073</v>
      </c>
    </row>
    <row r="337" spans="1:2" x14ac:dyDescent="0.15">
      <c r="A337">
        <v>613</v>
      </c>
      <c r="B337">
        <v>2034.0526324515538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7DD1-D5CF-45EC-9102-07B0F2E63E9F}">
  <sheetPr codeName="ws_CpMid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4176.5923150780045</v>
      </c>
      <c r="D2" t="s">
        <v>53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4167.1037489620485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4161.5057159467115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4162.5355172039835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4168.9324604938765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4175.7956137265555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4182.5664722654465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4187.3549750169195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4193.7212530959805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4226.2422858633145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4283.6051221178905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4307.0441823656265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4418.4103878472115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4436.0433651972435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4484.5899476329805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4511.5093584007545</v>
      </c>
    </row>
    <row r="207" spans="1:2" x14ac:dyDescent="0.15">
      <c r="A207">
        <v>483</v>
      </c>
      <c r="B207">
        <v>4517.1244468111045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4597.9919227238815</v>
      </c>
    </row>
    <row r="221" spans="1:2" x14ac:dyDescent="0.15">
      <c r="A221">
        <v>497</v>
      </c>
      <c r="B221">
        <v>4604.8781166479675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4671.8438258887345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4767.9726558305365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5138.8466351934385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5173.9562635752545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4646.3992007934185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4458.7495777867325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4113.1720760271355</v>
      </c>
    </row>
    <row r="302" spans="1:2" x14ac:dyDescent="0.15">
      <c r="A302">
        <v>578</v>
      </c>
      <c r="B302">
        <v>4071.6586382314163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3993.2543090779386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3885.8473517588945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3820.1636580139266</v>
      </c>
    </row>
    <row r="310" spans="1:2" x14ac:dyDescent="0.15">
      <c r="A310">
        <v>586</v>
      </c>
      <c r="B310">
        <v>3788.9088491108623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3700.8643446777687</v>
      </c>
    </row>
    <row r="314" spans="1:2" x14ac:dyDescent="0.15">
      <c r="A314">
        <v>590</v>
      </c>
      <c r="B314">
        <v>3673.2706539292967</v>
      </c>
    </row>
    <row r="315" spans="1:2" x14ac:dyDescent="0.15">
      <c r="A315">
        <v>591</v>
      </c>
      <c r="B315">
        <v>3646.4862210576807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3595.2013025676065</v>
      </c>
    </row>
    <row r="318" spans="1:2" x14ac:dyDescent="0.15">
      <c r="A318">
        <v>594</v>
      </c>
      <c r="B318">
        <v>3570.6348080912485</v>
      </c>
    </row>
    <row r="319" spans="1:2" x14ac:dyDescent="0.15">
      <c r="A319">
        <v>595</v>
      </c>
      <c r="B319">
        <v>3546.7451365352163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3478.8654265697296</v>
      </c>
    </row>
    <row r="323" spans="1:2" x14ac:dyDescent="0.15">
      <c r="A323">
        <v>599</v>
      </c>
      <c r="B323">
        <v>3457.4193697572728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3396.3142486625757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3339.6564085861464</v>
      </c>
    </row>
    <row r="330" spans="1:2" x14ac:dyDescent="0.15">
      <c r="A330">
        <v>606</v>
      </c>
      <c r="B330">
        <v>3321.6784179320794</v>
      </c>
    </row>
    <row r="331" spans="1:2" x14ac:dyDescent="0.15">
      <c r="A331">
        <v>607</v>
      </c>
      <c r="B331">
        <v>3304.1285535744255</v>
      </c>
    </row>
    <row r="332" spans="1:2" x14ac:dyDescent="0.15">
      <c r="A332">
        <v>608</v>
      </c>
      <c r="B332">
        <v>3286.9924265965838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3253.9071825091637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3222.3204027945335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EB20-993E-4C88-8B3A-9D0AA38944FF}">
  <sheetPr codeName="ws_CpHigh"/>
  <dimension ref="A1:E337"/>
  <sheetViews>
    <sheetView workbookViewId="0">
      <pane ySplit="1" topLeftCell="A65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4145.4990259833339</v>
      </c>
      <c r="D2" t="s">
        <v>53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4142.2370086486935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4141.0852015276705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4142.0757559542135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4144.6951463872465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4170.6998120113985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4172.3578139375395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4181.6060263214995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4193.8666712391305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4205.7631231769055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4221.1932488653065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4235.3791304911965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4314.4205933394105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4342.7665385510145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4393.9540723458795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4432.0770311694905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4464.9627135348455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4506.4516560336415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4577.7362404400565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4647.0567998434235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4662.1792759157925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4702.0459321509325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4727.4849324966235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4791.8077827239495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5114.8970677329835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5576.9931992977745</v>
      </c>
    </row>
    <row r="302" spans="1:2" x14ac:dyDescent="0.15">
      <c r="A302">
        <v>578</v>
      </c>
      <c r="B302">
        <v>5605.3124321390505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5664.6699509877935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5761.2488610771725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6030.7686394117145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tm"/>
  <dimension ref="A1:BR59"/>
  <sheetViews>
    <sheetView tabSelected="1" topLeftCell="AZ1" zoomScale="85" zoomScaleNormal="85" workbookViewId="0">
      <selection activeCell="BR2" sqref="BR2"/>
    </sheetView>
  </sheetViews>
  <sheetFormatPr defaultRowHeight="13.5" x14ac:dyDescent="0.1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60" width="9.125" bestFit="1" customWidth="1"/>
    <col min="61" max="61" width="12.875" bestFit="1" customWidth="1"/>
    <col min="62" max="62" width="9.125" bestFit="1" customWidth="1"/>
    <col min="63" max="63" width="11.5" customWidth="1"/>
    <col min="64" max="64" width="12.75" bestFit="1" customWidth="1"/>
    <col min="65" max="65" width="12.875" bestFit="1" customWidth="1"/>
    <col min="66" max="67" width="12.75" bestFit="1" customWidth="1"/>
    <col min="68" max="68" width="15.375" bestFit="1" customWidth="1"/>
    <col min="69" max="69" width="12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55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144</v>
      </c>
      <c r="S1" s="13" t="s">
        <v>56</v>
      </c>
      <c r="T1" s="3" t="s">
        <v>16</v>
      </c>
      <c r="U1" s="3" t="s">
        <v>17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82</v>
      </c>
      <c r="AB1" s="4" t="s">
        <v>23</v>
      </c>
      <c r="AC1" s="11" t="s">
        <v>24</v>
      </c>
      <c r="AD1" s="11" t="s">
        <v>57</v>
      </c>
      <c r="AE1" s="11" t="s">
        <v>25</v>
      </c>
      <c r="AF1" s="11" t="s">
        <v>79</v>
      </c>
      <c r="AG1" s="6" t="s">
        <v>58</v>
      </c>
      <c r="AH1" s="6" t="s">
        <v>26</v>
      </c>
      <c r="AI1" s="6" t="s">
        <v>27</v>
      </c>
      <c r="AJ1" s="5" t="s">
        <v>59</v>
      </c>
      <c r="AK1" s="5" t="s">
        <v>28</v>
      </c>
      <c r="AL1" s="5" t="s">
        <v>29</v>
      </c>
      <c r="AM1" s="5" t="s">
        <v>60</v>
      </c>
      <c r="AN1" s="5" t="s">
        <v>80</v>
      </c>
      <c r="AO1" s="7" t="s">
        <v>30</v>
      </c>
      <c r="AP1" s="3" t="s">
        <v>31</v>
      </c>
      <c r="AQ1" s="3" t="s">
        <v>32</v>
      </c>
      <c r="AR1" s="3" t="s">
        <v>33</v>
      </c>
      <c r="AS1" s="3" t="s">
        <v>61</v>
      </c>
      <c r="AT1" s="3" t="s">
        <v>62</v>
      </c>
      <c r="AU1" s="3" t="s">
        <v>63</v>
      </c>
      <c r="AV1" s="3" t="s">
        <v>64</v>
      </c>
      <c r="AW1" s="3" t="s">
        <v>65</v>
      </c>
      <c r="AX1" s="3" t="s">
        <v>66</v>
      </c>
      <c r="AY1" s="3" t="s">
        <v>81</v>
      </c>
      <c r="AZ1" s="1" t="s">
        <v>34</v>
      </c>
      <c r="BA1" t="s">
        <v>35</v>
      </c>
      <c r="BB1" t="s">
        <v>67</v>
      </c>
      <c r="BC1" s="18" t="s">
        <v>68</v>
      </c>
      <c r="BD1" s="18" t="s">
        <v>69</v>
      </c>
      <c r="BE1" t="s">
        <v>70</v>
      </c>
      <c r="BF1" s="17" t="s">
        <v>71</v>
      </c>
      <c r="BG1" t="s">
        <v>72</v>
      </c>
      <c r="BH1" t="s">
        <v>36</v>
      </c>
      <c r="BI1" t="s">
        <v>73</v>
      </c>
      <c r="BJ1" t="s">
        <v>74</v>
      </c>
      <c r="BK1" t="s">
        <v>75</v>
      </c>
      <c r="BL1" t="s">
        <v>37</v>
      </c>
      <c r="BM1" t="s">
        <v>76</v>
      </c>
      <c r="BN1" t="s">
        <v>77</v>
      </c>
      <c r="BO1" t="s">
        <v>78</v>
      </c>
      <c r="BP1" t="s">
        <v>38</v>
      </c>
      <c r="BQ1" t="s">
        <v>143</v>
      </c>
      <c r="BR1" t="s">
        <v>145</v>
      </c>
    </row>
    <row r="2" spans="1:70" x14ac:dyDescent="0.15">
      <c r="A2" s="25" t="s">
        <v>86</v>
      </c>
      <c r="B2" s="26">
        <v>14927148.904999999</v>
      </c>
      <c r="C2" s="26" cm="1">
        <f t="array" ref="C2">TsatFromP(テーブル2[[#This Row],[P]])</f>
        <v>614.9156661127455</v>
      </c>
      <c r="D2" s="26">
        <f t="array" ref="D2">RhoGFromP(テーブル2[[#This Row],[P]])</f>
        <v>95.99129627600891</v>
      </c>
      <c r="E2" s="26">
        <f t="array" ref="E2">RhoFFromP(テーブル2[[#This Row],[P]])</f>
        <v>604.83147460894611</v>
      </c>
      <c r="F2" s="26">
        <f t="array" ref="F2">HgFromP(テーブル2[[#This Row],[P]])</f>
        <v>2612762.6286267578</v>
      </c>
      <c r="G2" s="26">
        <f t="array" ref="G2">HfFromP(テーブル2[[#This Row],[P]])</f>
        <v>1607339.4945123668</v>
      </c>
      <c r="H2" s="26">
        <f t="array" ref="H2">MuGFromP(テーブル2[[#This Row],[P]])</f>
        <v>2.2671477363907453E-5</v>
      </c>
      <c r="I2" s="26">
        <f t="array" ref="I2">MuFFromP(テーブル2[[#This Row],[P]])</f>
        <v>6.9572022522881486E-5</v>
      </c>
      <c r="J2" s="26">
        <f t="array" ref="J2">KfFromP(テーブル2[[#This Row],[P]])</f>
        <v>0.47825678197067412</v>
      </c>
      <c r="K2" s="26">
        <f t="array" ref="K2">CpFFromP(テーブル2[[#This Row],[P]])</f>
        <v>8454.9052671850641</v>
      </c>
      <c r="L2" s="26">
        <f t="array" ref="L2">SigmaFromP(テーブル2[[#This Row],[P]])</f>
        <v>5.2373024455701312E-3</v>
      </c>
      <c r="M2" s="27">
        <v>229</v>
      </c>
      <c r="N2" s="26">
        <v>3507.9720000000002</v>
      </c>
      <c r="O2" s="28">
        <v>1.0848891429240124E-4</v>
      </c>
      <c r="P2" s="28">
        <v>3.3674103335298272E-2</v>
      </c>
      <c r="Q2" s="26">
        <v>1.2886925387400553E-2</v>
      </c>
      <c r="R2" s="26">
        <v>1.778</v>
      </c>
      <c r="S2" s="29">
        <v>1550934.60203125</v>
      </c>
      <c r="T2" s="26">
        <v>579.81666666666661</v>
      </c>
      <c r="U2" s="30">
        <f>+T2+BG2*S2*テーブル2[[#This Row],[Pw]]*R2/(N2*O2*K2)</f>
        <v>597.70365000805282</v>
      </c>
      <c r="V2" s="26">
        <v>0.03</v>
      </c>
      <c r="W2" s="28">
        <f t="shared" ref="W2:W12" si="0">+N2*P2/I2</f>
        <v>1697921.1950677731</v>
      </c>
      <c r="X2" s="26">
        <v>1.5808189466610945E-2</v>
      </c>
      <c r="Y2" s="26">
        <f t="shared" ref="Y2:Y15" si="1">IF(X2&gt;0,1/X2^0.5,1)</f>
        <v>7.9535118739752901</v>
      </c>
      <c r="Z2" s="26">
        <f t="shared" ref="Z2:Z12" si="2">IF(X2&gt;0,1.14-2*LOG((0.72*L2*E2)/(X2*P2*N2^2)+9.35/(W2*X2^0.5)),0)</f>
        <v>7.953511887862148</v>
      </c>
      <c r="AA2" s="26">
        <f t="shared" ref="AA2:AA15" si="3">+Y2-Z2</f>
        <v>-1.3886857885836434E-8</v>
      </c>
      <c r="AB2" s="26">
        <f t="shared" ref="AB2:AB15" si="4">32/X2*L2*V2*E2/N2^2</f>
        <v>1.5632156766116078E-5</v>
      </c>
      <c r="AC2" s="26">
        <v>632.68348025459318</v>
      </c>
      <c r="AD2" s="26">
        <f t="shared" ref="AD2:AD12" si="5">+P2/2*AI2/I2*E2</f>
        <v>37738.41071644445</v>
      </c>
      <c r="AE2" s="26">
        <f t="shared" ref="AE2:AE33" si="6">+gettm2(AD2,AC2,AK2,AL2,1)</f>
        <v>600.37851500327201</v>
      </c>
      <c r="AF2" s="31">
        <f t="shared" ref="AF2:AF15" si="7">+AE2-U2</f>
        <v>2.6748649952191954</v>
      </c>
      <c r="AG2" s="26">
        <v>1.5664159842023211E-5</v>
      </c>
      <c r="AH2" s="26">
        <f t="shared" ref="AH2:AH15" si="8">+X2*N2^2/(8*E2)</f>
        <v>40.20406799084099</v>
      </c>
      <c r="AI2" s="26">
        <f t="shared" ref="AI2:AI15" si="9">+(AH2/E2)^0.5</f>
        <v>0.25782071459805578</v>
      </c>
      <c r="AJ2" s="26">
        <f t="shared" ref="AJ2:AJ15" si="10">+AG2*AI2/I2*E2</f>
        <v>35.109501907755636</v>
      </c>
      <c r="AK2" s="26">
        <f t="array" ref="AK2">+S2*テーブル2[[#This Row],[F_form]]/(E2*CpFromTP((テーブル2[[#This Row],[Tin]]+テーブル2[[#This Row],[Tf]])/2,テーブル2[[#This Row],[P]])*AI2)</f>
        <v>1.0312467292678376</v>
      </c>
      <c r="AL2" s="26">
        <f t="shared" ref="AL2:AL15" si="11">+K2*I2/J2</f>
        <v>1.2299352185945529</v>
      </c>
      <c r="AM2" s="26">
        <f t="shared" ref="AM2:AM15" si="12">+gettyp(AC2,AJ2,AK2,AL2)</f>
        <v>615.79351773654116</v>
      </c>
      <c r="AN2" s="26">
        <f t="shared" ref="AN2:AN15" si="13">+C2-AM2</f>
        <v>-0.87785162379566373</v>
      </c>
      <c r="AO2" s="26">
        <f t="shared" ref="AO2:AO15" si="14">+AG2-AB2</f>
        <v>3.2003075907132588E-8</v>
      </c>
      <c r="AP2" s="26">
        <v>3.1636590393141626</v>
      </c>
      <c r="AQ2" s="26">
        <f t="shared" ref="AQ2:AQ15" si="15">2*PI()*L2*(D2+E2)/(D2*E2*AP2^2)</f>
        <v>3.9687171162984917E-5</v>
      </c>
      <c r="AR2" s="26">
        <f t="shared" ref="AR2:AR15" si="16">+AO2+AB2/2</f>
        <v>7.8480814589651718E-6</v>
      </c>
      <c r="AS2" s="26">
        <f t="shared" ref="AS2:AS15" si="17">+AR2*AI2/I2*E2</f>
        <v>17.590616651941023</v>
      </c>
      <c r="AT2" s="26">
        <f t="shared" ref="AT2:AT15" si="18">+getublp(AS2)</f>
        <v>11.286828075479086</v>
      </c>
      <c r="AU2" s="26">
        <f t="shared" ref="AU2:AU15" si="19">+AT2*AI2</f>
        <v>2.9099780799654167</v>
      </c>
      <c r="AV2" s="26">
        <f t="shared" ref="AV2:AV15" si="20">+AP2-AU2</f>
        <v>0.2536809593487459</v>
      </c>
      <c r="AW2" s="26">
        <f t="shared" ref="AW2:AW15" si="21">2/3*AB2/(L2/(9.8*(E2-D2)))^0.5</f>
        <v>1.0168983703586362E-2</v>
      </c>
      <c r="AX2" s="26">
        <f t="shared" ref="AX2:AX15" si="22">+(2*AQ2*9.8*(E2-D2)/(E2*AW2))^0.5</f>
        <v>0.25368094018623077</v>
      </c>
      <c r="AY2" s="26">
        <f t="shared" ref="AY2:AY15" si="23">+AV2-AX2</f>
        <v>1.916251513023326E-8</v>
      </c>
      <c r="AZ2" s="26">
        <f t="shared" ref="AZ2:AZ15" si="24">+F2-G2</f>
        <v>1005423.1341143909</v>
      </c>
      <c r="BA2" s="26">
        <f t="shared" ref="BA2:BA15" si="25">+AQ2/AP2</f>
        <v>1.2544705567129808E-5</v>
      </c>
      <c r="BB2" s="29">
        <f t="shared" ref="BB2:BB15" si="26">+E2*AO2*AZ2/BA2</f>
        <v>1551366.8462386318</v>
      </c>
      <c r="BC2" s="29">
        <f t="shared" ref="BC2:BC15" si="27">BB2-S2</f>
        <v>432.24420738173649</v>
      </c>
      <c r="BD2" s="32">
        <f t="shared" ref="BD2:BD15" si="28">+(BB2-S2)/S2*100</f>
        <v>2.7869918358622521E-2</v>
      </c>
      <c r="BE2" s="29">
        <v>2915712.5985881896</v>
      </c>
      <c r="BF2" s="26">
        <f>テーブル2[[#This Row],[q_P]]/テーブル2[[#This Row],[q_M]]</f>
        <v>0.53207124974862596</v>
      </c>
      <c r="BG2" s="26">
        <v>0.61982065892134453</v>
      </c>
      <c r="BH2" s="26">
        <v>4.1827591863522147E-2</v>
      </c>
      <c r="BI2" s="26">
        <v>4.5999999999999999E-2</v>
      </c>
      <c r="BJ2" s="26">
        <v>5625</v>
      </c>
      <c r="BK2" s="26">
        <f>1+テーブル2[[#This Row],[A_corr]]*EXP(-テーブル2[[#This Row],[(Tsub-40)^2]]/テーブル2[[#This Row],[σ_corr]])</f>
        <v>1.0458039901580181</v>
      </c>
      <c r="BL2" s="26">
        <f>テーブル2[[#This Row],[Ts]]-テーブル2[[#This Row],[Tin]]</f>
        <v>35.098999446078892</v>
      </c>
      <c r="BM2" s="26">
        <f>テーブル2[[#This Row],[q_P]]*0.000001</f>
        <v>1.5513668462386316</v>
      </c>
      <c r="BN2" s="26">
        <f>テーブル2[[#This Row],[Tsub]]</f>
        <v>35.098999446078892</v>
      </c>
      <c r="BO2" s="26">
        <f>テーブル2[[#This Row],[Fcorr]]</f>
        <v>1.0458039901580181</v>
      </c>
      <c r="BP2" s="26">
        <f>(テーブル2[[#This Row],[Tsub]]-40)^2</f>
        <v>24.019806429535006</v>
      </c>
      <c r="BQ2" s="27">
        <v>1.009375478841255</v>
      </c>
      <c r="BR2">
        <v>2.4380000000000002</v>
      </c>
    </row>
    <row r="3" spans="1:70" x14ac:dyDescent="0.15">
      <c r="A3" s="9" t="s">
        <v>87</v>
      </c>
      <c r="B3">
        <v>14582411.055</v>
      </c>
      <c r="C3" s="21" cm="1">
        <f t="array" ref="C3">TsatFromP(テーブル2[[#This Row],[P]])</f>
        <v>613.05026988781367</v>
      </c>
      <c r="D3">
        <f t="array" ref="D3">RhoGFromP(テーブル2[[#This Row],[P]])</f>
        <v>92.580958140603215</v>
      </c>
      <c r="E3">
        <f t="array" ref="E3">RhoFFromP(テーブル2[[#This Row],[P]])</f>
        <v>610.99184656446221</v>
      </c>
      <c r="F3">
        <f t="array" ref="F3">HgFromP(テーブル2[[#This Row],[P]])</f>
        <v>2622345.5985878608</v>
      </c>
      <c r="G3">
        <f t="array" ref="G3">HfFromP(テーブル2[[#This Row],[P]])</f>
        <v>1593812.5192969192</v>
      </c>
      <c r="H3">
        <f t="array" ref="H3">MuGFromP(テーブル2[[#This Row],[P]])</f>
        <v>2.2466336042427335E-5</v>
      </c>
      <c r="I3">
        <f t="array" ref="I3">MuFFromP(テーブル2[[#This Row],[P]])</f>
        <v>7.0373614625891007E-5</v>
      </c>
      <c r="J3">
        <f t="array" ref="J3">KfFromP(テーブル2[[#This Row],[P]])</f>
        <v>0.48213977909987105</v>
      </c>
      <c r="K3">
        <f t="array" ref="K3">CpFFromP(テーブル2[[#This Row],[P]])</f>
        <v>8194.8014383951322</v>
      </c>
      <c r="L3">
        <f t="array" ref="L3">SigmaFromP(テーブル2[[#This Row],[P]])</f>
        <v>5.6080351609815058E-3</v>
      </c>
      <c r="M3">
        <v>230</v>
      </c>
      <c r="N3">
        <v>3444.24</v>
      </c>
      <c r="O3" s="8">
        <v>1.0848891429240124E-4</v>
      </c>
      <c r="P3" s="8">
        <v>3.3674103335298272E-2</v>
      </c>
      <c r="Q3">
        <v>1.2886925387400553E-2</v>
      </c>
      <c r="R3">
        <v>1.778</v>
      </c>
      <c r="S3" s="15">
        <v>1803192.87109375</v>
      </c>
      <c r="T3">
        <v>570.37222222222226</v>
      </c>
      <c r="U3" s="12">
        <f>+T3+BG3*S3*テーブル2[[#This Row],[Pw]]*R3/(N3*O3*K3)</f>
        <v>592.22561250184197</v>
      </c>
      <c r="V3">
        <v>0.03</v>
      </c>
      <c r="W3" s="8">
        <f t="shared" si="0"/>
        <v>1648084.9291049081</v>
      </c>
      <c r="X3">
        <v>1.611558393814511E-2</v>
      </c>
      <c r="Y3">
        <f t="shared" si="1"/>
        <v>7.87729258572387</v>
      </c>
      <c r="Z3">
        <f t="shared" si="2"/>
        <v>7.8772925931407354</v>
      </c>
      <c r="AA3">
        <f t="shared" si="3"/>
        <v>-7.4168653441120114E-9</v>
      </c>
      <c r="AB3">
        <f t="shared" si="4"/>
        <v>1.7206182179050892E-5</v>
      </c>
      <c r="AC3">
        <v>634.75374336829168</v>
      </c>
      <c r="AD3">
        <f t="shared" si="5"/>
        <v>36985.170242801796</v>
      </c>
      <c r="AE3">
        <f t="shared" si="6"/>
        <v>595.48665812594561</v>
      </c>
      <c r="AF3" s="14">
        <f t="shared" si="7"/>
        <v>3.2610456241036445</v>
      </c>
      <c r="AG3">
        <v>1.724463914211775E-5</v>
      </c>
      <c r="AH3">
        <f t="shared" si="8"/>
        <v>39.111768800003595</v>
      </c>
      <c r="AI3">
        <f t="shared" si="9"/>
        <v>0.25300902971444011</v>
      </c>
      <c r="AJ3">
        <f t="shared" si="10"/>
        <v>37.880498737933756</v>
      </c>
      <c r="AK3">
        <f t="array" ref="AK3">+S3*テーブル2[[#This Row],[F_form]]/(E3*CpFromTP((テーブル2[[#This Row],[Tin]]+テーブル2[[#This Row],[Tf]])/2,テーブル2[[#This Row],[P]])*AI3)</f>
        <v>1.2672114251218876</v>
      </c>
      <c r="AL3">
        <f t="shared" si="11"/>
        <v>1.1961215883036658</v>
      </c>
      <c r="AM3">
        <f t="shared" si="12"/>
        <v>614.12431990818197</v>
      </c>
      <c r="AN3">
        <f t="shared" si="13"/>
        <v>-1.0740500203683041</v>
      </c>
      <c r="AO3">
        <f t="shared" si="14"/>
        <v>3.8456963066858411E-8</v>
      </c>
      <c r="AP3">
        <v>3.2067921124303878</v>
      </c>
      <c r="AQ3">
        <f t="shared" si="15"/>
        <v>4.2618772905278344E-5</v>
      </c>
      <c r="AR3">
        <f t="shared" si="16"/>
        <v>8.6415480525923043E-6</v>
      </c>
      <c r="AS3">
        <f t="shared" si="17"/>
        <v>18.982487682245377</v>
      </c>
      <c r="AT3">
        <f t="shared" si="18"/>
        <v>11.667584266022475</v>
      </c>
      <c r="AU3">
        <f t="shared" si="19"/>
        <v>2.9520041742578145</v>
      </c>
      <c r="AV3">
        <f t="shared" si="20"/>
        <v>0.25478793817257328</v>
      </c>
      <c r="AW3">
        <f t="shared" si="21"/>
        <v>1.0917871766046394E-2</v>
      </c>
      <c r="AX3">
        <f t="shared" si="22"/>
        <v>0.25478793658880378</v>
      </c>
      <c r="AY3">
        <f t="shared" si="23"/>
        <v>1.5837695044318423E-9</v>
      </c>
      <c r="AZ3">
        <f t="shared" si="24"/>
        <v>1028533.0792909416</v>
      </c>
      <c r="BA3">
        <f t="shared" si="25"/>
        <v>1.3290157706225025E-5</v>
      </c>
      <c r="BB3" s="15">
        <f t="shared" si="26"/>
        <v>1818438.1300952577</v>
      </c>
      <c r="BC3" s="20">
        <f t="shared" si="27"/>
        <v>15245.259001507657</v>
      </c>
      <c r="BD3" s="19">
        <f t="shared" si="28"/>
        <v>0.84545914338383832</v>
      </c>
      <c r="BE3" s="15">
        <v>3184415.5243404349</v>
      </c>
      <c r="BF3" s="16">
        <f>テーブル2[[#This Row],[q_P]]/テーブル2[[#This Row],[q_M]]</f>
        <v>0.57104297984852259</v>
      </c>
      <c r="BG3">
        <v>0.61982065892134453</v>
      </c>
      <c r="BH3">
        <v>3.0903005549072472E-2</v>
      </c>
      <c r="BI3">
        <v>4.5999999999999999E-2</v>
      </c>
      <c r="BJ3">
        <v>5625</v>
      </c>
      <c r="BK3" s="21">
        <f>1+テーブル2[[#This Row],[A_corr]]*EXP(-テーブル2[[#This Row],[(Tsub-40)^2]]/テーブル2[[#This Row],[σ_corr]])</f>
        <v>1.0459413868483352</v>
      </c>
      <c r="BL3">
        <f>テーブル2[[#This Row],[Ts]]-テーブル2[[#This Row],[Tin]]</f>
        <v>42.678047665591407</v>
      </c>
      <c r="BM3">
        <f>テーブル2[[#This Row],[q_P]]*0.000001</f>
        <v>1.8184381300952577</v>
      </c>
      <c r="BN3">
        <f>テーブル2[[#This Row],[Tsub]]</f>
        <v>42.678047665591407</v>
      </c>
      <c r="BO3">
        <f>テーブル2[[#This Row],[Fcorr]]</f>
        <v>1.0459413868483352</v>
      </c>
      <c r="BP3">
        <f>(テーブル2[[#This Row],[Tsub]]-40)^2</f>
        <v>7.1719392991795852</v>
      </c>
      <c r="BQ3" s="10">
        <v>1.0111623444865137</v>
      </c>
      <c r="BR3">
        <v>2.4380000000000002</v>
      </c>
    </row>
    <row r="4" spans="1:70" x14ac:dyDescent="0.15">
      <c r="A4" s="9" t="s">
        <v>88</v>
      </c>
      <c r="B4">
        <v>16650838.154999999</v>
      </c>
      <c r="C4" s="21" cm="1">
        <f t="array" ref="C4">TsatFromP(テーブル2[[#This Row],[P]])</f>
        <v>623.7467472920838</v>
      </c>
      <c r="D4">
        <f t="array" ref="D4">RhoGFromP(テーブル2[[#This Row],[P]])</f>
        <v>115.08174830522883</v>
      </c>
      <c r="E4">
        <f t="array" ref="E4">RhoFFromP(テーブル2[[#This Row],[P]])</f>
        <v>572.29121245744955</v>
      </c>
      <c r="F4">
        <f t="array" ref="F4">HgFromP(テーブル2[[#This Row],[P]])</f>
        <v>2559557.8321399409</v>
      </c>
      <c r="G4">
        <f t="array" ref="G4">HfFromP(テーブル2[[#This Row],[P]])</f>
        <v>1675797.4223693286</v>
      </c>
      <c r="H4">
        <f t="array" ref="H4">MuGFromP(テーブル2[[#This Row],[P]])</f>
        <v>2.3829582904311094E-5</v>
      </c>
      <c r="I4">
        <f t="array" ref="I4">MuFFromP(テーブル2[[#This Row],[P]])</f>
        <v>6.5509940250288218E-5</v>
      </c>
      <c r="J4">
        <f t="array" ref="J4">KfFromP(テーブル2[[#This Row],[P]])</f>
        <v>0.45915472043015876</v>
      </c>
      <c r="K4">
        <f t="array" ref="K4">CpFFromP(テーブル2[[#This Row],[P]])</f>
        <v>10285.252806144354</v>
      </c>
      <c r="L4">
        <f t="array" ref="L4">SigmaFromP(テーブル2[[#This Row],[P]])</f>
        <v>3.5437208597502243E-3</v>
      </c>
      <c r="M4" s="22">
        <v>231</v>
      </c>
      <c r="N4">
        <v>3437.46</v>
      </c>
      <c r="O4" s="8">
        <v>1.0848891429240124E-4</v>
      </c>
      <c r="P4" s="8">
        <v>3.3674103335298272E-2</v>
      </c>
      <c r="Q4">
        <v>1.2886925387400553E-2</v>
      </c>
      <c r="R4">
        <v>1.778</v>
      </c>
      <c r="S4" s="15">
        <v>2133151.26953125</v>
      </c>
      <c r="T4">
        <v>575.92777777777769</v>
      </c>
      <c r="U4" s="12">
        <f>+T4+BG4*S4*テーブル2[[#This Row],[Pw]]*R4/(N4*O4*K4)</f>
        <v>596.56624838276798</v>
      </c>
      <c r="V4">
        <v>0.03</v>
      </c>
      <c r="W4" s="8">
        <f t="shared" si="0"/>
        <v>1766959.0722981179</v>
      </c>
      <c r="X4">
        <v>1.4827406621256983E-2</v>
      </c>
      <c r="Y4">
        <f t="shared" si="1"/>
        <v>8.212349073386271</v>
      </c>
      <c r="Z4">
        <f t="shared" si="2"/>
        <v>8.2123490768499092</v>
      </c>
      <c r="AA4">
        <f t="shared" si="3"/>
        <v>-3.4636382650887754E-9</v>
      </c>
      <c r="AB4">
        <f t="shared" si="4"/>
        <v>1.1112385813588112E-5</v>
      </c>
      <c r="AC4">
        <v>650.95276395956296</v>
      </c>
      <c r="AD4">
        <f t="shared" si="5"/>
        <v>38035.059485906088</v>
      </c>
      <c r="AE4">
        <f t="shared" si="6"/>
        <v>600.33390101272926</v>
      </c>
      <c r="AF4" s="14">
        <f t="shared" si="7"/>
        <v>3.767652629961276</v>
      </c>
      <c r="AG4">
        <v>1.1160672586839777E-5</v>
      </c>
      <c r="AH4">
        <f t="shared" si="8"/>
        <v>38.267795080516358</v>
      </c>
      <c r="AI4">
        <f t="shared" si="9"/>
        <v>0.25858788923415976</v>
      </c>
      <c r="AJ4">
        <f t="shared" si="10"/>
        <v>25.212065278554938</v>
      </c>
      <c r="AK4">
        <f t="array" ref="AK4">+S4*テーブル2[[#This Row],[F_form]]/(E4*CpFromTP((テーブル2[[#This Row],[Tin]]+テーブル2[[#This Row],[Tf]])/2,テーブル2[[#This Row],[P]])*AI4)</f>
        <v>1.5200249592608264</v>
      </c>
      <c r="AL4">
        <f t="shared" si="11"/>
        <v>1.4674493516224545</v>
      </c>
      <c r="AM4">
        <f t="shared" si="12"/>
        <v>625.08495657721619</v>
      </c>
      <c r="AN4">
        <f t="shared" si="13"/>
        <v>-1.3382092851323932</v>
      </c>
      <c r="AO4">
        <f t="shared" si="14"/>
        <v>4.828677325166557E-8</v>
      </c>
      <c r="AP4">
        <v>2.7350726256164575</v>
      </c>
      <c r="AQ4">
        <f t="shared" si="15"/>
        <v>3.1064943180193777E-5</v>
      </c>
      <c r="AR4">
        <f t="shared" si="16"/>
        <v>5.6044796800457214E-6</v>
      </c>
      <c r="AS4">
        <f t="shared" si="17"/>
        <v>12.66057277876455</v>
      </c>
      <c r="AT4">
        <f t="shared" si="18"/>
        <v>9.6424632944047062</v>
      </c>
      <c r="AU4">
        <f t="shared" si="19"/>
        <v>2.4934242303179754</v>
      </c>
      <c r="AV4">
        <f t="shared" si="20"/>
        <v>0.24164839529848203</v>
      </c>
      <c r="AW4">
        <f t="shared" si="21"/>
        <v>8.3302290581558792E-3</v>
      </c>
      <c r="AX4">
        <f t="shared" si="22"/>
        <v>0.24164839384817507</v>
      </c>
      <c r="AY4">
        <f t="shared" si="23"/>
        <v>1.4503069578619687E-9</v>
      </c>
      <c r="AZ4">
        <f t="shared" si="24"/>
        <v>883760.40977061237</v>
      </c>
      <c r="BA4">
        <f t="shared" si="25"/>
        <v>1.1357995721664632E-5</v>
      </c>
      <c r="BB4" s="15">
        <f t="shared" si="26"/>
        <v>2150196.2680550651</v>
      </c>
      <c r="BC4" s="20">
        <f t="shared" si="27"/>
        <v>17044.998523815069</v>
      </c>
      <c r="BD4" s="19">
        <f t="shared" si="28"/>
        <v>0.79905249886758523</v>
      </c>
      <c r="BE4" s="15">
        <v>3144395.9396539307</v>
      </c>
      <c r="BF4" s="16">
        <f>テーブル2[[#This Row],[q_P]]/テーブル2[[#This Row],[q_M]]</f>
        <v>0.6838185487199534</v>
      </c>
      <c r="BG4">
        <v>0.61982065892134453</v>
      </c>
      <c r="BH4">
        <v>-6.5763840908347693E-2</v>
      </c>
      <c r="BI4">
        <v>4.5999999999999999E-2</v>
      </c>
      <c r="BJ4">
        <v>5625</v>
      </c>
      <c r="BK4" s="21">
        <f>1+テーブル2[[#This Row],[A_corr]]*EXP(-テーブル2[[#This Row],[(Tsub-40)^2]]/テーブル2[[#This Row],[σ_corr]])</f>
        <v>1.0455027481817014</v>
      </c>
      <c r="BL4">
        <f>テーブル2[[#This Row],[Ts]]-テーブル2[[#This Row],[Tin]]</f>
        <v>47.818969514306104</v>
      </c>
      <c r="BM4">
        <f>テーブル2[[#This Row],[q_P]]*0.000001</f>
        <v>2.150196268055065</v>
      </c>
      <c r="BN4">
        <f>テーブル2[[#This Row],[Tsub]]</f>
        <v>47.818969514306104</v>
      </c>
      <c r="BO4">
        <f>テーブル2[[#This Row],[Fcorr]]</f>
        <v>1.0455027481817014</v>
      </c>
      <c r="BP4">
        <f>(テーブル2[[#This Row],[Tsub]]-40)^2</f>
        <v>61.136284265648236</v>
      </c>
      <c r="BQ4" s="10">
        <v>1.0083257790681535</v>
      </c>
      <c r="BR4">
        <v>2.4380000000000002</v>
      </c>
    </row>
    <row r="5" spans="1:70" x14ac:dyDescent="0.15">
      <c r="A5" s="9" t="s">
        <v>89</v>
      </c>
      <c r="B5">
        <v>16650838.154999999</v>
      </c>
      <c r="C5" s="21" cm="1">
        <f t="array" ref="C5">TsatFromP(テーブル2[[#This Row],[P]])</f>
        <v>623.7467472920838</v>
      </c>
      <c r="D5">
        <f t="array" ref="D5">RhoGFromP(テーブル2[[#This Row],[P]])</f>
        <v>115.08174830522883</v>
      </c>
      <c r="E5">
        <f t="array" ref="E5">RhoFFromP(テーブル2[[#This Row],[P]])</f>
        <v>572.29121245744955</v>
      </c>
      <c r="F5">
        <f t="array" ref="F5">HgFromP(テーブル2[[#This Row],[P]])</f>
        <v>2559557.8321399409</v>
      </c>
      <c r="G5">
        <f t="array" ref="G5">HfFromP(テーブル2[[#This Row],[P]])</f>
        <v>1675797.4223693286</v>
      </c>
      <c r="H5">
        <f t="array" ref="H5">MuGFromP(テーブル2[[#This Row],[P]])</f>
        <v>2.3829582904311094E-5</v>
      </c>
      <c r="I5">
        <f t="array" ref="I5">MuFFromP(テーブル2[[#This Row],[P]])</f>
        <v>6.5509940250288218E-5</v>
      </c>
      <c r="J5">
        <f t="array" ref="J5">KfFromP(テーブル2[[#This Row],[P]])</f>
        <v>0.45915472043015876</v>
      </c>
      <c r="K5">
        <f t="array" ref="K5">CpFFromP(テーブル2[[#This Row],[P]])</f>
        <v>10285.252806144354</v>
      </c>
      <c r="L5">
        <f t="array" ref="L5">SigmaFromP(テーブル2[[#This Row],[P]])</f>
        <v>3.5437208597502243E-3</v>
      </c>
      <c r="M5">
        <v>232</v>
      </c>
      <c r="N5">
        <v>2798.7840000000001</v>
      </c>
      <c r="O5" s="8">
        <v>1.0848891429240124E-4</v>
      </c>
      <c r="P5" s="8">
        <v>3.3674103335298272E-2</v>
      </c>
      <c r="Q5">
        <v>1.2886925387400553E-2</v>
      </c>
      <c r="R5">
        <v>1.778</v>
      </c>
      <c r="S5" s="15">
        <v>2188781.4608437498</v>
      </c>
      <c r="T5">
        <v>565.92777777777769</v>
      </c>
      <c r="U5" s="12">
        <f>+T5+BG5*S5*テーブル2[[#This Row],[Pw]]*R5/(N5*O5*K5)</f>
        <v>591.93694994436794</v>
      </c>
      <c r="V5">
        <v>0.03</v>
      </c>
      <c r="W5" s="8">
        <f t="shared" si="0"/>
        <v>1438660.1677409529</v>
      </c>
      <c r="X5">
        <v>1.5879996994288045E-2</v>
      </c>
      <c r="Y5">
        <f t="shared" si="1"/>
        <v>7.935509064364906</v>
      </c>
      <c r="Z5">
        <f t="shared" si="2"/>
        <v>7.9355090834102988</v>
      </c>
      <c r="AA5">
        <f t="shared" si="3"/>
        <v>-1.9045392818384244E-8</v>
      </c>
      <c r="AB5">
        <f t="shared" si="4"/>
        <v>1.5651596188145608E-5</v>
      </c>
      <c r="AC5">
        <v>660.15859572469026</v>
      </c>
      <c r="AD5">
        <f t="shared" si="5"/>
        <v>32048.55391700126</v>
      </c>
      <c r="AE5">
        <f t="shared" si="6"/>
        <v>596.66200196450075</v>
      </c>
      <c r="AF5" s="14">
        <f t="shared" si="7"/>
        <v>4.7250520201328072</v>
      </c>
      <c r="AG5">
        <v>1.5715236999108968E-5</v>
      </c>
      <c r="AH5">
        <f t="shared" si="8"/>
        <v>27.169529424232472</v>
      </c>
      <c r="AI5">
        <f t="shared" si="9"/>
        <v>0.21788760218648817</v>
      </c>
      <c r="AJ5">
        <f t="shared" si="10"/>
        <v>29.913231260798213</v>
      </c>
      <c r="AK5">
        <f t="array" ref="AK5">+S5*テーブル2[[#This Row],[F_form]]/(E5*CpFromTP((テーブル2[[#This Row],[Tin]]+テーブル2[[#This Row],[Tf]])/2,テーブル2[[#This Row],[P]])*AI5)</f>
        <v>1.9315859144313992</v>
      </c>
      <c r="AL5">
        <f t="shared" si="11"/>
        <v>1.4674493516224545</v>
      </c>
      <c r="AM5">
        <f t="shared" si="12"/>
        <v>625.53372778101243</v>
      </c>
      <c r="AN5">
        <f t="shared" si="13"/>
        <v>-1.7869804889286343</v>
      </c>
      <c r="AO5">
        <f t="shared" si="14"/>
        <v>6.3640810963360356E-8</v>
      </c>
      <c r="AP5">
        <v>2.5089117088366808</v>
      </c>
      <c r="AQ5">
        <f t="shared" si="15"/>
        <v>3.6917946205136628E-5</v>
      </c>
      <c r="AR5">
        <f t="shared" si="16"/>
        <v>7.8894389050361643E-6</v>
      </c>
      <c r="AS5">
        <f t="shared" si="17"/>
        <v>15.017184309575873</v>
      </c>
      <c r="AT5">
        <f t="shared" si="18"/>
        <v>10.495975830090183</v>
      </c>
      <c r="AU5">
        <f t="shared" si="19"/>
        <v>2.2869430062256848</v>
      </c>
      <c r="AV5">
        <f t="shared" si="20"/>
        <v>0.22196870261099599</v>
      </c>
      <c r="AW5">
        <f t="shared" si="21"/>
        <v>1.1732978278488434E-2</v>
      </c>
      <c r="AX5">
        <f t="shared" si="22"/>
        <v>0.22196869861194682</v>
      </c>
      <c r="AY5">
        <f t="shared" si="23"/>
        <v>3.999049175140712E-9</v>
      </c>
      <c r="AZ5">
        <f t="shared" si="24"/>
        <v>883760.40977061237</v>
      </c>
      <c r="BA5">
        <f t="shared" si="25"/>
        <v>1.4714725143617968E-5</v>
      </c>
      <c r="BB5" s="15">
        <f t="shared" si="26"/>
        <v>2187435.0694962279</v>
      </c>
      <c r="BC5" s="20">
        <f t="shared" si="27"/>
        <v>-1346.391347521916</v>
      </c>
      <c r="BD5" s="19">
        <f t="shared" si="28"/>
        <v>-6.1513283605888085E-2</v>
      </c>
      <c r="BE5" s="15">
        <v>2955732.1832746952</v>
      </c>
      <c r="BF5" s="16">
        <f>テーブル2[[#This Row],[q_P]]/テーブル2[[#This Row],[q_M]]</f>
        <v>0.74006538274138878</v>
      </c>
      <c r="BG5">
        <v>0.61982065892134453</v>
      </c>
      <c r="BH5">
        <v>-9.2078770611555866E-2</v>
      </c>
      <c r="BI5">
        <v>4.5999999999999999E-2</v>
      </c>
      <c r="BJ5">
        <v>5625</v>
      </c>
      <c r="BK5" s="21">
        <f>1+テーブル2[[#This Row],[A_corr]]*EXP(-テーブル2[[#This Row],[(Tsub-40)^2]]/テーブル2[[#This Row],[σ_corr]])</f>
        <v>1.0434753523757512</v>
      </c>
      <c r="BL5">
        <f>テーブル2[[#This Row],[Ts]]-テーブル2[[#This Row],[Tin]]</f>
        <v>57.818969514306104</v>
      </c>
      <c r="BM5">
        <f>テーブル2[[#This Row],[q_P]]*0.000001</f>
        <v>2.1874350694962277</v>
      </c>
      <c r="BN5">
        <f>テーブル2[[#This Row],[Tsub]]</f>
        <v>57.818969514306104</v>
      </c>
      <c r="BO5">
        <f>テーブル2[[#This Row],[Fcorr]]</f>
        <v>1.0434753523757512</v>
      </c>
      <c r="BP5">
        <f>(テーブル2[[#This Row],[Tsub]]-40)^2</f>
        <v>317.5156745517703</v>
      </c>
      <c r="BQ5" s="10">
        <v>1.008775394691833</v>
      </c>
      <c r="BR5">
        <v>2.4380000000000002</v>
      </c>
    </row>
    <row r="6" spans="1:70" x14ac:dyDescent="0.15">
      <c r="A6" s="9" t="s">
        <v>90</v>
      </c>
      <c r="B6">
        <v>14582411.055</v>
      </c>
      <c r="C6" s="21" cm="1">
        <f t="array" ref="C6">TsatFromP(テーブル2[[#This Row],[P]])</f>
        <v>613.05026988781367</v>
      </c>
      <c r="D6">
        <f t="array" ref="D6">RhoGFromP(テーブル2[[#This Row],[P]])</f>
        <v>92.580958140603215</v>
      </c>
      <c r="E6">
        <f t="array" ref="E6">RhoFFromP(テーブル2[[#This Row],[P]])</f>
        <v>610.99184656446221</v>
      </c>
      <c r="F6">
        <f t="array" ref="F6">HgFromP(テーブル2[[#This Row],[P]])</f>
        <v>2622345.5985878608</v>
      </c>
      <c r="G6">
        <f t="array" ref="G6">HfFromP(テーブル2[[#This Row],[P]])</f>
        <v>1593812.5192969192</v>
      </c>
      <c r="H6">
        <f t="array" ref="H6">MuGFromP(テーブル2[[#This Row],[P]])</f>
        <v>2.2466336042427335E-5</v>
      </c>
      <c r="I6">
        <f t="array" ref="I6">MuFFromP(テーブル2[[#This Row],[P]])</f>
        <v>7.0373614625891007E-5</v>
      </c>
      <c r="J6">
        <f t="array" ref="J6">KfFromP(テーブル2[[#This Row],[P]])</f>
        <v>0.48213977909987105</v>
      </c>
      <c r="K6">
        <f t="array" ref="K6">CpFFromP(テーブル2[[#This Row],[P]])</f>
        <v>8194.8014383951322</v>
      </c>
      <c r="L6">
        <f t="array" ref="L6">SigmaFromP(テーブル2[[#This Row],[P]])</f>
        <v>5.6080351609815058E-3</v>
      </c>
      <c r="M6">
        <v>242</v>
      </c>
      <c r="N6">
        <v>2740.4760000000001</v>
      </c>
      <c r="O6" s="8">
        <v>1.0848891429240124E-4</v>
      </c>
      <c r="P6" s="8">
        <v>3.3674103335298272E-2</v>
      </c>
      <c r="Q6">
        <v>1.2886925387400553E-2</v>
      </c>
      <c r="R6">
        <v>1.778</v>
      </c>
      <c r="S6" s="15">
        <v>2634801.8742187498</v>
      </c>
      <c r="T6">
        <v>534.53888888888889</v>
      </c>
      <c r="U6" s="12">
        <f>+T6+BG6*S6*テーブル2[[#This Row],[Pw]]*R6/(N6*O6*K6)</f>
        <v>574.67100009022636</v>
      </c>
      <c r="V6">
        <v>0.03</v>
      </c>
      <c r="W6" s="8">
        <f t="shared" si="0"/>
        <v>1311330.5676067008</v>
      </c>
      <c r="X6">
        <v>1.7469075208911455E-2</v>
      </c>
      <c r="Y6">
        <f t="shared" si="1"/>
        <v>7.5659774524761705</v>
      </c>
      <c r="Z6">
        <f t="shared" si="2"/>
        <v>7.5659774627363792</v>
      </c>
      <c r="AA6">
        <f t="shared" si="3"/>
        <v>-1.0260208682666416E-8</v>
      </c>
      <c r="AB6">
        <f t="shared" si="4"/>
        <v>2.5072373860597526E-5</v>
      </c>
      <c r="AC6">
        <v>657.0423081972117</v>
      </c>
      <c r="AD6">
        <f t="shared" si="5"/>
        <v>30638.828312541253</v>
      </c>
      <c r="AE6">
        <f t="shared" si="6"/>
        <v>580.86662490651008</v>
      </c>
      <c r="AF6" s="14">
        <f t="shared" si="7"/>
        <v>6.1956248162837255</v>
      </c>
      <c r="AG6">
        <v>2.5148982512052586E-5</v>
      </c>
      <c r="AH6">
        <f t="shared" si="8"/>
        <v>26.840865689841085</v>
      </c>
      <c r="AI6">
        <f t="shared" si="9"/>
        <v>0.20959482333198357</v>
      </c>
      <c r="AJ6">
        <f t="shared" si="10"/>
        <v>45.764268746789867</v>
      </c>
      <c r="AK6">
        <f t="array" ref="AK6">+S6*テーブル2[[#This Row],[F_form]]/(E6*CpFromTP((テーブル2[[#This Row],[Tin]]+テーブル2[[#This Row],[Tf]])/2,テーブル2[[#This Row],[P]])*AI6)</f>
        <v>2.4962560752032745</v>
      </c>
      <c r="AL6">
        <f t="shared" si="11"/>
        <v>1.1961215883036658</v>
      </c>
      <c r="AM6">
        <f t="shared" si="12"/>
        <v>615.22489259826727</v>
      </c>
      <c r="AN6">
        <f t="shared" si="13"/>
        <v>-2.1746227104536047</v>
      </c>
      <c r="AO6">
        <f t="shared" si="14"/>
        <v>7.660865145505953E-8</v>
      </c>
      <c r="AP6">
        <v>2.8795138005881822</v>
      </c>
      <c r="AQ6">
        <f t="shared" si="15"/>
        <v>5.2857208819058405E-5</v>
      </c>
      <c r="AR6">
        <f t="shared" si="16"/>
        <v>1.2612795581753823E-5</v>
      </c>
      <c r="AS6">
        <f t="shared" si="17"/>
        <v>22.951837768191094</v>
      </c>
      <c r="AT6">
        <f t="shared" si="18"/>
        <v>12.616990051729612</v>
      </c>
      <c r="AU6">
        <f t="shared" si="19"/>
        <v>2.6444558008736623</v>
      </c>
      <c r="AV6">
        <f t="shared" si="20"/>
        <v>0.23505799971451991</v>
      </c>
      <c r="AW6">
        <f t="shared" si="21"/>
        <v>1.5909221454929227E-2</v>
      </c>
      <c r="AX6">
        <f t="shared" si="22"/>
        <v>0.23505799912376468</v>
      </c>
      <c r="AY6">
        <f t="shared" si="23"/>
        <v>5.9075522251816892E-10</v>
      </c>
      <c r="AZ6">
        <f t="shared" si="24"/>
        <v>1028533.0792909416</v>
      </c>
      <c r="BA6">
        <f t="shared" si="25"/>
        <v>1.8356296402629347E-5</v>
      </c>
      <c r="BB6" s="15">
        <f t="shared" si="26"/>
        <v>2622686.8242223347</v>
      </c>
      <c r="BC6" s="20">
        <f t="shared" si="27"/>
        <v>-12115.049996415153</v>
      </c>
      <c r="BD6" s="19">
        <f t="shared" si="28"/>
        <v>-0.4598087664563929</v>
      </c>
      <c r="BE6" s="15">
        <v>3264454.6937134438</v>
      </c>
      <c r="BF6" s="16">
        <f>テーブル2[[#This Row],[q_P]]/テーブル2[[#This Row],[q_M]]</f>
        <v>0.80340732841935281</v>
      </c>
      <c r="BG6">
        <v>0.61982065892134453</v>
      </c>
      <c r="BH6">
        <v>-9.4205149215638898E-2</v>
      </c>
      <c r="BI6">
        <v>4.5999999999999999E-2</v>
      </c>
      <c r="BJ6">
        <v>5625</v>
      </c>
      <c r="BK6" s="21">
        <f>1+テーブル2[[#This Row],[A_corr]]*EXP(-テーブル2[[#This Row],[(Tsub-40)^2]]/テーブル2[[#This Row],[σ_corr]])</f>
        <v>1.0353385511684958</v>
      </c>
      <c r="BL6">
        <f>テーブル2[[#This Row],[Ts]]-テーブル2[[#This Row],[Tin]]</f>
        <v>78.511380998924778</v>
      </c>
      <c r="BM6">
        <f>テーブル2[[#This Row],[q_P]]*0.000001</f>
        <v>2.6226868242223347</v>
      </c>
      <c r="BN6">
        <f>テーブル2[[#This Row],[Tsub]]</f>
        <v>78.511380998924778</v>
      </c>
      <c r="BO6">
        <f>テーブル2[[#This Row],[Fcorr]]</f>
        <v>1.0353385511684958</v>
      </c>
      <c r="BP6">
        <f>(テーブル2[[#This Row],[Tsub]]-40)^2</f>
        <v>1483.1264664443445</v>
      </c>
      <c r="BQ6" s="10">
        <v>1.0122802440309793</v>
      </c>
      <c r="BR6">
        <v>2.4380000000000002</v>
      </c>
    </row>
    <row r="7" spans="1:70" x14ac:dyDescent="0.15">
      <c r="A7" s="9" t="s">
        <v>91</v>
      </c>
      <c r="B7">
        <v>14582411.055</v>
      </c>
      <c r="C7" s="21" cm="1">
        <f t="array" ref="C7">TsatFromP(テーブル2[[#This Row],[P]])</f>
        <v>613.05026988781367</v>
      </c>
      <c r="D7">
        <f t="array" ref="D7">RhoGFromP(テーブル2[[#This Row],[P]])</f>
        <v>92.580958140603215</v>
      </c>
      <c r="E7">
        <f t="array" ref="E7">RhoFFromP(テーブル2[[#This Row],[P]])</f>
        <v>610.99184656446221</v>
      </c>
      <c r="F7">
        <f t="array" ref="F7">HgFromP(テーブル2[[#This Row],[P]])</f>
        <v>2622345.5985878608</v>
      </c>
      <c r="G7">
        <f t="array" ref="G7">HfFromP(テーブル2[[#This Row],[P]])</f>
        <v>1593812.5192969192</v>
      </c>
      <c r="H7">
        <f t="array" ref="H7">MuGFromP(テーブル2[[#This Row],[P]])</f>
        <v>2.2466336042427335E-5</v>
      </c>
      <c r="I7">
        <f t="array" ref="I7">MuFFromP(テーブル2[[#This Row],[P]])</f>
        <v>7.0373614625891007E-5</v>
      </c>
      <c r="J7">
        <f t="array" ref="J7">KfFromP(テーブル2[[#This Row],[P]])</f>
        <v>0.48213977909987105</v>
      </c>
      <c r="K7">
        <f t="array" ref="K7">CpFFromP(テーブル2[[#This Row],[P]])</f>
        <v>8194.8014383951322</v>
      </c>
      <c r="L7">
        <f t="array" ref="L7">SigmaFromP(テーブル2[[#This Row],[P]])</f>
        <v>5.6080351609815058E-3</v>
      </c>
      <c r="M7" s="22">
        <v>243</v>
      </c>
      <c r="N7">
        <v>2759.4600000000005</v>
      </c>
      <c r="O7" s="8">
        <v>1.0848891429240124E-4</v>
      </c>
      <c r="P7" s="8">
        <v>3.3674103335298272E-2</v>
      </c>
      <c r="Q7">
        <v>1.2886925387400553E-2</v>
      </c>
      <c r="R7">
        <v>1.778</v>
      </c>
      <c r="S7" s="15">
        <v>2390583.85546875</v>
      </c>
      <c r="T7">
        <v>542.87222222222226</v>
      </c>
      <c r="U7" s="12">
        <f>+T7+BG7*S7*テーブル2[[#This Row],[Pw]]*R7/(N7*O7*K7)</f>
        <v>579.03401269046401</v>
      </c>
      <c r="V7">
        <v>0.03</v>
      </c>
      <c r="W7" s="8">
        <f t="shared" si="0"/>
        <v>1320414.5002868068</v>
      </c>
      <c r="X7">
        <v>1.7425744469040605E-2</v>
      </c>
      <c r="Y7">
        <f t="shared" si="1"/>
        <v>7.5753783665553183</v>
      </c>
      <c r="Z7">
        <f t="shared" si="2"/>
        <v>7.5753783759301827</v>
      </c>
      <c r="AA7">
        <f t="shared" si="3"/>
        <v>-9.3748644403035541E-9</v>
      </c>
      <c r="AB7">
        <f t="shared" si="4"/>
        <v>2.4790074292142728E-5</v>
      </c>
      <c r="AC7">
        <v>651.88490374493188</v>
      </c>
      <c r="AD7">
        <f t="shared" si="5"/>
        <v>30812.785908224163</v>
      </c>
      <c r="AE7">
        <f t="shared" si="6"/>
        <v>584.54465498002003</v>
      </c>
      <c r="AF7" s="14">
        <f t="shared" si="7"/>
        <v>5.5106422895560172</v>
      </c>
      <c r="AG7">
        <v>2.4859262844338705E-5</v>
      </c>
      <c r="AH7">
        <f t="shared" si="8"/>
        <v>27.146518860214883</v>
      </c>
      <c r="AI7">
        <f t="shared" si="9"/>
        <v>0.21078483657800223</v>
      </c>
      <c r="AJ7">
        <f t="shared" si="10"/>
        <v>45.493899940370625</v>
      </c>
      <c r="AK7">
        <f t="array" ref="AK7">+S7*テーブル2[[#This Row],[F_form]]/(E7*CpFromTP((テーブル2[[#This Row],[Tin]]+テーブル2[[#This Row],[Tf]])/2,テーブル2[[#This Row],[P]])*AI7)</f>
        <v>2.2056973007783074</v>
      </c>
      <c r="AL7">
        <f t="shared" si="11"/>
        <v>1.1961215883036658</v>
      </c>
      <c r="AM7">
        <f t="shared" si="12"/>
        <v>614.96761829100865</v>
      </c>
      <c r="AN7">
        <f t="shared" si="13"/>
        <v>-1.9173484031949783</v>
      </c>
      <c r="AO7">
        <f t="shared" si="14"/>
        <v>6.918855219597726E-8</v>
      </c>
      <c r="AP7">
        <v>2.8885980875020856</v>
      </c>
      <c r="AQ7">
        <f t="shared" si="15"/>
        <v>5.2525272704803532E-5</v>
      </c>
      <c r="AR7">
        <f t="shared" si="16"/>
        <v>1.2464225698267341E-5</v>
      </c>
      <c r="AS7">
        <f t="shared" si="17"/>
        <v>22.810259511790239</v>
      </c>
      <c r="AT7">
        <f t="shared" si="18"/>
        <v>12.58605206668841</v>
      </c>
      <c r="AU7">
        <f t="shared" si="19"/>
        <v>2.6529489280391436</v>
      </c>
      <c r="AV7">
        <f t="shared" si="20"/>
        <v>0.23564915946294196</v>
      </c>
      <c r="AW7">
        <f t="shared" si="21"/>
        <v>1.5730093368528267E-2</v>
      </c>
      <c r="AX7">
        <f t="shared" si="22"/>
        <v>0.23564915854268964</v>
      </c>
      <c r="AY7">
        <f t="shared" si="23"/>
        <v>9.2025231879233615E-10</v>
      </c>
      <c r="AZ7">
        <f t="shared" si="24"/>
        <v>1028533.0792909416</v>
      </c>
      <c r="BA7">
        <f t="shared" si="25"/>
        <v>1.8183655570520973E-5</v>
      </c>
      <c r="BB7" s="15">
        <f t="shared" si="26"/>
        <v>2391149.4724981738</v>
      </c>
      <c r="BC7" s="20">
        <f t="shared" si="27"/>
        <v>565.61702942382544</v>
      </c>
      <c r="BD7" s="19">
        <f t="shared" si="28"/>
        <v>2.3660204519908724E-2</v>
      </c>
      <c r="BE7" s="15">
        <v>3144395.9396539307</v>
      </c>
      <c r="BF7" s="16">
        <f>テーブル2[[#This Row],[q_P]]/テーブル2[[#This Row],[q_M]]</f>
        <v>0.76044795833228984</v>
      </c>
      <c r="BG7">
        <v>0.61982065892134453</v>
      </c>
      <c r="BH7">
        <v>-6.2186969406098552E-2</v>
      </c>
      <c r="BI7">
        <v>4.5999999999999999E-2</v>
      </c>
      <c r="BJ7">
        <v>5625</v>
      </c>
      <c r="BK7" s="21">
        <f>1+テーブル2[[#This Row],[A_corr]]*EXP(-テーブル2[[#This Row],[(Tsub-40)^2]]/テーブル2[[#This Row],[σ_corr]])</f>
        <v>1.0391240194146243</v>
      </c>
      <c r="BL7">
        <f>テーブル2[[#This Row],[Ts]]-テーブル2[[#This Row],[Tin]]</f>
        <v>70.178047665591407</v>
      </c>
      <c r="BM7">
        <f>テーブル2[[#This Row],[q_P]]*0.000001</f>
        <v>2.3911494724981739</v>
      </c>
      <c r="BN7">
        <f>テーブル2[[#This Row],[Tsub]]</f>
        <v>70.178047665591407</v>
      </c>
      <c r="BO7">
        <f>テーブル2[[#This Row],[Fcorr]]</f>
        <v>1.0391240194146243</v>
      </c>
      <c r="BP7">
        <f>(テーブル2[[#This Row],[Tsub]]-40)^2</f>
        <v>910.71456090670699</v>
      </c>
      <c r="BQ7" s="10">
        <v>1.010907982927949</v>
      </c>
      <c r="BR7">
        <v>2.4380000000000002</v>
      </c>
    </row>
    <row r="8" spans="1:70" x14ac:dyDescent="0.15">
      <c r="A8" s="9" t="s">
        <v>92</v>
      </c>
      <c r="B8">
        <v>14582411.055</v>
      </c>
      <c r="C8" s="21" cm="1">
        <f t="array" ref="C8">TsatFromP(テーブル2[[#This Row],[P]])</f>
        <v>613.05026988781367</v>
      </c>
      <c r="D8">
        <f t="array" ref="D8">RhoGFromP(テーブル2[[#This Row],[P]])</f>
        <v>92.580958140603215</v>
      </c>
      <c r="E8">
        <f t="array" ref="E8">RhoFFromP(テーブル2[[#This Row],[P]])</f>
        <v>610.99184656446221</v>
      </c>
      <c r="F8">
        <f t="array" ref="F8">HgFromP(テーブル2[[#This Row],[P]])</f>
        <v>2622345.5985878608</v>
      </c>
      <c r="G8">
        <f t="array" ref="G8">HfFromP(テーブル2[[#This Row],[P]])</f>
        <v>1593812.5192969192</v>
      </c>
      <c r="H8">
        <f t="array" ref="H8">MuGFromP(テーブル2[[#This Row],[P]])</f>
        <v>2.2466336042427335E-5</v>
      </c>
      <c r="I8">
        <f t="array" ref="I8">MuFFromP(テーブル2[[#This Row],[P]])</f>
        <v>7.0373614625891007E-5</v>
      </c>
      <c r="J8">
        <f t="array" ref="J8">KfFromP(テーブル2[[#This Row],[P]])</f>
        <v>0.48213977909987105</v>
      </c>
      <c r="K8">
        <f t="array" ref="K8">CpFFromP(テーブル2[[#This Row],[P]])</f>
        <v>8194.8014383951322</v>
      </c>
      <c r="L8">
        <f t="array" ref="L8">SigmaFromP(テーブル2[[#This Row],[P]])</f>
        <v>5.6080351609815058E-3</v>
      </c>
      <c r="M8">
        <v>244</v>
      </c>
      <c r="N8">
        <v>2747.2559999999999</v>
      </c>
      <c r="O8" s="8">
        <v>1.0848891429240124E-4</v>
      </c>
      <c r="P8" s="8">
        <v>3.3674103335298272E-2</v>
      </c>
      <c r="Q8">
        <v>1.2886925387400553E-2</v>
      </c>
      <c r="R8">
        <v>1.778</v>
      </c>
      <c r="S8" s="15">
        <v>1964396.11015625</v>
      </c>
      <c r="T8">
        <v>556.20555555555552</v>
      </c>
      <c r="U8" s="12">
        <f>+T8+BG8*S8*テーブル2[[#This Row],[Pw]]*R8/(N8*O8*K8)</f>
        <v>586.05250714866156</v>
      </c>
      <c r="V8">
        <v>0.03</v>
      </c>
      <c r="W8" s="8">
        <f t="shared" si="0"/>
        <v>1314574.8292781671</v>
      </c>
      <c r="X8">
        <v>1.74535471697236E-2</v>
      </c>
      <c r="Y8">
        <f t="shared" si="1"/>
        <v>7.5693423465558336</v>
      </c>
      <c r="Z8">
        <f t="shared" si="2"/>
        <v>7.5693423565747304</v>
      </c>
      <c r="AA8">
        <f t="shared" si="3"/>
        <v>-1.001889682328283E-8</v>
      </c>
      <c r="AB8">
        <f t="shared" si="4"/>
        <v>2.4970969865607584E-5</v>
      </c>
      <c r="AC8">
        <v>643.84723881842785</v>
      </c>
      <c r="AD8">
        <f t="shared" si="5"/>
        <v>30700.975514163954</v>
      </c>
      <c r="AE8">
        <f t="shared" si="6"/>
        <v>590.48083200400731</v>
      </c>
      <c r="AF8" s="14">
        <f t="shared" si="7"/>
        <v>4.4283248553457497</v>
      </c>
      <c r="AG8">
        <v>2.5028702045761533E-5</v>
      </c>
      <c r="AH8">
        <f t="shared" si="8"/>
        <v>26.94986309861563</v>
      </c>
      <c r="AI8">
        <f t="shared" si="9"/>
        <v>0.21001996138268883</v>
      </c>
      <c r="AJ8">
        <f t="shared" si="10"/>
        <v>45.637774583459382</v>
      </c>
      <c r="AK8">
        <f t="array" ref="AK8">+S8*テーブル2[[#This Row],[F_form]]/(E8*CpFromTP((テーブル2[[#This Row],[Tin]]+テーブル2[[#This Row],[Tf]])/2,テーブル2[[#This Row],[P]])*AI8)</f>
        <v>1.7485118545506151</v>
      </c>
      <c r="AL8">
        <f t="shared" si="11"/>
        <v>1.1961215883036658</v>
      </c>
      <c r="AM8">
        <f t="shared" si="12"/>
        <v>614.56817360182686</v>
      </c>
      <c r="AN8">
        <f t="shared" si="13"/>
        <v>-1.5179037140131868</v>
      </c>
      <c r="AO8">
        <f t="shared" si="14"/>
        <v>5.7732180153948815E-8</v>
      </c>
      <c r="AP8">
        <v>2.8815102904697771</v>
      </c>
      <c r="AQ8">
        <f t="shared" si="15"/>
        <v>5.278398865778899E-5</v>
      </c>
      <c r="AR8">
        <f t="shared" si="16"/>
        <v>1.2543217112957741E-5</v>
      </c>
      <c r="AS8">
        <f t="shared" si="17"/>
        <v>22.871522226998412</v>
      </c>
      <c r="AT8">
        <f t="shared" si="18"/>
        <v>12.599462829054286</v>
      </c>
      <c r="AU8">
        <f t="shared" si="19"/>
        <v>2.6461386968006044</v>
      </c>
      <c r="AV8">
        <f t="shared" si="20"/>
        <v>0.23537159366917271</v>
      </c>
      <c r="AW8">
        <f t="shared" si="21"/>
        <v>1.5844877383574863E-2</v>
      </c>
      <c r="AX8">
        <f t="shared" si="22"/>
        <v>0.23537159300700419</v>
      </c>
      <c r="AY8">
        <f t="shared" si="23"/>
        <v>6.621685144647671E-10</v>
      </c>
      <c r="AZ8">
        <f t="shared" si="24"/>
        <v>1028533.0792909416</v>
      </c>
      <c r="BA8">
        <f t="shared" si="25"/>
        <v>1.8318167674904793E-5</v>
      </c>
      <c r="BB8" s="15">
        <f t="shared" si="26"/>
        <v>1980567.3111720087</v>
      </c>
      <c r="BC8" s="20">
        <f t="shared" si="27"/>
        <v>16171.201015758794</v>
      </c>
      <c r="BD8" s="19">
        <f t="shared" si="28"/>
        <v>0.82321487668149174</v>
      </c>
      <c r="BE8" s="15">
        <v>2898561.3480082601</v>
      </c>
      <c r="BF8" s="16">
        <f>テーブル2[[#This Row],[q_P]]/テーブル2[[#This Row],[q_M]]</f>
        <v>0.68329321804175414</v>
      </c>
      <c r="BG8">
        <v>0.61982065892134453</v>
      </c>
      <c r="BH8">
        <v>-1.0917306192882562E-2</v>
      </c>
      <c r="BI8">
        <v>4.5999999999999999E-2</v>
      </c>
      <c r="BJ8">
        <v>5625</v>
      </c>
      <c r="BK8" s="21">
        <f>1+テーブル2[[#This Row],[A_corr]]*EXP(-テーブル2[[#This Row],[(Tsub-40)^2]]/テーブル2[[#This Row],[σ_corr]])</f>
        <v>1.0437371540263765</v>
      </c>
      <c r="BL8">
        <f>テーブル2[[#This Row],[Ts]]-テーブル2[[#This Row],[Tin]]</f>
        <v>56.84471433225815</v>
      </c>
      <c r="BM8">
        <f>テーブル2[[#This Row],[q_P]]*0.000001</f>
        <v>1.9805673111720086</v>
      </c>
      <c r="BN8">
        <f>テーブル2[[#This Row],[Tsub]]</f>
        <v>56.84471433225815</v>
      </c>
      <c r="BO8">
        <f>テーブル2[[#This Row],[Fcorr]]</f>
        <v>1.0437371540263765</v>
      </c>
      <c r="BP8">
        <f>(テーブル2[[#This Row],[Tsub]]-40)^2</f>
        <v>283.74440093538311</v>
      </c>
      <c r="BQ8" s="10">
        <v>1.0093125793401099</v>
      </c>
      <c r="BR8">
        <v>2.4380000000000002</v>
      </c>
    </row>
    <row r="9" spans="1:70" x14ac:dyDescent="0.15">
      <c r="A9" s="9" t="s">
        <v>93</v>
      </c>
      <c r="B9">
        <v>14582411.055</v>
      </c>
      <c r="C9" s="21" cm="1">
        <f t="array" ref="C9">TsatFromP(テーブル2[[#This Row],[P]])</f>
        <v>613.05026988781367</v>
      </c>
      <c r="D9">
        <f t="array" ref="D9">RhoGFromP(テーブル2[[#This Row],[P]])</f>
        <v>92.580958140603215</v>
      </c>
      <c r="E9">
        <f t="array" ref="E9">RhoFFromP(テーブル2[[#This Row],[P]])</f>
        <v>610.99184656446221</v>
      </c>
      <c r="F9">
        <f t="array" ref="F9">HgFromP(テーブル2[[#This Row],[P]])</f>
        <v>2622345.5985878608</v>
      </c>
      <c r="G9">
        <f t="array" ref="G9">HfFromP(テーブル2[[#This Row],[P]])</f>
        <v>1593812.5192969192</v>
      </c>
      <c r="H9">
        <f t="array" ref="H9">MuGFromP(テーブル2[[#This Row],[P]])</f>
        <v>2.2466336042427335E-5</v>
      </c>
      <c r="I9">
        <f t="array" ref="I9">MuFFromP(テーブル2[[#This Row],[P]])</f>
        <v>7.0373614625891007E-5</v>
      </c>
      <c r="J9">
        <f t="array" ref="J9">KfFromP(テーブル2[[#This Row],[P]])</f>
        <v>0.48213977909987105</v>
      </c>
      <c r="K9">
        <f t="array" ref="K9">CpFFromP(テーブル2[[#This Row],[P]])</f>
        <v>8194.8014383951322</v>
      </c>
      <c r="L9">
        <f t="array" ref="L9">SigmaFromP(テーブル2[[#This Row],[P]])</f>
        <v>5.6080351609815058E-3</v>
      </c>
      <c r="M9" s="22">
        <v>245</v>
      </c>
      <c r="N9">
        <v>3425.2559999999999</v>
      </c>
      <c r="O9" s="8">
        <v>1.0848891429240124E-4</v>
      </c>
      <c r="P9" s="8">
        <v>3.3674103335298272E-2</v>
      </c>
      <c r="Q9">
        <v>1.2886925387400553E-2</v>
      </c>
      <c r="R9">
        <v>1.778</v>
      </c>
      <c r="S9" s="15">
        <v>2260070.80078125</v>
      </c>
      <c r="T9">
        <v>558.15</v>
      </c>
      <c r="U9" s="12">
        <f>+T9+BG9*S9*テーブル2[[#This Row],[Pw]]*R9/(N9*O9*K9)</f>
        <v>585.69222710107192</v>
      </c>
      <c r="V9">
        <v>0.03</v>
      </c>
      <c r="W9" s="8">
        <f t="shared" si="0"/>
        <v>1639000.9964248026</v>
      </c>
      <c r="X9">
        <v>1.6146425868859934E-2</v>
      </c>
      <c r="Y9">
        <f t="shared" si="1"/>
        <v>7.869765624568112</v>
      </c>
      <c r="Z9">
        <f t="shared" si="2"/>
        <v>7.8697656326742891</v>
      </c>
      <c r="AA9">
        <f t="shared" si="3"/>
        <v>-8.1061770629275998E-9</v>
      </c>
      <c r="AB9">
        <f t="shared" si="4"/>
        <v>1.7364204871684689E-5</v>
      </c>
      <c r="AC9">
        <v>641.70422358001736</v>
      </c>
      <c r="AD9">
        <f t="shared" si="5"/>
        <v>36816.494106426726</v>
      </c>
      <c r="AE9">
        <f t="shared" si="6"/>
        <v>589.92143639579626</v>
      </c>
      <c r="AF9" s="14">
        <f t="shared" si="7"/>
        <v>4.2292092947243418</v>
      </c>
      <c r="AG9">
        <v>1.7412110079226552E-5</v>
      </c>
      <c r="AH9">
        <f t="shared" si="8"/>
        <v>38.755832719709737</v>
      </c>
      <c r="AI9">
        <f t="shared" si="9"/>
        <v>0.25185514600050629</v>
      </c>
      <c r="AJ9">
        <f t="shared" si="10"/>
        <v>38.073937216931071</v>
      </c>
      <c r="AK9">
        <f t="array" ref="AK9">+S9*テーブル2[[#This Row],[F_form]]/(E9*CpFromTP((テーブル2[[#This Row],[Tin]]+テーブル2[[#This Row],[Tf]])/2,テーブル2[[#This Row],[P]])*AI9)</f>
        <v>1.6717300784275235</v>
      </c>
      <c r="AL9">
        <f t="shared" si="11"/>
        <v>1.1961215883036658</v>
      </c>
      <c r="AM9">
        <f t="shared" si="12"/>
        <v>614.46819736345617</v>
      </c>
      <c r="AN9">
        <f t="shared" si="13"/>
        <v>-1.4179274756425002</v>
      </c>
      <c r="AO9">
        <f t="shared" si="14"/>
        <v>4.7905207541863005E-8</v>
      </c>
      <c r="AP9">
        <v>3.1997908794996426</v>
      </c>
      <c r="AQ9">
        <f t="shared" si="15"/>
        <v>4.2805479101932241E-5</v>
      </c>
      <c r="AR9">
        <f t="shared" si="16"/>
        <v>8.7300076433842075E-6</v>
      </c>
      <c r="AS9">
        <f t="shared" si="17"/>
        <v>19.089344221071183</v>
      </c>
      <c r="AT9">
        <f t="shared" si="18"/>
        <v>11.695651425934818</v>
      </c>
      <c r="AU9">
        <f t="shared" si="19"/>
        <v>2.9456099974498433</v>
      </c>
      <c r="AV9">
        <f t="shared" si="20"/>
        <v>0.25418088204979927</v>
      </c>
      <c r="AW9">
        <f t="shared" si="21"/>
        <v>1.1018142208167004E-2</v>
      </c>
      <c r="AX9">
        <f t="shared" si="22"/>
        <v>0.25418088064550204</v>
      </c>
      <c r="AY9">
        <f t="shared" si="23"/>
        <v>1.4042972340533311E-9</v>
      </c>
      <c r="AZ9">
        <f t="shared" si="24"/>
        <v>1028533.0792909416</v>
      </c>
      <c r="BA9">
        <f t="shared" si="25"/>
        <v>1.3377586446719861E-5</v>
      </c>
      <c r="BB9" s="15">
        <f t="shared" si="26"/>
        <v>2250394.4008321026</v>
      </c>
      <c r="BC9" s="20">
        <f t="shared" si="27"/>
        <v>-9676.399949147366</v>
      </c>
      <c r="BD9" s="19">
        <f t="shared" si="28"/>
        <v>-0.42814587692573508</v>
      </c>
      <c r="BE9" s="15">
        <v>3338776.7795598097</v>
      </c>
      <c r="BF9" s="16">
        <f>テーブル2[[#This Row],[q_P]]/テーブル2[[#This Row],[q_M]]</f>
        <v>0.6740176266377409</v>
      </c>
      <c r="BG9">
        <v>0.61982065892134453</v>
      </c>
      <c r="BH9">
        <v>-2.6417471996425666E-2</v>
      </c>
      <c r="BI9">
        <v>4.5999999999999999E-2</v>
      </c>
      <c r="BJ9">
        <v>5625</v>
      </c>
      <c r="BK9" s="21">
        <f>1+テーブル2[[#This Row],[A_corr]]*EXP(-テーブル2[[#This Row],[(Tsub-40)^2]]/テーブル2[[#This Row],[σ_corr]])</f>
        <v>1.0442197500160584</v>
      </c>
      <c r="BL9">
        <f>テーブル2[[#This Row],[Ts]]-テーブル2[[#This Row],[Tin]]</f>
        <v>54.900269887813693</v>
      </c>
      <c r="BM9">
        <f>テーブル2[[#This Row],[q_P]]*0.000001</f>
        <v>2.2503944008321026</v>
      </c>
      <c r="BN9">
        <f>テーブル2[[#This Row],[Tsub]]</f>
        <v>54.900269887813693</v>
      </c>
      <c r="BO9">
        <f>テーブル2[[#This Row],[Fcorr]]</f>
        <v>1.0442197500160584</v>
      </c>
      <c r="BP9">
        <f>(テーブル2[[#This Row],[Tsub]]-40)^2</f>
        <v>222.01804272968747</v>
      </c>
      <c r="BQ9" s="10">
        <v>1.0133757595321473</v>
      </c>
      <c r="BR9">
        <v>2.4380000000000002</v>
      </c>
    </row>
    <row r="10" spans="1:70" x14ac:dyDescent="0.15">
      <c r="A10" s="9" t="s">
        <v>94</v>
      </c>
      <c r="B10">
        <v>14410042.129999999</v>
      </c>
      <c r="C10" s="21" cm="1">
        <f t="array" ref="C10">TsatFromP(テーブル2[[#This Row],[P]])</f>
        <v>612.10417526659455</v>
      </c>
      <c r="D10">
        <f t="array" ref="D10">RhoGFromP(テーブル2[[#This Row],[P]])</f>
        <v>90.918182000549308</v>
      </c>
      <c r="E10">
        <f t="array" ref="E10">RhoFFromP(テーブル2[[#This Row],[P]])</f>
        <v>614.04047527067326</v>
      </c>
      <c r="F10">
        <f t="array" ref="F10">HgFromP(テーブル2[[#This Row],[P]])</f>
        <v>2627022.5861350344</v>
      </c>
      <c r="G10">
        <f t="array" ref="G10">HfFromP(テーブル2[[#This Row],[P]])</f>
        <v>1587051.743777507</v>
      </c>
      <c r="H10">
        <f t="array" ref="H10">MuGFromP(テーブル2[[#This Row],[P]])</f>
        <v>2.2366390223892932E-5</v>
      </c>
      <c r="I10">
        <f t="array" ref="I10">MuFFromP(テーブル2[[#This Row],[P]])</f>
        <v>7.0774633188978175E-5</v>
      </c>
      <c r="J10">
        <f t="array" ref="J10">KfFromP(テーブル2[[#This Row],[P]])</f>
        <v>0.4840864465582857</v>
      </c>
      <c r="K10">
        <f t="array" ref="K10">CpFFromP(テーブル2[[#This Row],[P]])</f>
        <v>8073.7157051809381</v>
      </c>
      <c r="L10">
        <f t="array" ref="L10">SigmaFromP(テーブル2[[#This Row],[P]])</f>
        <v>5.7975807482611623E-3</v>
      </c>
      <c r="M10">
        <v>246</v>
      </c>
      <c r="N10">
        <v>4145.2920000000004</v>
      </c>
      <c r="O10" s="8">
        <v>1.0848891429240124E-4</v>
      </c>
      <c r="P10" s="8">
        <v>3.3674103335298272E-2</v>
      </c>
      <c r="Q10">
        <v>1.2886925387400553E-2</v>
      </c>
      <c r="R10">
        <v>1.778</v>
      </c>
      <c r="S10" s="15">
        <v>2018154.60546875</v>
      </c>
      <c r="T10">
        <v>570.65</v>
      </c>
      <c r="U10" s="12">
        <f>+T10+BG10*S10*テーブル2[[#This Row],[Pw]]*R10/(N10*O10*K10)</f>
        <v>591.27691759483832</v>
      </c>
      <c r="V10">
        <v>0.03</v>
      </c>
      <c r="W10" s="8">
        <f t="shared" si="0"/>
        <v>1972302.5733000003</v>
      </c>
      <c r="X10">
        <v>1.5224273344868313E-2</v>
      </c>
      <c r="Y10">
        <f t="shared" si="1"/>
        <v>8.104602394294032</v>
      </c>
      <c r="Z10">
        <f t="shared" si="2"/>
        <v>8.1046023970739274</v>
      </c>
      <c r="AA10">
        <f t="shared" si="3"/>
        <v>-2.7798954249647068E-9</v>
      </c>
      <c r="AB10">
        <f t="shared" si="4"/>
        <v>1.3063760474261146E-5</v>
      </c>
      <c r="AC10">
        <v>632.34339307489211</v>
      </c>
      <c r="AD10">
        <f t="shared" si="5"/>
        <v>43019.646624305176</v>
      </c>
      <c r="AE10">
        <f t="shared" si="6"/>
        <v>594.40802824040315</v>
      </c>
      <c r="AF10" s="14">
        <f t="shared" si="7"/>
        <v>3.1311106455648314</v>
      </c>
      <c r="AG10">
        <v>1.3096719290254965E-5</v>
      </c>
      <c r="AH10">
        <f t="shared" si="8"/>
        <v>53.25493307704626</v>
      </c>
      <c r="AI10">
        <f t="shared" si="9"/>
        <v>0.29449737092387218</v>
      </c>
      <c r="AJ10">
        <f t="shared" si="10"/>
        <v>33.462879780017701</v>
      </c>
      <c r="AK10">
        <f t="array" ref="AK10">+S10*テーブル2[[#This Row],[F_form]]/(E10*CpFromTP((テーブル2[[#This Row],[Tin]]+テーブル2[[#This Row],[Tf]])/2,テーブル2[[#This Row],[P]])*AI10)</f>
        <v>1.2147132948122255</v>
      </c>
      <c r="AL10">
        <f t="shared" si="11"/>
        <v>1.1803971616409898</v>
      </c>
      <c r="AM10">
        <f t="shared" si="12"/>
        <v>613.10946474035632</v>
      </c>
      <c r="AN10">
        <f t="shared" si="13"/>
        <v>-1.0052894737617635</v>
      </c>
      <c r="AO10">
        <f t="shared" si="14"/>
        <v>3.2958815993819245E-8</v>
      </c>
      <c r="AP10">
        <v>3.5283750498921318</v>
      </c>
      <c r="AQ10">
        <f t="shared" si="15"/>
        <v>3.6948183840641528E-5</v>
      </c>
      <c r="AR10">
        <f t="shared" si="16"/>
        <v>6.5648390531243922E-6</v>
      </c>
      <c r="AS10">
        <f t="shared" si="17"/>
        <v>16.773545736245993</v>
      </c>
      <c r="AT10">
        <f t="shared" si="18"/>
        <v>11.049014933873108</v>
      </c>
      <c r="AU10">
        <f t="shared" si="19"/>
        <v>3.2539058493242319</v>
      </c>
      <c r="AV10">
        <f t="shared" si="20"/>
        <v>0.27446920056789992</v>
      </c>
      <c r="AW10">
        <f t="shared" si="21"/>
        <v>8.1897038757112045E-3</v>
      </c>
      <c r="AX10">
        <f t="shared" si="22"/>
        <v>0.27446918879706234</v>
      </c>
      <c r="AY10">
        <f t="shared" si="23"/>
        <v>1.1770837582414373E-8</v>
      </c>
      <c r="AZ10">
        <f t="shared" si="24"/>
        <v>1039970.8423575275</v>
      </c>
      <c r="BA10">
        <f t="shared" si="25"/>
        <v>1.0471728010255343E-5</v>
      </c>
      <c r="BB10" s="15">
        <f t="shared" si="26"/>
        <v>2009885.9332805101</v>
      </c>
      <c r="BC10" s="20">
        <f t="shared" si="27"/>
        <v>-8268.6721882398706</v>
      </c>
      <c r="BD10" s="19">
        <f t="shared" si="28"/>
        <v>-0.40971450679911281</v>
      </c>
      <c r="BE10" s="15">
        <v>3475986.7841992537</v>
      </c>
      <c r="BF10" s="16">
        <f>テーブル2[[#This Row],[q_P]]/テーブル2[[#This Row],[q_M]]</f>
        <v>0.57822024595053745</v>
      </c>
      <c r="BG10">
        <v>0.61982065892134453</v>
      </c>
      <c r="BH10">
        <v>1.1901062589217967E-2</v>
      </c>
      <c r="BI10">
        <v>4.5999999999999999E-2</v>
      </c>
      <c r="BJ10">
        <v>5625</v>
      </c>
      <c r="BK10" s="21">
        <f>1+テーブル2[[#This Row],[A_corr]]*EXP(-テーブル2[[#This Row],[(Tsub-40)^2]]/テーブル2[[#This Row],[σ_corr]])</f>
        <v>1.0459827103109833</v>
      </c>
      <c r="BL10">
        <f>テーブル2[[#This Row],[Ts]]-テーブル2[[#This Row],[Tin]]</f>
        <v>41.454175266594575</v>
      </c>
      <c r="BM10">
        <f>テーブル2[[#This Row],[q_P]]*0.000001</f>
        <v>2.0098859332805099</v>
      </c>
      <c r="BN10">
        <f>テーブル2[[#This Row],[Tsub]]</f>
        <v>41.454175266594575</v>
      </c>
      <c r="BO10">
        <f>テーブル2[[#This Row],[Fcorr]]</f>
        <v>1.0459827103109833</v>
      </c>
      <c r="BP10">
        <f>(テーブル2[[#This Row],[Tsub]]-40)^2</f>
        <v>2.1146257059754037</v>
      </c>
      <c r="BQ10" s="10">
        <v>1.0118388059150161</v>
      </c>
      <c r="BR10">
        <v>2.4380000000000002</v>
      </c>
    </row>
    <row r="11" spans="1:70" x14ac:dyDescent="0.15">
      <c r="A11" s="9" t="s">
        <v>95</v>
      </c>
      <c r="B11">
        <v>14651358.625</v>
      </c>
      <c r="C11" s="21" cm="1">
        <f t="array" ref="C11">TsatFromP(テーブル2[[#This Row],[P]])</f>
        <v>613.42618183469449</v>
      </c>
      <c r="D11">
        <f t="array" ref="D11">RhoGFromP(テーブル2[[#This Row],[P]])</f>
        <v>93.253820227631977</v>
      </c>
      <c r="E11">
        <f t="array" ref="E11">RhoFFromP(テーブル2[[#This Row],[P]])</f>
        <v>609.76672565409854</v>
      </c>
      <c r="F11">
        <f t="array" ref="F11">HgFromP(テーブル2[[#This Row],[P]])</f>
        <v>2620453.7584548215</v>
      </c>
      <c r="G11">
        <f t="array" ref="G11">HfFromP(テーブル2[[#This Row],[P]])</f>
        <v>1596516.9820091785</v>
      </c>
      <c r="H11">
        <f t="array" ref="H11">MuGFromP(テーブル2[[#This Row],[P]])</f>
        <v>2.2506791326882159E-5</v>
      </c>
      <c r="I11">
        <f t="array" ref="I11">MuFFromP(テーブル2[[#This Row],[P]])</f>
        <v>7.0213280572698186E-5</v>
      </c>
      <c r="J11">
        <f t="array" ref="J11">KfFromP(テーブル2[[#This Row],[P]])</f>
        <v>0.48136205369642565</v>
      </c>
      <c r="K11">
        <f t="array" ref="K11">CpFFromP(テーブル2[[#This Row],[P]])</f>
        <v>8244.8394584875186</v>
      </c>
      <c r="L11">
        <f t="array" ref="L11">SigmaFromP(テーブル2[[#This Row],[P]])</f>
        <v>5.5330018798425981E-3</v>
      </c>
      <c r="M11" s="22">
        <v>247</v>
      </c>
      <c r="N11">
        <v>4160.2079999999996</v>
      </c>
      <c r="O11" s="8">
        <v>1.0848891429240124E-4</v>
      </c>
      <c r="P11" s="8">
        <v>3.3674103335298272E-2</v>
      </c>
      <c r="Q11">
        <v>1.2886925387400553E-2</v>
      </c>
      <c r="R11">
        <v>1.778</v>
      </c>
      <c r="S11" s="15">
        <v>1761768.76953125</v>
      </c>
      <c r="T11">
        <v>578.15</v>
      </c>
      <c r="U11" s="12">
        <f>+T11+BG11*S11*テーブル2[[#This Row],[Pw]]*R11/(N11*O11*K11)</f>
        <v>595.7195298416209</v>
      </c>
      <c r="V11">
        <v>0.03</v>
      </c>
      <c r="W11" s="8">
        <f t="shared" si="0"/>
        <v>1995224.734490013</v>
      </c>
      <c r="X11">
        <v>1.5075909561577233E-2</v>
      </c>
      <c r="Y11">
        <f t="shared" si="1"/>
        <v>8.1443839286639292</v>
      </c>
      <c r="Z11">
        <f t="shared" si="2"/>
        <v>8.1443839473008612</v>
      </c>
      <c r="AA11">
        <f t="shared" si="3"/>
        <v>-1.8636931997662032E-8</v>
      </c>
      <c r="AB11">
        <f t="shared" si="4"/>
        <v>1.2413154456919507E-5</v>
      </c>
      <c r="AC11">
        <v>630.57455542401817</v>
      </c>
      <c r="AD11">
        <f t="shared" si="5"/>
        <v>43307.049130616753</v>
      </c>
      <c r="AE11">
        <f t="shared" si="6"/>
        <v>598.37898093713738</v>
      </c>
      <c r="AF11" s="14">
        <f t="shared" si="7"/>
        <v>2.6594510955164878</v>
      </c>
      <c r="AG11">
        <v>1.244207924616607E-5</v>
      </c>
      <c r="AH11">
        <f t="shared" si="8"/>
        <v>53.48843663272055</v>
      </c>
      <c r="AI11">
        <f t="shared" si="9"/>
        <v>0.29617479150034609</v>
      </c>
      <c r="AJ11">
        <f t="shared" si="10"/>
        <v>32.002618263389508</v>
      </c>
      <c r="AK11">
        <f t="array" ref="AK11">+S11*テーブル2[[#This Row],[F_form]]/(E11*CpFromTP((テーブル2[[#This Row],[Tin]]+テーブル2[[#This Row],[Tf]])/2,テーブル2[[#This Row],[P]])*AI11)</f>
        <v>1.0241130606120943</v>
      </c>
      <c r="AL11">
        <f t="shared" si="11"/>
        <v>1.2026233096901375</v>
      </c>
      <c r="AM11">
        <f t="shared" si="12"/>
        <v>614.2772520086246</v>
      </c>
      <c r="AN11">
        <f t="shared" si="13"/>
        <v>-0.8510701739301112</v>
      </c>
      <c r="AO11">
        <f t="shared" si="14"/>
        <v>2.892478924656354E-8</v>
      </c>
      <c r="AP11">
        <v>3.4790034641985841</v>
      </c>
      <c r="AQ11">
        <f t="shared" si="15"/>
        <v>3.5511468131733084E-5</v>
      </c>
      <c r="AR11">
        <f t="shared" si="16"/>
        <v>6.2355020177063169E-6</v>
      </c>
      <c r="AS11">
        <f t="shared" si="17"/>
        <v>16.038508259360334</v>
      </c>
      <c r="AT11">
        <f t="shared" si="18"/>
        <v>10.824962984133592</v>
      </c>
      <c r="AU11">
        <f t="shared" si="19"/>
        <v>3.2060811548247306</v>
      </c>
      <c r="AV11">
        <f t="shared" si="20"/>
        <v>0.27292230937385353</v>
      </c>
      <c r="AW11">
        <f t="shared" si="21"/>
        <v>7.9152405481282447E-3</v>
      </c>
      <c r="AX11">
        <f t="shared" si="22"/>
        <v>0.27292229728527712</v>
      </c>
      <c r="AY11">
        <f t="shared" si="23"/>
        <v>1.2088576417657038E-8</v>
      </c>
      <c r="AZ11">
        <f t="shared" si="24"/>
        <v>1023936.776445643</v>
      </c>
      <c r="BA11">
        <f t="shared" si="25"/>
        <v>1.0207367856103423E-5</v>
      </c>
      <c r="BB11" s="15">
        <f t="shared" si="26"/>
        <v>1769266.6868605493</v>
      </c>
      <c r="BC11" s="20">
        <f t="shared" si="27"/>
        <v>7497.9173292992637</v>
      </c>
      <c r="BD11" s="19">
        <f t="shared" si="28"/>
        <v>0.42559031917078527</v>
      </c>
      <c r="BE11" s="15">
        <v>3121527.6055473564</v>
      </c>
      <c r="BF11" s="16">
        <f>テーブル2[[#This Row],[q_P]]/テーブル2[[#This Row],[q_M]]</f>
        <v>0.56679514341514536</v>
      </c>
      <c r="BG11">
        <v>0.61982065892134453</v>
      </c>
      <c r="BH11">
        <v>1.6591548793667185E-2</v>
      </c>
      <c r="BI11">
        <v>4.5999999999999999E-2</v>
      </c>
      <c r="BJ11">
        <v>5625</v>
      </c>
      <c r="BK11" s="21">
        <f>1+テーブル2[[#This Row],[A_corr]]*EXP(-テーブル2[[#This Row],[(Tsub-40)^2]]/テーブル2[[#This Row],[σ_corr]])</f>
        <v>1.045817878798351</v>
      </c>
      <c r="BL11">
        <f>テーブル2[[#This Row],[Ts]]-テーブル2[[#This Row],[Tin]]</f>
        <v>35.276181834694512</v>
      </c>
      <c r="BM11">
        <f>テーブル2[[#This Row],[q_P]]*0.000001</f>
        <v>1.7692666868605491</v>
      </c>
      <c r="BN11">
        <f>テーブル2[[#This Row],[Tsub]]</f>
        <v>35.276181834694512</v>
      </c>
      <c r="BO11">
        <f>テーブル2[[#This Row],[Fcorr]]</f>
        <v>1.045817878798351</v>
      </c>
      <c r="BP11">
        <f>(テーブル2[[#This Row],[Tsub]]-40)^2</f>
        <v>22.314458058870105</v>
      </c>
      <c r="BQ11" s="10">
        <v>1.0092777566811608</v>
      </c>
      <c r="BR11">
        <v>2.4380000000000002</v>
      </c>
    </row>
    <row r="12" spans="1:70" x14ac:dyDescent="0.15">
      <c r="A12" s="9" t="s">
        <v>96</v>
      </c>
      <c r="B12">
        <v>14444515.914999999</v>
      </c>
      <c r="C12" s="21" cm="1">
        <f t="array" ref="C12">TsatFromP(テーブル2[[#This Row],[P]])</f>
        <v>612.29412141213845</v>
      </c>
      <c r="D12">
        <f t="array" ref="D12">RhoGFromP(テーブル2[[#This Row],[P]])</f>
        <v>91.248555698911844</v>
      </c>
      <c r="E12">
        <f t="array" ref="E12">RhoFFromP(テーブル2[[#This Row],[P]])</f>
        <v>613.43232402419449</v>
      </c>
      <c r="F12">
        <f t="array" ref="F12">HgFromP(テーブル2[[#This Row],[P]])</f>
        <v>2626093.1345668421</v>
      </c>
      <c r="G12">
        <f t="array" ref="G12">HfFromP(テーブル2[[#This Row],[P]])</f>
        <v>1588403.9289842495</v>
      </c>
      <c r="H12">
        <f t="array" ref="H12">MuGFromP(テーブル2[[#This Row],[P]])</f>
        <v>2.2386245793773059E-5</v>
      </c>
      <c r="I12">
        <f t="array" ref="I12">MuFFromP(テーブル2[[#This Row],[P]])</f>
        <v>7.0694401850615891E-5</v>
      </c>
      <c r="J12">
        <f t="array" ref="J12">KfFromP(テーブル2[[#This Row],[P]])</f>
        <v>0.48369684775438243</v>
      </c>
      <c r="K12">
        <f t="array" ref="K12">CpFFromP(テーブル2[[#This Row],[P]])</f>
        <v>8097.4885849811244</v>
      </c>
      <c r="L12">
        <f t="array" ref="L12">SigmaFromP(テーブル2[[#This Row],[P]])</f>
        <v>5.7594462826100956E-3</v>
      </c>
      <c r="M12">
        <v>248</v>
      </c>
      <c r="N12">
        <v>4122.24</v>
      </c>
      <c r="O12" s="8">
        <v>1.0848891429240124E-4</v>
      </c>
      <c r="P12" s="8">
        <v>3.3674103335298272E-2</v>
      </c>
      <c r="Q12">
        <v>1.2886925387400553E-2</v>
      </c>
      <c r="R12">
        <v>1.778</v>
      </c>
      <c r="S12" s="15">
        <v>1156398.92578125</v>
      </c>
      <c r="T12">
        <v>589.53888888888889</v>
      </c>
      <c r="U12" s="12">
        <f>+T12+BG12*S12*テーブル2[[#This Row],[Pw]]*R12/(N12*O12*K12)</f>
        <v>601.3892761581144</v>
      </c>
      <c r="V12">
        <v>0.03</v>
      </c>
      <c r="W12" s="8">
        <f t="shared" si="0"/>
        <v>1963560.5097306669</v>
      </c>
      <c r="X12">
        <v>1.5234230343649385E-2</v>
      </c>
      <c r="Y12">
        <f t="shared" si="1"/>
        <v>8.1019534023692454</v>
      </c>
      <c r="Z12">
        <f t="shared" si="2"/>
        <v>8.1019534051569337</v>
      </c>
      <c r="AA12">
        <f t="shared" si="3"/>
        <v>-2.7876883024191557E-9</v>
      </c>
      <c r="AB12">
        <f t="shared" si="4"/>
        <v>1.3101817863397777E-5</v>
      </c>
      <c r="AC12">
        <v>622.84804111150117</v>
      </c>
      <c r="AD12">
        <f t="shared" si="5"/>
        <v>42842.968934338925</v>
      </c>
      <c r="AE12">
        <f t="shared" si="6"/>
        <v>603.08844472842304</v>
      </c>
      <c r="AF12" s="14">
        <f t="shared" si="7"/>
        <v>1.6991685703086432</v>
      </c>
      <c r="AG12">
        <v>1.3120978783860063E-5</v>
      </c>
      <c r="AH12">
        <f t="shared" si="8"/>
        <v>52.750966401694079</v>
      </c>
      <c r="AI12">
        <f t="shared" si="9"/>
        <v>0.29324585475279519</v>
      </c>
      <c r="AJ12">
        <f t="shared" si="10"/>
        <v>33.387180696555134</v>
      </c>
      <c r="AK12">
        <f t="array" ref="AK12">+S12*テーブル2[[#This Row],[F_form]]/(E12*CpFromTP((テーブル2[[#This Row],[Tin]]+テーブル2[[#This Row],[Tf]])/2,テーブル2[[#This Row],[P]])*AI12)</f>
        <v>0.63238420331374356</v>
      </c>
      <c r="AL12">
        <f t="shared" si="11"/>
        <v>1.1834832388614511</v>
      </c>
      <c r="AM12">
        <f t="shared" si="12"/>
        <v>612.82154886447734</v>
      </c>
      <c r="AN12">
        <f t="shared" si="13"/>
        <v>-0.527427452338884</v>
      </c>
      <c r="AO12">
        <f t="shared" si="14"/>
        <v>1.9160920462286306E-8</v>
      </c>
      <c r="AP12">
        <v>3.5090297357746638</v>
      </c>
      <c r="AQ12">
        <f t="shared" si="15"/>
        <v>3.6998688973520515E-5</v>
      </c>
      <c r="AR12">
        <f t="shared" si="16"/>
        <v>6.5700698521611746E-6</v>
      </c>
      <c r="AS12">
        <f t="shared" si="17"/>
        <v>16.717968450106891</v>
      </c>
      <c r="AT12">
        <f t="shared" si="18"/>
        <v>11.032420480470574</v>
      </c>
      <c r="AU12">
        <f t="shared" si="19"/>
        <v>3.2352115737878369</v>
      </c>
      <c r="AV12">
        <f t="shared" si="20"/>
        <v>0.27381816198682696</v>
      </c>
      <c r="AW12">
        <f t="shared" si="21"/>
        <v>8.2333135405710349E-3</v>
      </c>
      <c r="AX12">
        <f t="shared" si="22"/>
        <v>0.27381814986526504</v>
      </c>
      <c r="AY12">
        <f t="shared" si="23"/>
        <v>1.2121561920874768E-8</v>
      </c>
      <c r="AZ12">
        <f t="shared" si="24"/>
        <v>1037689.2055825926</v>
      </c>
      <c r="BA12">
        <f t="shared" si="25"/>
        <v>1.0543851651160937E-5</v>
      </c>
      <c r="BB12" s="15">
        <f t="shared" si="26"/>
        <v>1156780.7079237681</v>
      </c>
      <c r="BC12" s="20">
        <f t="shared" si="27"/>
        <v>381.78214251808822</v>
      </c>
      <c r="BD12" s="19">
        <f t="shared" si="28"/>
        <v>3.3014743788365296E-2</v>
      </c>
      <c r="BE12" s="15">
        <v>2755634.2598421718</v>
      </c>
      <c r="BF12" s="16">
        <f>テーブル2[[#This Row],[q_P]]/テーブル2[[#This Row],[q_M]]</f>
        <v>0.41978746047017951</v>
      </c>
      <c r="BG12">
        <v>0.61982065892134453</v>
      </c>
      <c r="BH12">
        <v>6.9505391417700374E-2</v>
      </c>
      <c r="BI12">
        <v>4.5999999999999999E-2</v>
      </c>
      <c r="BJ12">
        <v>5625</v>
      </c>
      <c r="BK12" s="21">
        <f>1+テーブル2[[#This Row],[A_corr]]*EXP(-テーブル2[[#This Row],[(Tsub-40)^2]]/テーブル2[[#This Row],[σ_corr]])</f>
        <v>1.0436312433547148</v>
      </c>
      <c r="BL12">
        <f>テーブル2[[#This Row],[Ts]]-テーブル2[[#This Row],[Tin]]</f>
        <v>22.75523252324956</v>
      </c>
      <c r="BM12">
        <f>テーブル2[[#This Row],[q_P]]*0.000001</f>
        <v>1.156780707923768</v>
      </c>
      <c r="BN12">
        <f>テーブル2[[#This Row],[Tsub]]</f>
        <v>22.75523252324956</v>
      </c>
      <c r="BO12">
        <f>テーブル2[[#This Row],[Fcorr]]</f>
        <v>1.0436312433547148</v>
      </c>
      <c r="BP12">
        <f>(テーブル2[[#This Row],[Tsub]]-40)^2</f>
        <v>297.38200532718975</v>
      </c>
      <c r="BQ12" s="10">
        <v>0.99834772292061991</v>
      </c>
      <c r="BR12">
        <v>2.4380000000000002</v>
      </c>
    </row>
    <row r="13" spans="1:70" x14ac:dyDescent="0.15">
      <c r="A13" s="9" t="s">
        <v>97</v>
      </c>
      <c r="B13">
        <v>16581890.584999999</v>
      </c>
      <c r="C13" s="21" cm="1">
        <f t="array" ref="C13">TsatFromP(テーブル2[[#This Row],[P]])</f>
        <v>623.40834329200698</v>
      </c>
      <c r="D13">
        <f t="array" ref="D13">RhoGFromP(テーブル2[[#This Row],[P]])</f>
        <v>114.24072089270538</v>
      </c>
      <c r="E13">
        <f t="array" ref="E13">RhoFFromP(テーブル2[[#This Row],[P]])</f>
        <v>573.66553119769708</v>
      </c>
      <c r="F13">
        <f t="array" ref="F13">HgFromP(テーブル2[[#This Row],[P]])</f>
        <v>2561880.926064556</v>
      </c>
      <c r="G13">
        <f t="array" ref="G13">HfFromP(テーブル2[[#This Row],[P]])</f>
        <v>1673008.4528857057</v>
      </c>
      <c r="H13">
        <f t="array" ref="H13">MuGFromP(テーブル2[[#This Row],[P]])</f>
        <v>2.3778054068935119E-5</v>
      </c>
      <c r="I13">
        <f t="array" ref="I13">MuFFromP(テーブル2[[#This Row],[P]])</f>
        <v>6.5676255486798709E-5</v>
      </c>
      <c r="J13">
        <f t="array" ref="J13">KfFromP(テーブル2[[#This Row],[P]])</f>
        <v>0.4599028461125329</v>
      </c>
      <c r="K13">
        <f t="array" ref="K13">CpFFromP(テーブル2[[#This Row],[P]])</f>
        <v>10188.161618072991</v>
      </c>
      <c r="L13">
        <f t="array" ref="L13">SigmaFromP(テーブル2[[#This Row],[P]])</f>
        <v>3.6065031383353337E-3</v>
      </c>
      <c r="M13">
        <v>252</v>
      </c>
      <c r="N13">
        <v>4191.3959999999997</v>
      </c>
      <c r="O13" s="8">
        <v>1.0848891429240124E-4</v>
      </c>
      <c r="P13" s="8">
        <v>3.3674103335298272E-2</v>
      </c>
      <c r="Q13">
        <v>1.2886925387400553E-2</v>
      </c>
      <c r="R13">
        <v>1.9303999999999999</v>
      </c>
      <c r="S13" s="15">
        <v>1953061.81640625</v>
      </c>
      <c r="T13">
        <v>577.59444444444443</v>
      </c>
      <c r="U13" s="12">
        <f>+T13+BG13*S13*テーブル2[[#This Row],[Pw]]*R13/(N13*O13*K13)</f>
        <v>597.70046391298729</v>
      </c>
      <c r="V13">
        <v>0.03</v>
      </c>
      <c r="W13" s="8">
        <f t="shared" ref="W13:W37" si="29">+N13*P13/I13</f>
        <v>2149049.1651358847</v>
      </c>
      <c r="X13">
        <v>1.3952667981821924E-2</v>
      </c>
      <c r="Y13">
        <f t="shared" si="1"/>
        <v>8.4658656102023055</v>
      </c>
      <c r="Z13">
        <f t="shared" ref="Z13:Z37" si="30">IF(X13&gt;0,1.14-2*LOG((0.72*L13*E13)/(X13*P13*N13^2)+9.35/(W13*X13^0.5)),0)</f>
        <v>8.4658656247936932</v>
      </c>
      <c r="AA13">
        <f t="shared" si="3"/>
        <v>-1.4591387653695165E-8</v>
      </c>
      <c r="AB13">
        <f t="shared" si="4"/>
        <v>8.1029219269965852E-6</v>
      </c>
      <c r="AC13">
        <v>646.39744372785935</v>
      </c>
      <c r="AD13">
        <f t="shared" ref="AD13:AD37" si="31">+P13/2*AI13/I13*E13</f>
        <v>44874.538167118364</v>
      </c>
      <c r="AE13">
        <f t="shared" si="6"/>
        <v>600.01215441809518</v>
      </c>
      <c r="AF13" s="14">
        <f t="shared" si="7"/>
        <v>2.3116905051078902</v>
      </c>
      <c r="AG13">
        <v>8.1377916838587354E-6</v>
      </c>
      <c r="AH13">
        <f t="shared" si="8"/>
        <v>53.410409294249938</v>
      </c>
      <c r="AI13">
        <f t="shared" si="9"/>
        <v>0.30512906274941193</v>
      </c>
      <c r="AJ13">
        <f t="shared" si="10"/>
        <v>21.689049289730264</v>
      </c>
      <c r="AK13">
        <f t="array" ref="AK13">+S13*テーブル2[[#This Row],[F_form]]/(E13*CpFromTP((テーブル2[[#This Row],[Tin]]+テーブル2[[#This Row],[Tf]])/2,テーブル2[[#This Row],[P]])*AI13)</f>
        <v>1.3799104608599397</v>
      </c>
      <c r="AL13">
        <f t="shared" si="11"/>
        <v>1.4549166438635874</v>
      </c>
      <c r="AM13">
        <f t="shared" si="12"/>
        <v>624.16416376437405</v>
      </c>
      <c r="AN13">
        <f t="shared" si="13"/>
        <v>-0.75582047236707695</v>
      </c>
      <c r="AO13">
        <f t="shared" si="14"/>
        <v>3.4869756862150218E-8</v>
      </c>
      <c r="AP13">
        <v>2.9767178092351076</v>
      </c>
      <c r="AQ13">
        <f t="shared" si="15"/>
        <v>2.6843578869652676E-5</v>
      </c>
      <c r="AR13">
        <f t="shared" si="16"/>
        <v>4.0863307203604428E-6</v>
      </c>
      <c r="AS13">
        <f t="shared" si="17"/>
        <v>10.890992526121185</v>
      </c>
      <c r="AT13">
        <f t="shared" si="18"/>
        <v>8.8896803692486763</v>
      </c>
      <c r="AU13">
        <f t="shared" si="19"/>
        <v>2.7124998392106949</v>
      </c>
      <c r="AV13">
        <f t="shared" si="20"/>
        <v>0.26421797002441272</v>
      </c>
      <c r="AW13">
        <f t="shared" si="21"/>
        <v>6.0356979568173619E-3</v>
      </c>
      <c r="AX13">
        <f t="shared" si="22"/>
        <v>0.26421796254476321</v>
      </c>
      <c r="AY13">
        <f t="shared" si="23"/>
        <v>7.4796495108664374E-9</v>
      </c>
      <c r="AZ13">
        <f t="shared" si="24"/>
        <v>888872.47317885025</v>
      </c>
      <c r="BA13">
        <f t="shared" si="25"/>
        <v>9.0178446832857007E-6</v>
      </c>
      <c r="BB13" s="15">
        <f t="shared" si="26"/>
        <v>1971716.093150737</v>
      </c>
      <c r="BC13" s="20">
        <f t="shared" si="27"/>
        <v>18654.276744486997</v>
      </c>
      <c r="BD13" s="19">
        <f t="shared" si="28"/>
        <v>0.95512986776895659</v>
      </c>
      <c r="BE13" s="15">
        <v>3001513.8415608276</v>
      </c>
      <c r="BF13" s="16">
        <f>テーブル2[[#This Row],[q_P]]/テーブル2[[#This Row],[q_M]]</f>
        <v>0.6569072132365773</v>
      </c>
      <c r="BG13">
        <v>0.73367993758103567</v>
      </c>
      <c r="BH13">
        <v>-5.8276004235210725E-2</v>
      </c>
      <c r="BI13">
        <v>4.5999999999999999E-2</v>
      </c>
      <c r="BJ13">
        <v>5625</v>
      </c>
      <c r="BK13" s="21">
        <f>1+テーブル2[[#This Row],[A_corr]]*EXP(-テーブル2[[#This Row],[(Tsub-40)^2]]/テーブル2[[#This Row],[σ_corr]])</f>
        <v>1.0457244083640593</v>
      </c>
      <c r="BL13">
        <f>テーブル2[[#This Row],[Ts]]-テーブル2[[#This Row],[Tin]]</f>
        <v>45.813898847562541</v>
      </c>
      <c r="BM13">
        <f>テーブル2[[#This Row],[q_P]]*0.000001</f>
        <v>1.9717160931507369</v>
      </c>
      <c r="BN13">
        <f>テーブル2[[#This Row],[Tsub]]</f>
        <v>45.813898847562541</v>
      </c>
      <c r="BO13">
        <f>テーブル2[[#This Row],[Fcorr]]</f>
        <v>1.0457244083640593</v>
      </c>
      <c r="BP13">
        <f>(テーブル2[[#This Row],[Tsub]]-40)^2</f>
        <v>33.801419809689044</v>
      </c>
      <c r="BQ13" s="10">
        <v>1.0094311531373998</v>
      </c>
      <c r="BR13">
        <v>2.4380000000000002</v>
      </c>
    </row>
    <row r="14" spans="1:70" x14ac:dyDescent="0.15">
      <c r="A14" s="9" t="s">
        <v>98</v>
      </c>
      <c r="B14">
        <v>16616364.369999999</v>
      </c>
      <c r="C14" s="21" cm="1">
        <f t="array" ref="C14">TsatFromP(テーブル2[[#This Row],[P]])</f>
        <v>623.57769163346586</v>
      </c>
      <c r="D14">
        <f t="array" ref="D14">RhoGFromP(テーブル2[[#This Row],[P]])</f>
        <v>114.66029599737462</v>
      </c>
      <c r="E14">
        <f t="array" ref="E14">RhoFFromP(テーブル2[[#This Row],[P]])</f>
        <v>572.97931530121309</v>
      </c>
      <c r="F14">
        <f t="array" ref="F14">HgFromP(テーブル2[[#This Row],[P]])</f>
        <v>2560721.691284928</v>
      </c>
      <c r="G14">
        <f t="array" ref="G14">HfFromP(テーブル2[[#This Row],[P]])</f>
        <v>1674402.1546774118</v>
      </c>
      <c r="H14">
        <f t="array" ref="H14">MuGFromP(テーブル2[[#This Row],[P]])</f>
        <v>2.3803753768346773E-5</v>
      </c>
      <c r="I14">
        <f t="array" ref="I14">MuFFromP(テーブル2[[#This Row],[P]])</f>
        <v>6.559315938668894E-5</v>
      </c>
      <c r="J14">
        <f t="array" ref="J14">KfFromP(テーブル2[[#This Row],[P]])</f>
        <v>0.45952852946905182</v>
      </c>
      <c r="K14">
        <f t="array" ref="K14">CpFFromP(テーブル2[[#This Row],[P]])</f>
        <v>10236.374668774288</v>
      </c>
      <c r="L14">
        <f t="array" ref="L14">SigmaFromP(テーブル2[[#This Row],[P]])</f>
        <v>3.575061404803361E-3</v>
      </c>
      <c r="M14" s="22">
        <v>253</v>
      </c>
      <c r="N14">
        <v>4161.5640000000003</v>
      </c>
      <c r="O14" s="8">
        <v>1.0848891429240124E-4</v>
      </c>
      <c r="P14" s="8">
        <v>3.3674103335298272E-2</v>
      </c>
      <c r="Q14">
        <v>1.2886925387400553E-2</v>
      </c>
      <c r="R14">
        <v>1.9303999999999999</v>
      </c>
      <c r="S14" s="15">
        <v>1494577.9667187501</v>
      </c>
      <c r="T14">
        <v>589.81666666666661</v>
      </c>
      <c r="U14" s="12">
        <f>+T14+BG14*S14*テーブル2[[#This Row],[Pw]]*R14/(N14*O14*K14)</f>
        <v>605.24007845084202</v>
      </c>
      <c r="V14">
        <v>0.03</v>
      </c>
      <c r="W14" s="8">
        <f t="shared" si="29"/>
        <v>2136456.5677697137</v>
      </c>
      <c r="X14">
        <v>1.3963748912751459E-2</v>
      </c>
      <c r="Y14">
        <f t="shared" si="1"/>
        <v>8.4625059003306067</v>
      </c>
      <c r="Z14">
        <f t="shared" si="30"/>
        <v>8.4625059157986122</v>
      </c>
      <c r="AA14">
        <f t="shared" si="3"/>
        <v>-1.5468005543084473E-8</v>
      </c>
      <c r="AB14">
        <f t="shared" si="4"/>
        <v>8.1316465961717523E-6</v>
      </c>
      <c r="AC14">
        <v>639.96991104815049</v>
      </c>
      <c r="AD14">
        <f t="shared" si="31"/>
        <v>44629.30202274608</v>
      </c>
      <c r="AE14">
        <f t="shared" si="6"/>
        <v>606.91965106647751</v>
      </c>
      <c r="AF14" s="14">
        <f t="shared" si="7"/>
        <v>1.6795726156354931</v>
      </c>
      <c r="AG14">
        <v>8.1583580516541831E-6</v>
      </c>
      <c r="AH14">
        <f t="shared" si="8"/>
        <v>52.757748815396518</v>
      </c>
      <c r="AI14">
        <f t="shared" si="9"/>
        <v>0.3034405772394384</v>
      </c>
      <c r="AJ14">
        <f t="shared" si="10"/>
        <v>21.625034636946875</v>
      </c>
      <c r="AK14">
        <f t="array" ref="AK14">+S14*テーブル2[[#This Row],[F_form]]/(E14*CpFromTP((テーブル2[[#This Row],[Tin]]+テーブル2[[#This Row],[Tf]])/2,テーブル2[[#This Row],[P]])*AI14)</f>
        <v>0.98215117579929279</v>
      </c>
      <c r="AL14">
        <f t="shared" si="11"/>
        <v>1.4611413919535472</v>
      </c>
      <c r="AM14">
        <f t="shared" si="12"/>
        <v>624.11307173453497</v>
      </c>
      <c r="AN14">
        <f t="shared" si="13"/>
        <v>-0.5353801010691086</v>
      </c>
      <c r="AO14">
        <f t="shared" si="14"/>
        <v>2.6711455482430834E-8</v>
      </c>
      <c r="AP14">
        <v>2.9550456553388647</v>
      </c>
      <c r="AQ14">
        <f t="shared" si="15"/>
        <v>2.6924265669217713E-5</v>
      </c>
      <c r="AR14">
        <f t="shared" si="16"/>
        <v>4.092534753568307E-6</v>
      </c>
      <c r="AS14">
        <f t="shared" si="17"/>
        <v>10.847918813869544</v>
      </c>
      <c r="AT14">
        <f t="shared" si="18"/>
        <v>8.8698662359891607</v>
      </c>
      <c r="AU14">
        <f t="shared" si="19"/>
        <v>2.6914773306851556</v>
      </c>
      <c r="AV14">
        <f t="shared" si="20"/>
        <v>0.26356832465370905</v>
      </c>
      <c r="AW14">
        <f t="shared" si="21"/>
        <v>6.0763455276189567E-3</v>
      </c>
      <c r="AX14">
        <f t="shared" si="22"/>
        <v>0.26356831875633924</v>
      </c>
      <c r="AY14">
        <f t="shared" si="23"/>
        <v>5.8973698147113396E-9</v>
      </c>
      <c r="AZ14">
        <f t="shared" si="24"/>
        <v>886319.53660751623</v>
      </c>
      <c r="BA14">
        <f t="shared" si="25"/>
        <v>9.111285851226627E-6</v>
      </c>
      <c r="BB14" s="15">
        <f t="shared" si="26"/>
        <v>1488836.9797627456</v>
      </c>
      <c r="BC14" s="20">
        <f t="shared" si="27"/>
        <v>-5740.986956004519</v>
      </c>
      <c r="BD14" s="19">
        <f t="shared" si="28"/>
        <v>-0.3841209414192347</v>
      </c>
      <c r="BE14" s="15">
        <v>2619411.5769735198</v>
      </c>
      <c r="BF14" s="16">
        <f>テーブル2[[#This Row],[q_P]]/テーブル2[[#This Row],[q_M]]</f>
        <v>0.56838604244200319</v>
      </c>
      <c r="BG14">
        <v>0.73367993758103567</v>
      </c>
      <c r="BH14">
        <v>-1.9712135043268779E-3</v>
      </c>
      <c r="BI14">
        <v>4.5999999999999999E-2</v>
      </c>
      <c r="BJ14">
        <v>5625</v>
      </c>
      <c r="BK14" s="21">
        <f>1+テーブル2[[#This Row],[A_corr]]*EXP(-テーブル2[[#This Row],[(Tsub-40)^2]]/テーブル2[[#This Row],[σ_corr]])</f>
        <v>1.0456827803984645</v>
      </c>
      <c r="BL14">
        <f>テーブル2[[#This Row],[Ts]]-テーブル2[[#This Row],[Tin]]</f>
        <v>33.761024966799255</v>
      </c>
      <c r="BM14">
        <f>テーブル2[[#This Row],[q_P]]*0.000001</f>
        <v>1.4888369797627454</v>
      </c>
      <c r="BN14">
        <f>テーブル2[[#This Row],[Tsub]]</f>
        <v>33.761024966799255</v>
      </c>
      <c r="BO14">
        <f>テーブル2[[#This Row],[Fcorr]]</f>
        <v>1.0456827803984645</v>
      </c>
      <c r="BP14">
        <f>(テーブル2[[#This Row],[Tsub]]-40)^2</f>
        <v>38.924809464902239</v>
      </c>
      <c r="BQ14" s="10">
        <v>1.0011983657133301</v>
      </c>
      <c r="BR14">
        <v>2.4380000000000002</v>
      </c>
    </row>
    <row r="15" spans="1:70" x14ac:dyDescent="0.15">
      <c r="A15" s="9" t="s">
        <v>99</v>
      </c>
      <c r="B15">
        <v>16650838.154999999</v>
      </c>
      <c r="C15" s="21" cm="1">
        <f t="array" ref="C15">TsatFromP(テーブル2[[#This Row],[P]])</f>
        <v>623.7467472920838</v>
      </c>
      <c r="D15">
        <f t="array" ref="D15">RhoGFromP(テーブル2[[#This Row],[P]])</f>
        <v>115.08174830522883</v>
      </c>
      <c r="E15">
        <f t="array" ref="E15">RhoFFromP(テーブル2[[#This Row],[P]])</f>
        <v>572.29121245744955</v>
      </c>
      <c r="F15">
        <f t="array" ref="F15">HgFromP(テーブル2[[#This Row],[P]])</f>
        <v>2559557.8321399409</v>
      </c>
      <c r="G15">
        <f t="array" ref="G15">HfFromP(テーブル2[[#This Row],[P]])</f>
        <v>1675797.4223693286</v>
      </c>
      <c r="H15">
        <f t="array" ref="H15">MuGFromP(テーブル2[[#This Row],[P]])</f>
        <v>2.3829582904311094E-5</v>
      </c>
      <c r="I15">
        <f t="array" ref="I15">MuFFromP(テーブル2[[#This Row],[P]])</f>
        <v>6.5509940250288218E-5</v>
      </c>
      <c r="J15">
        <f t="array" ref="J15">KfFromP(テーブル2[[#This Row],[P]])</f>
        <v>0.45915472043015876</v>
      </c>
      <c r="K15">
        <f t="array" ref="K15">CpFFromP(テーブル2[[#This Row],[P]])</f>
        <v>10285.252806144354</v>
      </c>
      <c r="L15">
        <f t="array" ref="L15">SigmaFromP(テーブル2[[#This Row],[P]])</f>
        <v>3.5437208597502243E-3</v>
      </c>
      <c r="M15">
        <v>254</v>
      </c>
      <c r="N15">
        <v>4131.732</v>
      </c>
      <c r="O15" s="8">
        <v>1.0848891429240124E-4</v>
      </c>
      <c r="P15" s="8">
        <v>3.3674103335298272E-2</v>
      </c>
      <c r="Q15">
        <v>1.2886925387400553E-2</v>
      </c>
      <c r="R15">
        <v>1.778</v>
      </c>
      <c r="S15" s="15">
        <v>1254442.0314062499</v>
      </c>
      <c r="T15">
        <v>601.48333333333335</v>
      </c>
      <c r="U15" s="12">
        <f>+T15+BG15*S15*テーブル2[[#This Row],[Pw]]*R15/(N15*O15*K15)</f>
        <v>611.58078920170624</v>
      </c>
      <c r="V15">
        <v>0.03</v>
      </c>
      <c r="W15" s="8">
        <f t="shared" si="29"/>
        <v>2123836.013133083</v>
      </c>
      <c r="X15">
        <v>1.3974962066725397E-2</v>
      </c>
      <c r="Y15">
        <f t="shared" si="1"/>
        <v>8.4591101693275306</v>
      </c>
      <c r="Z15">
        <f t="shared" si="30"/>
        <v>8.4591101857217321</v>
      </c>
      <c r="AA15">
        <f t="shared" si="3"/>
        <v>-1.6394201551861443E-8</v>
      </c>
      <c r="AB15">
        <f t="shared" si="4"/>
        <v>8.1608029244634802E-6</v>
      </c>
      <c r="AC15">
        <v>634.4723157732526</v>
      </c>
      <c r="AD15">
        <f t="shared" si="31"/>
        <v>44383.475831181611</v>
      </c>
      <c r="AE15">
        <f t="shared" si="6"/>
        <v>613.23345373285156</v>
      </c>
      <c r="AF15" s="14">
        <f t="shared" si="7"/>
        <v>1.6526645311453194</v>
      </c>
      <c r="AG15">
        <v>8.1836286552396876E-6</v>
      </c>
      <c r="AH15">
        <f t="shared" si="8"/>
        <v>52.108414711899705</v>
      </c>
      <c r="AI15">
        <f t="shared" si="9"/>
        <v>0.30174868889881501</v>
      </c>
      <c r="AJ15">
        <f t="shared" si="10"/>
        <v>21.572534895113858</v>
      </c>
      <c r="AK15">
        <f t="array" ref="AK15">+S15*テーブル2[[#This Row],[F_form]]/(E15*CpFromTP((テーブル2[[#This Row],[Tin]]+テーブル2[[#This Row],[Tf]])/2,テーブル2[[#This Row],[P]])*AI15)</f>
        <v>0.63046612928295098</v>
      </c>
      <c r="AL15">
        <f t="shared" si="11"/>
        <v>1.4674493516224545</v>
      </c>
      <c r="AM15">
        <f t="shared" si="12"/>
        <v>624.27055628442395</v>
      </c>
      <c r="AN15">
        <f t="shared" si="13"/>
        <v>-0.52380899234015033</v>
      </c>
      <c r="AO15">
        <f t="shared" si="14"/>
        <v>2.2825730776207409E-8</v>
      </c>
      <c r="AP15">
        <v>2.9348600396442093</v>
      </c>
      <c r="AQ15">
        <f t="shared" si="15"/>
        <v>2.6979475299871256E-5</v>
      </c>
      <c r="AR15">
        <f t="shared" si="16"/>
        <v>4.1032271930079475E-6</v>
      </c>
      <c r="AS15">
        <f t="shared" si="17"/>
        <v>10.816352443737745</v>
      </c>
      <c r="AT15">
        <f t="shared" si="18"/>
        <v>8.8552955208723141</v>
      </c>
      <c r="AU15">
        <f t="shared" si="19"/>
        <v>2.6720738132347699</v>
      </c>
      <c r="AV15">
        <f t="shared" si="20"/>
        <v>0.26278622640943938</v>
      </c>
      <c r="AW15">
        <f t="shared" si="21"/>
        <v>6.1176203562084966E-3</v>
      </c>
      <c r="AX15">
        <f t="shared" si="22"/>
        <v>0.26278622202752433</v>
      </c>
      <c r="AY15">
        <f t="shared" si="23"/>
        <v>4.3819150530310935E-9</v>
      </c>
      <c r="AZ15">
        <f t="shared" si="24"/>
        <v>883760.40977061237</v>
      </c>
      <c r="BA15">
        <f t="shared" si="25"/>
        <v>9.1927638577074885E-6</v>
      </c>
      <c r="BB15" s="15">
        <f t="shared" si="26"/>
        <v>1255828.1279330954</v>
      </c>
      <c r="BC15" s="20">
        <f t="shared" si="27"/>
        <v>1386.0965268455911</v>
      </c>
      <c r="BD15" s="19">
        <f t="shared" si="28"/>
        <v>0.11049506411163174</v>
      </c>
      <c r="BE15" s="15">
        <v>2687029.2575224498</v>
      </c>
      <c r="BF15" s="16">
        <f>テーブル2[[#This Row],[q_P]]/テーブル2[[#This Row],[q_M]]</f>
        <v>0.46736674876812467</v>
      </c>
      <c r="BG15">
        <v>0.61982065892134453</v>
      </c>
      <c r="BH15">
        <v>4.5215393920802538E-2</v>
      </c>
      <c r="BI15">
        <v>4.5999999999999999E-2</v>
      </c>
      <c r="BJ15">
        <v>5625</v>
      </c>
      <c r="BK15" s="21">
        <f>1+テーブル2[[#This Row],[A_corr]]*EXP(-テーブル2[[#This Row],[(Tsub-40)^2]]/テーブル2[[#This Row],[σ_corr]])</f>
        <v>1.0434979978402203</v>
      </c>
      <c r="BL15">
        <f>テーブル2[[#This Row],[Ts]]-テーブル2[[#This Row],[Tin]]</f>
        <v>22.263413958750448</v>
      </c>
      <c r="BM15">
        <f>テーブル2[[#This Row],[q_P]]*0.000001</f>
        <v>1.2558281279330954</v>
      </c>
      <c r="BN15">
        <f>テーブル2[[#This Row],[Tsub]]</f>
        <v>22.263413958750448</v>
      </c>
      <c r="BO15">
        <f>テーブル2[[#This Row],[Fcorr]]</f>
        <v>1.0434979978402203</v>
      </c>
      <c r="BP15">
        <f>(テーブル2[[#This Row],[Tsub]]-40)^2</f>
        <v>314.58648439864845</v>
      </c>
      <c r="BQ15" s="10">
        <v>0.98980218515242047</v>
      </c>
      <c r="BR15">
        <v>2.4380000000000002</v>
      </c>
    </row>
    <row r="16" spans="1:70" x14ac:dyDescent="0.15">
      <c r="A16" s="9" t="s">
        <v>100</v>
      </c>
      <c r="B16">
        <v>14582411.055</v>
      </c>
      <c r="C16" s="21" cm="1">
        <f t="array" ref="C16">TsatFromP(テーブル2[[#This Row],[P]])</f>
        <v>613.05026988781367</v>
      </c>
      <c r="D16">
        <f t="array" ref="D16">RhoGFromP(テーブル2[[#This Row],[P]])</f>
        <v>92.580958140603215</v>
      </c>
      <c r="E16">
        <f t="array" ref="E16">RhoFFromP(テーブル2[[#This Row],[P]])</f>
        <v>610.99184656446221</v>
      </c>
      <c r="F16">
        <f t="array" ref="F16">HgFromP(テーブル2[[#This Row],[P]])</f>
        <v>2622345.5985878608</v>
      </c>
      <c r="G16">
        <f t="array" ref="G16">HfFromP(テーブル2[[#This Row],[P]])</f>
        <v>1593812.5192969192</v>
      </c>
      <c r="H16">
        <f t="array" ref="H16">MuGFromP(テーブル2[[#This Row],[P]])</f>
        <v>2.2466336042427335E-5</v>
      </c>
      <c r="I16">
        <f t="array" ref="I16">MuFFromP(テーブル2[[#This Row],[P]])</f>
        <v>7.0373614625891007E-5</v>
      </c>
      <c r="J16">
        <f t="array" ref="J16">KfFromP(テーブル2[[#This Row],[P]])</f>
        <v>0.48213977909987105</v>
      </c>
      <c r="K16">
        <f t="array" ref="K16">CpFFromP(テーブル2[[#This Row],[P]])</f>
        <v>8194.8014383951322</v>
      </c>
      <c r="L16">
        <f t="array" ref="L16">SigmaFromP(テーブル2[[#This Row],[P]])</f>
        <v>5.6080351609815058E-3</v>
      </c>
      <c r="M16">
        <v>268</v>
      </c>
      <c r="N16">
        <v>2709.288</v>
      </c>
      <c r="O16" s="8">
        <v>8.7843467213758383E-5</v>
      </c>
      <c r="P16" s="8">
        <v>2.9843873572041598E-2</v>
      </c>
      <c r="Q16">
        <v>1.1773735336561952E-2</v>
      </c>
      <c r="R16">
        <v>4.2545000000000002</v>
      </c>
      <c r="S16" s="15">
        <v>309991.23828125</v>
      </c>
      <c r="T16">
        <v>587.81666666666661</v>
      </c>
      <c r="U16" s="12">
        <f>+T16+BG16*S16*テーブル2[[#This Row],[Pw]]*R16/(N16*O16*K16)</f>
        <v>607.99800953315639</v>
      </c>
      <c r="V16">
        <v>0.03</v>
      </c>
      <c r="W16" s="8">
        <f t="shared" si="29"/>
        <v>1148948.3519083303</v>
      </c>
      <c r="X16">
        <v>1.7947228785031476E-2</v>
      </c>
      <c r="Y16">
        <f t="shared" ref="Y16:Y40" si="32">IF(X16&gt;0,1/X16^0.5,1)</f>
        <v>7.46450993592223</v>
      </c>
      <c r="Z16">
        <f t="shared" si="30"/>
        <v>7.464509945170315</v>
      </c>
      <c r="AA16">
        <f t="shared" ref="AA16:AA40" si="33">+Y16-Z16</f>
        <v>-9.2480849644971386E-9</v>
      </c>
      <c r="AB16">
        <f t="shared" ref="AB16:AB40" si="34">32/X16*L16*V16*E16/N16^2</f>
        <v>2.4969487573206528E-5</v>
      </c>
      <c r="AC16">
        <v>619.32503018571344</v>
      </c>
      <c r="AD16">
        <f t="shared" si="31"/>
        <v>27209.729032503245</v>
      </c>
      <c r="AE16">
        <f t="shared" si="6"/>
        <v>607.99800953315639</v>
      </c>
      <c r="AF16" s="14">
        <f t="shared" ref="AF16:AF40" si="35">+AE16-U16</f>
        <v>0</v>
      </c>
      <c r="AG16">
        <v>2.497862237416156E-5</v>
      </c>
      <c r="AH16">
        <f t="shared" ref="AH16:AH40" si="36">+X16*N16^2/(8*E16)</f>
        <v>26.951462954326068</v>
      </c>
      <c r="AI16">
        <f t="shared" ref="AI16:AI40" si="37">+(AH16/E16)^0.5</f>
        <v>0.21002619511840076</v>
      </c>
      <c r="AJ16">
        <f t="shared" ref="AJ16:AJ40" si="38">+AG16*AI16/I16*E16</f>
        <v>45.547810324654428</v>
      </c>
      <c r="AK16">
        <f t="array" ref="AK16">+S16*テーブル2[[#This Row],[F_form]]/(E16*CpFromTP((テーブル2[[#This Row],[Tin]]+テーブル2[[#This Row],[Tf]])/2,テーブル2[[#This Row],[P]])*AI16)</f>
        <v>0.37483183953091426</v>
      </c>
      <c r="AL16">
        <f t="shared" ref="AL16:AL40" si="39">+K16*I16/J16</f>
        <v>1.1961215883036658</v>
      </c>
      <c r="AM16">
        <f t="shared" ref="AM16:AM40" si="40">+gettyp(AC16,AJ16,AK16,AL16)</f>
        <v>613.05026988184954</v>
      </c>
      <c r="AN16">
        <f t="shared" ref="AN16:AN40" si="41">+C16-AM16</f>
        <v>5.9641251937136985E-9</v>
      </c>
      <c r="AO16">
        <f t="shared" ref="AO16:AO40" si="42">+AG16-AB16</f>
        <v>9.1348009550318429E-9</v>
      </c>
      <c r="AP16">
        <v>2.8777922720717699</v>
      </c>
      <c r="AQ16">
        <f t="shared" ref="AQ16:AQ40" si="43">2*PI()*L16*(D16+E16)/(D16*E16*AP16^2)</f>
        <v>5.2920467317838785E-5</v>
      </c>
      <c r="AR16">
        <f t="shared" ref="AR16:AR40" si="44">+AO16+AB16/2</f>
        <v>1.2493878587558296E-5</v>
      </c>
      <c r="AS16">
        <f t="shared" ref="AS16:AS40" si="45">+AR16*AI16/I16*E16</f>
        <v>22.782233687716261</v>
      </c>
      <c r="AT16">
        <f t="shared" ref="AT16:AT40" si="46">+getublp(AS16)</f>
        <v>12.579905039922123</v>
      </c>
      <c r="AU16">
        <f t="shared" ref="AU16:AU40" si="47">+AT16*AI16</f>
        <v>2.6421095904856369</v>
      </c>
      <c r="AV16">
        <f t="shared" ref="AV16:AV40" si="48">+AP16-AU16</f>
        <v>0.23568268158613304</v>
      </c>
      <c r="AW16">
        <f t="shared" ref="AW16:AW40" si="49">2/3*AB16/(L16/(9.8*(E16-D16)))^0.5</f>
        <v>1.5843936821735748E-2</v>
      </c>
      <c r="AX16">
        <f t="shared" ref="AX16:AX40" si="50">+(2*AQ16*9.8*(E16-D16)/(E16*AW16))^0.5</f>
        <v>0.23568268104770801</v>
      </c>
      <c r="AY16">
        <f t="shared" ref="AY16:AY40" si="51">+AV16-AX16</f>
        <v>5.3842502678591586E-10</v>
      </c>
      <c r="AZ16">
        <f t="shared" ref="AZ16:AZ40" si="52">+F16-G16</f>
        <v>1028533.0792909416</v>
      </c>
      <c r="BA16">
        <f t="shared" ref="BA16:BA40" si="53">+AQ16/AP16</f>
        <v>1.8389258957784493E-5</v>
      </c>
      <c r="BB16" s="15">
        <f t="shared" ref="BB16:BB40" si="54">+E16*AO16*AZ16/BA16</f>
        <v>312168.11267499486</v>
      </c>
      <c r="BC16" s="20">
        <f t="shared" ref="BC16:BC40" si="55">BB16-S16</f>
        <v>2176.8743937448598</v>
      </c>
      <c r="BD16" s="19">
        <f t="shared" ref="BD16:BD40" si="56">+(BB16-S16)/S16*100</f>
        <v>0.70223739413235198</v>
      </c>
      <c r="BE16" s="15">
        <v>934294.72739999997</v>
      </c>
      <c r="BF16" s="16">
        <f>テーブル2[[#This Row],[q_P]]/テーブル2[[#This Row],[q_M]]</f>
        <v>0.33412166794916121</v>
      </c>
      <c r="BG16">
        <v>1</v>
      </c>
      <c r="BH16">
        <v>0.10800429032202953</v>
      </c>
      <c r="BI16">
        <v>4.5999999999999999E-2</v>
      </c>
      <c r="BJ16">
        <v>5625</v>
      </c>
      <c r="BK16" s="21">
        <f>1+テーブル2[[#This Row],[A_corr]]*EXP(-テーブル2[[#This Row],[(Tsub-40)^2]]/テーブル2[[#This Row],[σ_corr]])</f>
        <v>1.0442509826912505</v>
      </c>
      <c r="BL16">
        <f>テーブル2[[#This Row],[Ts]]-テーブル2[[#This Row],[Tin]]</f>
        <v>25.233603221147064</v>
      </c>
      <c r="BM16">
        <f>テーブル2[[#This Row],[q_P]]*0.000001</f>
        <v>0.31216811267499484</v>
      </c>
      <c r="BN16">
        <f>テーブル2[[#This Row],[Tsub]]</f>
        <v>25.233603221147064</v>
      </c>
      <c r="BO16">
        <f>テーブル2[[#This Row],[Fcorr]]</f>
        <v>1.0442509826912505</v>
      </c>
      <c r="BP16">
        <f>(テーブル2[[#This Row],[Tsub]]-40)^2</f>
        <v>218.04647383051838</v>
      </c>
      <c r="BQ16" s="10">
        <v>0.97789546367813707</v>
      </c>
      <c r="BR16">
        <v>4.2670000000000003</v>
      </c>
    </row>
    <row r="17" spans="1:70" x14ac:dyDescent="0.15">
      <c r="A17" s="9" t="s">
        <v>101</v>
      </c>
      <c r="B17">
        <v>16547416.799999999</v>
      </c>
      <c r="C17" s="21" cm="1">
        <f t="array" ref="C17">TsatFromP(テーブル2[[#This Row],[P]])</f>
        <v>623.23870133313642</v>
      </c>
      <c r="D17">
        <f t="array" ref="D17">RhoGFromP(テーブル2[[#This Row],[P]])</f>
        <v>113.82300371015133</v>
      </c>
      <c r="E17">
        <f t="array" ref="E17">RhoFFromP(テーブル2[[#This Row],[P]])</f>
        <v>574.34988711113044</v>
      </c>
      <c r="F17">
        <f t="array" ref="F17">HgFromP(テーブル2[[#This Row],[P]])</f>
        <v>2563035.5779140079</v>
      </c>
      <c r="G17">
        <f t="array" ref="G17">HfFromP(テーブル2[[#This Row],[P]])</f>
        <v>1671616.2807993235</v>
      </c>
      <c r="H17">
        <f t="array" ref="H17">MuGFromP(テーブル2[[#This Row],[P]])</f>
        <v>2.3752482411014488E-5</v>
      </c>
      <c r="I17">
        <f t="array" ref="I17">MuFFromP(テーブル2[[#This Row],[P]])</f>
        <v>6.5759231557403181E-5</v>
      </c>
      <c r="J17">
        <f t="array" ref="J17">KfFromP(テーブル2[[#This Row],[P]])</f>
        <v>0.46027765484939753</v>
      </c>
      <c r="K17">
        <f t="array" ref="K17">CpFFromP(テーブル2[[#This Row],[P]])</f>
        <v>10140.600460117175</v>
      </c>
      <c r="L17">
        <f t="array" ref="L17">SigmaFromP(テーブル2[[#This Row],[P]])</f>
        <v>3.6380461586323874E-3</v>
      </c>
      <c r="M17" s="22">
        <v>269</v>
      </c>
      <c r="N17">
        <v>2737.7640000000001</v>
      </c>
      <c r="O17" s="8">
        <v>8.7843467213758383E-5</v>
      </c>
      <c r="P17" s="8">
        <v>2.9843873572041598E-2</v>
      </c>
      <c r="Q17">
        <v>1.1773735336561952E-2</v>
      </c>
      <c r="R17">
        <v>4.2545000000000002</v>
      </c>
      <c r="S17" s="15">
        <v>494270.71578125004</v>
      </c>
      <c r="T17">
        <v>588.87222222222226</v>
      </c>
      <c r="U17" s="12">
        <f>+T17+BG17*S17*テーブル2[[#This Row],[Pw]]*R17/(N17*O17*K17)</f>
        <v>614.60575730191204</v>
      </c>
      <c r="V17">
        <v>0.03</v>
      </c>
      <c r="W17" s="8">
        <f t="shared" si="29"/>
        <v>1242494.4871012333</v>
      </c>
      <c r="X17">
        <v>1.6437499229920417E-2</v>
      </c>
      <c r="Y17">
        <f t="shared" si="32"/>
        <v>7.7997759423759687</v>
      </c>
      <c r="Z17">
        <f t="shared" si="30"/>
        <v>7.7997759564197757</v>
      </c>
      <c r="AA17">
        <f t="shared" si="33"/>
        <v>-1.4043807006203224E-8</v>
      </c>
      <c r="AB17">
        <f t="shared" si="34"/>
        <v>1.6281267644159479E-5</v>
      </c>
      <c r="AC17">
        <v>633.83431484847335</v>
      </c>
      <c r="AD17">
        <f t="shared" si="31"/>
        <v>28160.30498526575</v>
      </c>
      <c r="AE17">
        <f t="shared" si="6"/>
        <v>614.60575730191192</v>
      </c>
      <c r="AF17" s="14">
        <f t="shared" si="35"/>
        <v>0</v>
      </c>
      <c r="AG17">
        <v>1.6295906720375457E-5</v>
      </c>
      <c r="AH17">
        <f t="shared" si="36"/>
        <v>26.813977177784075</v>
      </c>
      <c r="AI17">
        <f t="shared" si="37"/>
        <v>0.21606894314552855</v>
      </c>
      <c r="AJ17">
        <f t="shared" si="38"/>
        <v>30.753226597710839</v>
      </c>
      <c r="AK17">
        <f t="array" ref="AK17">+S17*テーブル2[[#This Row],[F_form]]/(E17*CpFromTP((テーブル2[[#This Row],[Tin]]+テーブル2[[#This Row],[Tf]])/2,テーブル2[[#This Row],[P]])*AI17)</f>
        <v>0.59348507504414161</v>
      </c>
      <c r="AL17">
        <f t="shared" si="39"/>
        <v>1.4487735538805233</v>
      </c>
      <c r="AM17">
        <f t="shared" si="40"/>
        <v>623.23870133294622</v>
      </c>
      <c r="AN17">
        <f t="shared" si="41"/>
        <v>1.9019807950826362E-10</v>
      </c>
      <c r="AO17">
        <f t="shared" si="42"/>
        <v>1.4639076215978698E-8</v>
      </c>
      <c r="AP17">
        <v>2.5166153847070851</v>
      </c>
      <c r="AQ17">
        <f t="shared" si="43"/>
        <v>3.7993154802287024E-5</v>
      </c>
      <c r="AR17">
        <f t="shared" si="44"/>
        <v>8.1552728982957181E-6</v>
      </c>
      <c r="AS17">
        <f t="shared" si="45"/>
        <v>15.390426547660049</v>
      </c>
      <c r="AT17">
        <f t="shared" si="46"/>
        <v>10.618728316820242</v>
      </c>
      <c r="AU17">
        <f t="shared" si="47"/>
        <v>2.2943774049648469</v>
      </c>
      <c r="AV17">
        <f t="shared" si="48"/>
        <v>0.22223797974223825</v>
      </c>
      <c r="AW17">
        <f t="shared" si="49"/>
        <v>1.2089362096043598E-2</v>
      </c>
      <c r="AX17">
        <f t="shared" si="50"/>
        <v>0.22223796165765691</v>
      </c>
      <c r="AY17">
        <f t="shared" si="51"/>
        <v>1.808458133245594E-8</v>
      </c>
      <c r="AZ17">
        <f t="shared" si="52"/>
        <v>891419.29711468448</v>
      </c>
      <c r="BA17">
        <f t="shared" si="53"/>
        <v>1.509692543134045E-5</v>
      </c>
      <c r="BB17" s="15">
        <f t="shared" si="54"/>
        <v>496459.3945243567</v>
      </c>
      <c r="BC17" s="20">
        <f t="shared" si="55"/>
        <v>2188.6787431066623</v>
      </c>
      <c r="BD17" s="19">
        <f t="shared" si="56"/>
        <v>0.44280971403438524</v>
      </c>
      <c r="BE17" s="15">
        <v>982919.73179999983</v>
      </c>
      <c r="BF17" s="16">
        <f>テーブル2[[#This Row],[q_P]]/テーブル2[[#This Row],[q_M]]</f>
        <v>0.50508640579958775</v>
      </c>
      <c r="BG17">
        <v>1</v>
      </c>
      <c r="BH17">
        <v>2.9461923127596282E-2</v>
      </c>
      <c r="BI17">
        <v>4.5999999999999999E-2</v>
      </c>
      <c r="BJ17">
        <v>5625</v>
      </c>
      <c r="BK17" s="21">
        <f>1+テーブル2[[#This Row],[A_corr]]*EXP(-テーブル2[[#This Row],[(Tsub-40)^2]]/テーブル2[[#This Row],[σ_corr]])</f>
        <v>1.045741196263406</v>
      </c>
      <c r="BL17">
        <f>テーブル2[[#This Row],[Ts]]-テーブル2[[#This Row],[Tin]]</f>
        <v>34.366479110914156</v>
      </c>
      <c r="BM17">
        <f>テーブル2[[#This Row],[q_P]]*0.000001</f>
        <v>0.49645939452435667</v>
      </c>
      <c r="BN17">
        <f>テーブル2[[#This Row],[Tsub]]</f>
        <v>34.366479110914156</v>
      </c>
      <c r="BO17">
        <f>テーブル2[[#This Row],[Fcorr]]</f>
        <v>1.045741196263406</v>
      </c>
      <c r="BP17">
        <f>(テーブル2[[#This Row],[Tsub]]-40)^2</f>
        <v>31.736557607766557</v>
      </c>
      <c r="BQ17" s="10">
        <v>0.94428405247274105</v>
      </c>
      <c r="BR17">
        <v>4.2670000000000003</v>
      </c>
    </row>
    <row r="18" spans="1:70" x14ac:dyDescent="0.15">
      <c r="A18" s="9" t="s">
        <v>102</v>
      </c>
      <c r="B18">
        <v>16547416.799999999</v>
      </c>
      <c r="C18" s="21" cm="1">
        <f t="array" ref="C18">TsatFromP(テーブル2[[#This Row],[P]])</f>
        <v>623.23870133313642</v>
      </c>
      <c r="D18">
        <f t="array" ref="D18">RhoGFromP(テーブル2[[#This Row],[P]])</f>
        <v>113.82300371015133</v>
      </c>
      <c r="E18">
        <f t="array" ref="E18">RhoFFromP(テーブル2[[#This Row],[P]])</f>
        <v>574.34988711113044</v>
      </c>
      <c r="F18">
        <f t="array" ref="F18">HgFromP(テーブル2[[#This Row],[P]])</f>
        <v>2563035.5779140079</v>
      </c>
      <c r="G18">
        <f t="array" ref="G18">HfFromP(テーブル2[[#This Row],[P]])</f>
        <v>1671616.2807993235</v>
      </c>
      <c r="H18">
        <f t="array" ref="H18">MuGFromP(テーブル2[[#This Row],[P]])</f>
        <v>2.3752482411014488E-5</v>
      </c>
      <c r="I18">
        <f t="array" ref="I18">MuFFromP(テーブル2[[#This Row],[P]])</f>
        <v>6.5759231557403181E-5</v>
      </c>
      <c r="J18">
        <f t="array" ref="J18">KfFromP(テーブル2[[#This Row],[P]])</f>
        <v>0.46027765484939753</v>
      </c>
      <c r="K18">
        <f t="array" ref="K18">CpFFromP(テーブル2[[#This Row],[P]])</f>
        <v>10140.600460117175</v>
      </c>
      <c r="L18">
        <f t="array" ref="L18">SigmaFromP(テーブル2[[#This Row],[P]])</f>
        <v>3.6380461586323874E-3</v>
      </c>
      <c r="M18">
        <v>270</v>
      </c>
      <c r="N18">
        <v>2730.9839999999995</v>
      </c>
      <c r="O18" s="8">
        <v>8.7843467213758383E-5</v>
      </c>
      <c r="P18" s="8">
        <v>2.9843873572041598E-2</v>
      </c>
      <c r="Q18">
        <v>1.1773735336561952E-2</v>
      </c>
      <c r="R18">
        <v>4.2545000000000002</v>
      </c>
      <c r="S18" s="15">
        <v>916852.12265625002</v>
      </c>
      <c r="T18">
        <v>556.42777777777769</v>
      </c>
      <c r="U18" s="12">
        <f>+T18+BG18*S18*テーブル2[[#This Row],[Pw]]*R18/(N18*O18*K18)</f>
        <v>604.28094831687395</v>
      </c>
      <c r="V18">
        <v>0.03</v>
      </c>
      <c r="W18" s="8">
        <f t="shared" si="29"/>
        <v>1239417.4824278767</v>
      </c>
      <c r="X18">
        <v>1.6451586070915805E-2</v>
      </c>
      <c r="Y18">
        <f t="shared" si="32"/>
        <v>7.7964359077637271</v>
      </c>
      <c r="Z18">
        <f t="shared" si="30"/>
        <v>7.7964359219427264</v>
      </c>
      <c r="AA18">
        <f t="shared" si="33"/>
        <v>-1.4178999308001039E-8</v>
      </c>
      <c r="AB18">
        <f t="shared" si="34"/>
        <v>1.6348198136847576E-5</v>
      </c>
      <c r="AC18">
        <v>646.53512963984724</v>
      </c>
      <c r="AD18">
        <f t="shared" si="31"/>
        <v>28102.6008843729</v>
      </c>
      <c r="AE18">
        <f t="shared" si="6"/>
        <v>604.2809487822251</v>
      </c>
      <c r="AF18" s="14">
        <f t="shared" si="35"/>
        <v>4.6535114961443469E-7</v>
      </c>
      <c r="AG18">
        <v>1.6375471538842052E-5</v>
      </c>
      <c r="AH18">
        <f t="shared" si="36"/>
        <v>26.704199165038343</v>
      </c>
      <c r="AI18">
        <f t="shared" si="37"/>
        <v>0.21562618998281938</v>
      </c>
      <c r="AJ18">
        <f t="shared" si="38"/>
        <v>30.840054313901476</v>
      </c>
      <c r="AK18">
        <f t="array" ref="AK18">+S18*テーブル2[[#This Row],[F_form]]/(E18*CpFromTP((テーブル2[[#This Row],[Tin]]+テーブル2[[#This Row],[Tf]])/2,テーブル2[[#This Row],[P]])*AI18)</f>
        <v>1.3043724252264597</v>
      </c>
      <c r="AL18">
        <f t="shared" si="39"/>
        <v>1.4487735538805233</v>
      </c>
      <c r="AM18">
        <f t="shared" si="40"/>
        <v>623.2387013281575</v>
      </c>
      <c r="AN18">
        <f t="shared" si="41"/>
        <v>4.978915058018174E-9</v>
      </c>
      <c r="AO18">
        <f t="shared" si="42"/>
        <v>2.7273401994476086E-8</v>
      </c>
      <c r="AP18">
        <v>2.5154288434367502</v>
      </c>
      <c r="AQ18">
        <f t="shared" si="43"/>
        <v>3.80290064055831E-5</v>
      </c>
      <c r="AR18">
        <f t="shared" si="44"/>
        <v>8.2013724704182643E-6</v>
      </c>
      <c r="AS18">
        <f t="shared" si="45"/>
        <v>15.445709263167938</v>
      </c>
      <c r="AT18">
        <f t="shared" si="46"/>
        <v>10.636656235893868</v>
      </c>
      <c r="AU18">
        <f t="shared" si="47"/>
        <v>2.2935416583027917</v>
      </c>
      <c r="AV18">
        <f t="shared" si="48"/>
        <v>0.22188718513395855</v>
      </c>
      <c r="AW18">
        <f t="shared" si="49"/>
        <v>1.213906012810459E-2</v>
      </c>
      <c r="AX18">
        <f t="shared" si="50"/>
        <v>0.22188718340547073</v>
      </c>
      <c r="AY18">
        <f t="shared" si="51"/>
        <v>1.7284878250922731E-9</v>
      </c>
      <c r="AZ18">
        <f t="shared" si="52"/>
        <v>891419.29711468448</v>
      </c>
      <c r="BA18">
        <f t="shared" si="53"/>
        <v>1.5118299412367905E-5</v>
      </c>
      <c r="BB18" s="15">
        <f t="shared" si="54"/>
        <v>923623.43351159396</v>
      </c>
      <c r="BC18" s="20">
        <f t="shared" si="55"/>
        <v>6771.3108553439379</v>
      </c>
      <c r="BD18" s="19">
        <f t="shared" si="56"/>
        <v>0.73853903895935735</v>
      </c>
      <c r="BE18" s="15">
        <v>1274669.7582</v>
      </c>
      <c r="BF18" s="16">
        <f>テーブル2[[#This Row],[q_P]]/テーブル2[[#This Row],[q_M]]</f>
        <v>0.72459821657326418</v>
      </c>
      <c r="BG18">
        <v>1</v>
      </c>
      <c r="BH18">
        <v>-0.1313905309823481</v>
      </c>
      <c r="BI18">
        <v>4.5999999999999999E-2</v>
      </c>
      <c r="BJ18">
        <v>5625</v>
      </c>
      <c r="BK18" s="21">
        <f>1+テーブル2[[#This Row],[A_corr]]*EXP(-テーブル2[[#This Row],[(Tsub-40)^2]]/テーブル2[[#This Row],[σ_corr]])</f>
        <v>1.0404817062614953</v>
      </c>
      <c r="BL18">
        <f>テーブル2[[#This Row],[Ts]]-テーブル2[[#This Row],[Tin]]</f>
        <v>66.810923555358727</v>
      </c>
      <c r="BM18">
        <f>テーブル2[[#This Row],[q_P]]*0.000001</f>
        <v>0.92362343351159393</v>
      </c>
      <c r="BN18">
        <f>テーブル2[[#This Row],[Tsub]]</f>
        <v>66.810923555358727</v>
      </c>
      <c r="BO18">
        <f>テーブル2[[#This Row],[Fcorr]]</f>
        <v>1.0404817062614953</v>
      </c>
      <c r="BP18">
        <f>(テーブル2[[#This Row],[Tsub]]-40)^2</f>
        <v>718.82562189128942</v>
      </c>
      <c r="BQ18" s="10">
        <v>0.97937652577915113</v>
      </c>
      <c r="BR18">
        <v>4.2670000000000003</v>
      </c>
    </row>
    <row r="19" spans="1:70" x14ac:dyDescent="0.15">
      <c r="A19" s="9" t="s">
        <v>103</v>
      </c>
      <c r="B19">
        <v>14478989.699999999</v>
      </c>
      <c r="C19" s="21" cm="1">
        <f t="array" ref="C19">TsatFromP(テーブル2[[#This Row],[P]])</f>
        <v>612.48370255129544</v>
      </c>
      <c r="D19">
        <f t="array" ref="D19">RhoGFromP(テーブル2[[#This Row],[P]])</f>
        <v>91.580011978832957</v>
      </c>
      <c r="E19">
        <f t="array" ref="E19">RhoFFromP(テーブル2[[#This Row],[P]])</f>
        <v>612.82339669043313</v>
      </c>
      <c r="F19">
        <f t="array" ref="F19">HgFromP(テーブル2[[#This Row],[P]])</f>
        <v>2625160.7264840975</v>
      </c>
      <c r="G19">
        <f t="array" ref="G19">HfFromP(テーブル2[[#This Row],[P]])</f>
        <v>1589756.0808983105</v>
      </c>
      <c r="H19">
        <f t="array" ref="H19">MuGFromP(テーブル2[[#This Row],[P]])</f>
        <v>2.2406167499944594E-5</v>
      </c>
      <c r="I19">
        <f t="array" ref="I19">MuFFromP(テーブル2[[#This Row],[P]])</f>
        <v>7.0614185977515193E-5</v>
      </c>
      <c r="J19">
        <f t="array" ref="J19">KfFromP(テーブル2[[#This Row],[P]])</f>
        <v>0.48330738078477459</v>
      </c>
      <c r="K19">
        <f t="array" ref="K19">CpFFromP(テーブル2[[#This Row],[P]])</f>
        <v>8121.4802011854335</v>
      </c>
      <c r="L19">
        <f t="array" ref="L19">SigmaFromP(テーブル2[[#This Row],[P]])</f>
        <v>5.7214247636284644E-3</v>
      </c>
      <c r="M19" s="22">
        <v>271</v>
      </c>
      <c r="N19">
        <v>2688.9479999999999</v>
      </c>
      <c r="O19" s="8">
        <v>8.7843467213758383E-5</v>
      </c>
      <c r="P19" s="8">
        <v>2.9843873572041598E-2</v>
      </c>
      <c r="Q19">
        <v>1.1773735336561952E-2</v>
      </c>
      <c r="R19">
        <v>4.2545000000000002</v>
      </c>
      <c r="S19" s="15">
        <v>647947.73046875</v>
      </c>
      <c r="T19">
        <v>557.53888888888889</v>
      </c>
      <c r="U19" s="12">
        <f>+T19+BG19*S19*テーブル2[[#This Row],[Pw]]*R19/(N19*O19*K19)</f>
        <v>600.42499636992181</v>
      </c>
      <c r="V19">
        <v>0.03</v>
      </c>
      <c r="W19" s="8">
        <f t="shared" si="29"/>
        <v>1136437.7149280838</v>
      </c>
      <c r="X19">
        <v>1.8069825945164094E-2</v>
      </c>
      <c r="Y19">
        <f t="shared" si="32"/>
        <v>7.4391448545865719</v>
      </c>
      <c r="Z19">
        <f t="shared" si="30"/>
        <v>7.4391448717583062</v>
      </c>
      <c r="AA19">
        <f t="shared" si="33"/>
        <v>-1.7171734256749005E-8</v>
      </c>
      <c r="AB19">
        <f t="shared" si="34"/>
        <v>2.5762736125966368E-5</v>
      </c>
      <c r="AC19">
        <v>627.52932359403883</v>
      </c>
      <c r="AD19">
        <f t="shared" si="31"/>
        <v>27005.214656034936</v>
      </c>
      <c r="AE19">
        <f t="shared" si="6"/>
        <v>600.42499636992159</v>
      </c>
      <c r="AF19" s="14">
        <f t="shared" si="35"/>
        <v>0</v>
      </c>
      <c r="AG19">
        <v>2.5782022424969371E-5</v>
      </c>
      <c r="AH19">
        <f t="shared" si="36"/>
        <v>26.649769196813612</v>
      </c>
      <c r="AI19">
        <f t="shared" si="37"/>
        <v>0.20853504844415208</v>
      </c>
      <c r="AJ19">
        <f t="shared" si="38"/>
        <v>46.659428989490543</v>
      </c>
      <c r="AK19">
        <f t="array" ref="AK19">+S19*テーブル2[[#This Row],[F_form]]/(E19*CpFromTP((テーブル2[[#This Row],[Tin]]+テーブル2[[#This Row],[Tf]])/2,テーブル2[[#This Row],[P]])*AI19)</f>
        <v>0.8999307821157283</v>
      </c>
      <c r="AL19">
        <f t="shared" si="39"/>
        <v>1.186598293632519</v>
      </c>
      <c r="AM19">
        <f t="shared" si="40"/>
        <v>612.48370254356598</v>
      </c>
      <c r="AN19">
        <f t="shared" si="41"/>
        <v>7.7294544098549522E-9</v>
      </c>
      <c r="AO19">
        <f t="shared" si="42"/>
        <v>1.928629900300308E-8</v>
      </c>
      <c r="AP19">
        <v>2.8848824909490522</v>
      </c>
      <c r="AQ19">
        <f t="shared" si="43"/>
        <v>5.4214220677271988E-5</v>
      </c>
      <c r="AR19">
        <f t="shared" si="44"/>
        <v>1.2900654361986187E-5</v>
      </c>
      <c r="AS19">
        <f t="shared" si="45"/>
        <v>23.347166339367231</v>
      </c>
      <c r="AT19">
        <f t="shared" si="46"/>
        <v>12.702378104174656</v>
      </c>
      <c r="AU19">
        <f t="shared" si="47"/>
        <v>2.6488910333099986</v>
      </c>
      <c r="AV19">
        <f t="shared" si="48"/>
        <v>0.2359914576390536</v>
      </c>
      <c r="AW19">
        <f t="shared" si="49"/>
        <v>1.6228633277820294E-2</v>
      </c>
      <c r="AX19">
        <f t="shared" si="50"/>
        <v>0.23599145685042391</v>
      </c>
      <c r="AY19">
        <f t="shared" si="51"/>
        <v>7.8862968933002264E-10</v>
      </c>
      <c r="AZ19">
        <f t="shared" si="52"/>
        <v>1035404.645585787</v>
      </c>
      <c r="BA19">
        <f t="shared" si="53"/>
        <v>1.8792523039452087E-5</v>
      </c>
      <c r="BB19" s="15">
        <f t="shared" si="54"/>
        <v>651192.29163135006</v>
      </c>
      <c r="BC19" s="20">
        <f t="shared" si="55"/>
        <v>3244.5611626000609</v>
      </c>
      <c r="BD19" s="19">
        <f t="shared" si="56"/>
        <v>0.50074427458104098</v>
      </c>
      <c r="BE19" s="15">
        <v>1180892.9639999999</v>
      </c>
      <c r="BF19" s="16">
        <f>テーブル2[[#This Row],[q_P]]/テーブル2[[#This Row],[q_M]]</f>
        <v>0.55144057207825836</v>
      </c>
      <c r="BG19">
        <v>1</v>
      </c>
      <c r="BH19">
        <v>3.7567660942059797E-3</v>
      </c>
      <c r="BI19">
        <v>4.5999999999999999E-2</v>
      </c>
      <c r="BJ19">
        <v>5625</v>
      </c>
      <c r="BK19" s="21">
        <f>1+テーブル2[[#This Row],[A_corr]]*EXP(-テーブル2[[#This Row],[(Tsub-40)^2]]/テーブル2[[#This Row],[σ_corr]])</f>
        <v>1.0442093003538542</v>
      </c>
      <c r="BL19">
        <f>テーブル2[[#This Row],[Ts]]-テーブル2[[#This Row],[Tin]]</f>
        <v>54.944813662406546</v>
      </c>
      <c r="BM19">
        <f>テーブル2[[#This Row],[q_P]]*0.000001</f>
        <v>0.65119229163135006</v>
      </c>
      <c r="BN19">
        <f>テーブル2[[#This Row],[Tsub]]</f>
        <v>54.944813662406546</v>
      </c>
      <c r="BO19">
        <f>テーブル2[[#This Row],[Fcorr]]</f>
        <v>1.0442093003538542</v>
      </c>
      <c r="BP19">
        <f>(テーブル2[[#This Row],[Tsub]]-40)^2</f>
        <v>223.34745540405333</v>
      </c>
      <c r="BQ19" s="10">
        <v>0.95632728001527822</v>
      </c>
      <c r="BR19">
        <v>4.2670000000000003</v>
      </c>
    </row>
    <row r="20" spans="1:70" x14ac:dyDescent="0.15">
      <c r="A20" s="9" t="s">
        <v>104</v>
      </c>
      <c r="B20">
        <v>16650838.154999999</v>
      </c>
      <c r="C20" s="21" cm="1">
        <f t="array" ref="C20">TsatFromP(テーブル2[[#This Row],[P]])</f>
        <v>623.7467472920838</v>
      </c>
      <c r="D20">
        <f t="array" ref="D20">RhoGFromP(テーブル2[[#This Row],[P]])</f>
        <v>115.08174830522883</v>
      </c>
      <c r="E20">
        <f t="array" ref="E20">RhoFFromP(テーブル2[[#This Row],[P]])</f>
        <v>572.29121245744955</v>
      </c>
      <c r="F20">
        <f t="array" ref="F20">HgFromP(テーブル2[[#This Row],[P]])</f>
        <v>2559557.8321399409</v>
      </c>
      <c r="G20">
        <f t="array" ref="G20">HfFromP(テーブル2[[#This Row],[P]])</f>
        <v>1675797.4223693286</v>
      </c>
      <c r="H20">
        <f t="array" ref="H20">MuGFromP(テーブル2[[#This Row],[P]])</f>
        <v>2.3829582904311094E-5</v>
      </c>
      <c r="I20">
        <f t="array" ref="I20">MuFFromP(テーブル2[[#This Row],[P]])</f>
        <v>6.5509940250288218E-5</v>
      </c>
      <c r="J20">
        <f t="array" ref="J20">KfFromP(テーブル2[[#This Row],[P]])</f>
        <v>0.45915472043015876</v>
      </c>
      <c r="K20">
        <f t="array" ref="K20">CpFFromP(テーブル2[[#This Row],[P]])</f>
        <v>10285.252806144354</v>
      </c>
      <c r="L20">
        <f t="array" ref="L20">SigmaFromP(テーブル2[[#This Row],[P]])</f>
        <v>3.5437208597502243E-3</v>
      </c>
      <c r="M20">
        <v>272</v>
      </c>
      <c r="N20">
        <v>2687.5920000000001</v>
      </c>
      <c r="O20" s="8">
        <v>8.7843467213758383E-5</v>
      </c>
      <c r="P20" s="8">
        <v>2.9843873572041598E-2</v>
      </c>
      <c r="Q20">
        <v>1.1773735336561952E-2</v>
      </c>
      <c r="R20">
        <v>4.2545000000000002</v>
      </c>
      <c r="S20" s="15">
        <v>1255750.06640625</v>
      </c>
      <c r="T20">
        <v>529.53888888888889</v>
      </c>
      <c r="U20" s="12">
        <f>+T20+BG20*S20*テーブル2[[#This Row],[Pw]]*R20/(N20*O20*K20)</f>
        <v>595.20165131806129</v>
      </c>
      <c r="V20">
        <v>0.03</v>
      </c>
      <c r="W20" s="8">
        <f t="shared" si="29"/>
        <v>1224366.1886239857</v>
      </c>
      <c r="X20">
        <v>1.6462010911340728E-2</v>
      </c>
      <c r="Y20">
        <f t="shared" si="32"/>
        <v>7.7939669058850152</v>
      </c>
      <c r="Z20">
        <f t="shared" si="30"/>
        <v>7.7939669201516413</v>
      </c>
      <c r="AA20">
        <f t="shared" si="33"/>
        <v>-1.4266626102710234E-8</v>
      </c>
      <c r="AB20">
        <f t="shared" si="34"/>
        <v>1.6373376592761435E-5</v>
      </c>
      <c r="AC20">
        <v>659.08469050945325</v>
      </c>
      <c r="AD20">
        <f t="shared" si="31"/>
        <v>27770.121591671035</v>
      </c>
      <c r="AE20">
        <f t="shared" si="6"/>
        <v>595.20165131806129</v>
      </c>
      <c r="AF20" s="14">
        <f t="shared" si="35"/>
        <v>0</v>
      </c>
      <c r="AG20">
        <v>1.6411700230044151E-5</v>
      </c>
      <c r="AH20">
        <f t="shared" si="36"/>
        <v>25.971826932633167</v>
      </c>
      <c r="AI20">
        <f t="shared" si="37"/>
        <v>0.21303095360291072</v>
      </c>
      <c r="AJ20">
        <f t="shared" si="38"/>
        <v>30.542611019592503</v>
      </c>
      <c r="AK20">
        <f t="array" ref="AK20">+S20*テーブル2[[#This Row],[F_form]]/(E20*CpFromTP((テーブル2[[#This Row],[Tin]]+テーブル2[[#This Row],[Tf]])/2,テーブル2[[#This Row],[P]])*AI20)</f>
        <v>1.9647771947123649</v>
      </c>
      <c r="AL20">
        <f t="shared" si="39"/>
        <v>1.4674493516224545</v>
      </c>
      <c r="AM20">
        <f t="shared" si="40"/>
        <v>623.74674728214586</v>
      </c>
      <c r="AN20">
        <f t="shared" si="41"/>
        <v>9.9379349194350652E-9</v>
      </c>
      <c r="AO20">
        <f t="shared" si="42"/>
        <v>3.8323637282716092E-8</v>
      </c>
      <c r="AP20">
        <v>2.4762128019628538</v>
      </c>
      <c r="AQ20">
        <f t="shared" si="43"/>
        <v>3.7899402235645376E-5</v>
      </c>
      <c r="AR20">
        <f t="shared" si="44"/>
        <v>8.2250119336634335E-6</v>
      </c>
      <c r="AS20">
        <f t="shared" si="45"/>
        <v>15.306966164389465</v>
      </c>
      <c r="AT20">
        <f t="shared" si="46"/>
        <v>10.591540148203196</v>
      </c>
      <c r="AU20">
        <f t="shared" si="47"/>
        <v>2.2563258978952412</v>
      </c>
      <c r="AV20">
        <f t="shared" si="48"/>
        <v>0.21988690406761258</v>
      </c>
      <c r="AW20">
        <f t="shared" si="49"/>
        <v>1.2274049854025896E-2</v>
      </c>
      <c r="AX20">
        <f t="shared" si="50"/>
        <v>0.21988689233148487</v>
      </c>
      <c r="AY20">
        <f t="shared" si="51"/>
        <v>1.173612770855037E-8</v>
      </c>
      <c r="AZ20">
        <f t="shared" si="52"/>
        <v>883760.40977061237</v>
      </c>
      <c r="BA20">
        <f t="shared" si="53"/>
        <v>1.530538982982526E-5</v>
      </c>
      <c r="BB20" s="15">
        <f t="shared" si="54"/>
        <v>1266408.8744844501</v>
      </c>
      <c r="BC20" s="20">
        <f t="shared" si="55"/>
        <v>10658.808078200091</v>
      </c>
      <c r="BD20" s="19">
        <f t="shared" si="56"/>
        <v>0.84880012060870091</v>
      </c>
      <c r="BE20" s="15">
        <v>1500428.7072000001</v>
      </c>
      <c r="BF20" s="16">
        <f>テーブル2[[#This Row],[q_P]]/テーブル2[[#This Row],[q_M]]</f>
        <v>0.84403135477708757</v>
      </c>
      <c r="BG20">
        <v>1</v>
      </c>
      <c r="BH20">
        <v>-0.27208090547888958</v>
      </c>
      <c r="BI20">
        <v>4.5999999999999999E-2</v>
      </c>
      <c r="BJ20">
        <v>5625</v>
      </c>
      <c r="BK20" s="21">
        <f>1+テーブル2[[#This Row],[A_corr]]*EXP(-テーブル2[[#This Row],[(Tsub-40)^2]]/テーブル2[[#This Row],[σ_corr]])</f>
        <v>1.0272824280625039</v>
      </c>
      <c r="BL20">
        <f>テーブル2[[#This Row],[Ts]]-テーブル2[[#This Row],[Tin]]</f>
        <v>94.207858403194905</v>
      </c>
      <c r="BM20">
        <f>テーブル2[[#This Row],[q_P]]*0.000001</f>
        <v>1.2664088744844499</v>
      </c>
      <c r="BN20">
        <f>テーブル2[[#This Row],[Tsub]]</f>
        <v>94.207858403194905</v>
      </c>
      <c r="BO20">
        <f>テーブル2[[#This Row],[Fcorr]]</f>
        <v>1.0272824280625039</v>
      </c>
      <c r="BP20">
        <f>(テーブル2[[#This Row],[Tsub]]-40)^2</f>
        <v>2938.4919126608283</v>
      </c>
      <c r="BQ20" s="10">
        <v>0.97747276612651646</v>
      </c>
      <c r="BR20">
        <v>4.2670000000000003</v>
      </c>
    </row>
    <row r="21" spans="1:70" x14ac:dyDescent="0.15">
      <c r="A21" s="9" t="s">
        <v>105</v>
      </c>
      <c r="B21">
        <v>16650838.154999999</v>
      </c>
      <c r="C21" s="21" cm="1">
        <f t="array" ref="C21">TsatFromP(テーブル2[[#This Row],[P]])</f>
        <v>623.7467472920838</v>
      </c>
      <c r="D21">
        <f t="array" ref="D21">RhoGFromP(テーブル2[[#This Row],[P]])</f>
        <v>115.08174830522883</v>
      </c>
      <c r="E21">
        <f t="array" ref="E21">RhoFFromP(テーブル2[[#This Row],[P]])</f>
        <v>572.29121245744955</v>
      </c>
      <c r="F21">
        <f t="array" ref="F21">HgFromP(テーブル2[[#This Row],[P]])</f>
        <v>2559557.8321399409</v>
      </c>
      <c r="G21">
        <f t="array" ref="G21">HfFromP(テーブル2[[#This Row],[P]])</f>
        <v>1675797.4223693286</v>
      </c>
      <c r="H21">
        <f t="array" ref="H21">MuGFromP(テーブル2[[#This Row],[P]])</f>
        <v>2.3829582904311094E-5</v>
      </c>
      <c r="I21">
        <f t="array" ref="I21">MuFFromP(テーブル2[[#This Row],[P]])</f>
        <v>6.5509940250288218E-5</v>
      </c>
      <c r="J21">
        <f t="array" ref="J21">KfFromP(テーブル2[[#This Row],[P]])</f>
        <v>0.45915472043015876</v>
      </c>
      <c r="K21">
        <f t="array" ref="K21">CpFFromP(テーブル2[[#This Row],[P]])</f>
        <v>10285.252806144354</v>
      </c>
      <c r="L21">
        <f t="array" ref="L21">SigmaFromP(テーブル2[[#This Row],[P]])</f>
        <v>3.5437208597502243E-3</v>
      </c>
      <c r="M21" s="22">
        <v>273</v>
      </c>
      <c r="N21">
        <v>2770.3080000000004</v>
      </c>
      <c r="O21" s="8">
        <v>8.7843467213758383E-5</v>
      </c>
      <c r="P21" s="8">
        <v>2.9843873572041598E-2</v>
      </c>
      <c r="Q21">
        <v>1.1773735336561952E-2</v>
      </c>
      <c r="R21">
        <v>4.2545000000000002</v>
      </c>
      <c r="S21" s="15">
        <v>1604681.0839062501</v>
      </c>
      <c r="T21">
        <v>504.48333333333335</v>
      </c>
      <c r="U21" s="12">
        <f>+T21+BG21*S21*テーブル2[[#This Row],[Pw]]*R21/(N21*O21*K21)</f>
        <v>585.88624821087205</v>
      </c>
      <c r="V21">
        <v>0.03</v>
      </c>
      <c r="W21" s="8">
        <f t="shared" si="29"/>
        <v>1262048.4981628675</v>
      </c>
      <c r="X21">
        <v>1.6290988941210699E-2</v>
      </c>
      <c r="Y21">
        <f t="shared" si="32"/>
        <v>7.834770430461246</v>
      </c>
      <c r="Z21">
        <f t="shared" si="30"/>
        <v>7.8347704419592903</v>
      </c>
      <c r="AA21">
        <f t="shared" si="33"/>
        <v>-1.1498044294455667E-8</v>
      </c>
      <c r="AB21">
        <f t="shared" si="34"/>
        <v>1.5571994950689427E-5</v>
      </c>
      <c r="AC21">
        <v>669.95858096151062</v>
      </c>
      <c r="AD21">
        <f t="shared" si="31"/>
        <v>28475.724309918431</v>
      </c>
      <c r="AE21">
        <f t="shared" si="6"/>
        <v>585.88624891045777</v>
      </c>
      <c r="AF21" s="14">
        <f t="shared" si="35"/>
        <v>6.9958571202732855E-7</v>
      </c>
      <c r="AG21">
        <v>1.5618560010589244E-5</v>
      </c>
      <c r="AH21">
        <f t="shared" si="36"/>
        <v>27.308415172020059</v>
      </c>
      <c r="AI21">
        <f t="shared" si="37"/>
        <v>0.21844379342202522</v>
      </c>
      <c r="AJ21">
        <f t="shared" si="38"/>
        <v>29.805099388713902</v>
      </c>
      <c r="AK21">
        <f t="array" ref="AK21">+S21*テーブル2[[#This Row],[F_form]]/(E21*CpFromTP((テーブル2[[#This Row],[Tin]]+テーブル2[[#This Row],[Tf]])/2,テーブル2[[#This Row],[P]])*AI21)</f>
        <v>2.5807311322970898</v>
      </c>
      <c r="AL21">
        <f t="shared" si="39"/>
        <v>1.4674493516224545</v>
      </c>
      <c r="AM21">
        <f t="shared" si="40"/>
        <v>623.74674728447701</v>
      </c>
      <c r="AN21">
        <f t="shared" si="41"/>
        <v>7.6067863119533285E-9</v>
      </c>
      <c r="AO21">
        <f t="shared" si="42"/>
        <v>4.6565059899816754E-8</v>
      </c>
      <c r="AP21">
        <v>2.5100933124921783</v>
      </c>
      <c r="AQ21">
        <f t="shared" si="43"/>
        <v>3.6883196809524494E-5</v>
      </c>
      <c r="AR21">
        <f t="shared" si="44"/>
        <v>7.8325625352445303E-6</v>
      </c>
      <c r="AS21">
        <f t="shared" si="45"/>
        <v>14.946980046368099</v>
      </c>
      <c r="AT21">
        <f t="shared" si="46"/>
        <v>10.472546379219022</v>
      </c>
      <c r="AU21">
        <f t="shared" si="47"/>
        <v>2.2876627578646982</v>
      </c>
      <c r="AV21">
        <f t="shared" si="48"/>
        <v>0.22243055462748007</v>
      </c>
      <c r="AW21">
        <f t="shared" si="49"/>
        <v>1.1673306435515538E-2</v>
      </c>
      <c r="AX21">
        <f t="shared" si="50"/>
        <v>0.22243055098949394</v>
      </c>
      <c r="AY21">
        <f t="shared" si="51"/>
        <v>3.6379861345636755E-9</v>
      </c>
      <c r="AZ21">
        <f t="shared" si="52"/>
        <v>883760.40977061237</v>
      </c>
      <c r="BA21">
        <f t="shared" si="53"/>
        <v>1.4693954454189012E-5</v>
      </c>
      <c r="BB21" s="15">
        <f t="shared" si="54"/>
        <v>1602776.9803829659</v>
      </c>
      <c r="BC21" s="20">
        <f t="shared" si="55"/>
        <v>-1904.1035232841969</v>
      </c>
      <c r="BD21" s="19">
        <f t="shared" si="56"/>
        <v>-0.11865931133487703</v>
      </c>
      <c r="BE21" s="15">
        <v>1757446.5875999997</v>
      </c>
      <c r="BF21" s="16">
        <f>テーブル2[[#This Row],[q_P]]/テーブル2[[#This Row],[q_M]]</f>
        <v>0.91199185892286294</v>
      </c>
      <c r="BG21">
        <v>1</v>
      </c>
      <c r="BH21">
        <v>-0.40001197272001127</v>
      </c>
      <c r="BI21">
        <v>4.5999999999999999E-2</v>
      </c>
      <c r="BJ21">
        <v>5625</v>
      </c>
      <c r="BK21" s="21">
        <f>1+テーブル2[[#This Row],[A_corr]]*EXP(-テーブル2[[#This Row],[(Tsub-40)^2]]/テーブル2[[#This Row],[σ_corr]])</f>
        <v>1.0150551322222299</v>
      </c>
      <c r="BL21">
        <f>テーブル2[[#This Row],[Ts]]-テーブル2[[#This Row],[Tin]]</f>
        <v>119.26341395875045</v>
      </c>
      <c r="BM21">
        <f>テーブル2[[#This Row],[q_P]]*0.000001</f>
        <v>1.6027769803829659</v>
      </c>
      <c r="BN21">
        <f>テーブル2[[#This Row],[Tsub]]</f>
        <v>119.26341395875045</v>
      </c>
      <c r="BO21">
        <f>テーブル2[[#This Row],[Fcorr]]</f>
        <v>1.0150551322222299</v>
      </c>
      <c r="BP21">
        <f>(テーブル2[[#This Row],[Tsub]]-40)^2</f>
        <v>6282.6887923962349</v>
      </c>
      <c r="BQ21" s="10">
        <v>0.98813455059064659</v>
      </c>
      <c r="BR21">
        <v>4.2670000000000003</v>
      </c>
    </row>
    <row r="22" spans="1:70" x14ac:dyDescent="0.15">
      <c r="A22" s="9" t="s">
        <v>106</v>
      </c>
      <c r="B22">
        <v>14478989.699999999</v>
      </c>
      <c r="C22" s="21" cm="1">
        <f t="array" ref="C22">TsatFromP(テーブル2[[#This Row],[P]])</f>
        <v>612.48370255129544</v>
      </c>
      <c r="D22">
        <f t="array" ref="D22">RhoGFromP(テーブル2[[#This Row],[P]])</f>
        <v>91.580011978832957</v>
      </c>
      <c r="E22">
        <f t="array" ref="E22">RhoFFromP(テーブル2[[#This Row],[P]])</f>
        <v>612.82339669043313</v>
      </c>
      <c r="F22">
        <f t="array" ref="F22">HgFromP(テーブル2[[#This Row],[P]])</f>
        <v>2625160.7264840975</v>
      </c>
      <c r="G22">
        <f t="array" ref="G22">HfFromP(テーブル2[[#This Row],[P]])</f>
        <v>1589756.0808983105</v>
      </c>
      <c r="H22">
        <f t="array" ref="H22">MuGFromP(テーブル2[[#This Row],[P]])</f>
        <v>2.2406167499944594E-5</v>
      </c>
      <c r="I22">
        <f t="array" ref="I22">MuFFromP(テーブル2[[#This Row],[P]])</f>
        <v>7.0614185977515193E-5</v>
      </c>
      <c r="J22">
        <f t="array" ref="J22">KfFromP(テーブル2[[#This Row],[P]])</f>
        <v>0.48330738078477459</v>
      </c>
      <c r="K22">
        <f t="array" ref="K22">CpFFromP(テーブル2[[#This Row],[P]])</f>
        <v>8121.4802011854335</v>
      </c>
      <c r="L22">
        <f t="array" ref="L22">SigmaFromP(テーブル2[[#This Row],[P]])</f>
        <v>5.7214247636284644E-3</v>
      </c>
      <c r="M22">
        <v>274</v>
      </c>
      <c r="N22">
        <v>2722.848</v>
      </c>
      <c r="O22" s="8">
        <v>8.7843467213758383E-5</v>
      </c>
      <c r="P22" s="8">
        <v>2.9843873572041598E-2</v>
      </c>
      <c r="Q22">
        <v>1.1773735336561952E-2</v>
      </c>
      <c r="R22">
        <v>4.2545000000000002</v>
      </c>
      <c r="S22" s="15">
        <v>986608.45715625002</v>
      </c>
      <c r="T22">
        <v>528.26111111111106</v>
      </c>
      <c r="U22" s="12">
        <f>+T22+BG22*S22*テーブル2[[#This Row],[Pw]]*R22/(N22*O22*K22)</f>
        <v>592.74934693231057</v>
      </c>
      <c r="V22">
        <v>0.03</v>
      </c>
      <c r="W22" s="8">
        <f t="shared" si="29"/>
        <v>1150764.9680159315</v>
      </c>
      <c r="X22">
        <v>1.7987417136489485E-2</v>
      </c>
      <c r="Y22">
        <f t="shared" si="32"/>
        <v>7.456166489642114</v>
      </c>
      <c r="Z22">
        <f t="shared" si="30"/>
        <v>7.4561665009139944</v>
      </c>
      <c r="AA22">
        <f t="shared" si="33"/>
        <v>-1.1271880318020067E-8</v>
      </c>
      <c r="AB22">
        <f t="shared" si="34"/>
        <v>2.5240337618482405E-5</v>
      </c>
      <c r="AC22">
        <v>636.97796855755178</v>
      </c>
      <c r="AD22">
        <f t="shared" si="31"/>
        <v>27283.246476804561</v>
      </c>
      <c r="AE22">
        <f t="shared" si="6"/>
        <v>592.74934693231035</v>
      </c>
      <c r="AF22" s="14">
        <f t="shared" si="35"/>
        <v>0</v>
      </c>
      <c r="AG22">
        <v>2.5268834435227677E-5</v>
      </c>
      <c r="AH22">
        <f t="shared" si="36"/>
        <v>27.201338667224068</v>
      </c>
      <c r="AI22">
        <f t="shared" si="37"/>
        <v>0.21068201820357418</v>
      </c>
      <c r="AJ22">
        <f t="shared" si="38"/>
        <v>46.201498368746833</v>
      </c>
      <c r="AK22">
        <f t="array" ref="AK22">+S22*テーブル2[[#This Row],[F_form]]/(E22*CpFromTP((テーブル2[[#This Row],[Tin]]+テーブル2[[#This Row],[Tf]])/2,テーブル2[[#This Row],[P]])*AI22)</f>
        <v>1.4672509433322618</v>
      </c>
      <c r="AL22">
        <f t="shared" si="39"/>
        <v>1.186598293632519</v>
      </c>
      <c r="AM22">
        <f t="shared" si="40"/>
        <v>612.48370253304518</v>
      </c>
      <c r="AN22">
        <f t="shared" si="41"/>
        <v>1.8250261746288743E-8</v>
      </c>
      <c r="AO22">
        <f t="shared" si="42"/>
        <v>2.8496816745272223E-8</v>
      </c>
      <c r="AP22">
        <v>2.9030978255326567</v>
      </c>
      <c r="AQ22">
        <f t="shared" si="43"/>
        <v>5.3536026468919034E-5</v>
      </c>
      <c r="AR22">
        <f t="shared" si="44"/>
        <v>1.2648665625986475E-5</v>
      </c>
      <c r="AS22">
        <f t="shared" si="45"/>
        <v>23.126800952525723</v>
      </c>
      <c r="AT22">
        <f t="shared" si="46"/>
        <v>12.654960796971071</v>
      </c>
      <c r="AU22">
        <f t="shared" si="47"/>
        <v>2.6661726809929771</v>
      </c>
      <c r="AV22">
        <f t="shared" si="48"/>
        <v>0.23692514453967961</v>
      </c>
      <c r="AW22">
        <f t="shared" si="49"/>
        <v>1.5899560551950426E-2</v>
      </c>
      <c r="AX22">
        <f t="shared" si="50"/>
        <v>0.23692514301721523</v>
      </c>
      <c r="AY22">
        <f t="shared" si="51"/>
        <v>1.5224643767908219E-9</v>
      </c>
      <c r="AZ22">
        <f t="shared" si="52"/>
        <v>1035404.645585787</v>
      </c>
      <c r="BA22">
        <f t="shared" si="53"/>
        <v>1.8440999816840935E-5</v>
      </c>
      <c r="BB22" s="15">
        <f t="shared" si="54"/>
        <v>980521.97864072281</v>
      </c>
      <c r="BC22" s="20">
        <f t="shared" si="55"/>
        <v>-6086.4785155272111</v>
      </c>
      <c r="BD22" s="19">
        <f t="shared" si="56"/>
        <v>-0.61690921777323571</v>
      </c>
      <c r="BE22" s="15">
        <v>1389285.8399999999</v>
      </c>
      <c r="BF22" s="16">
        <f>テーブル2[[#This Row],[q_P]]/テーブル2[[#This Row],[q_M]]</f>
        <v>0.70577411099268306</v>
      </c>
      <c r="BG22">
        <v>1</v>
      </c>
      <c r="BH22">
        <v>-0.11111461650440628</v>
      </c>
      <c r="BI22">
        <v>4.5999999999999999E-2</v>
      </c>
      <c r="BJ22">
        <v>5625</v>
      </c>
      <c r="BK22" s="21">
        <f>1+テーブル2[[#This Row],[A_corr]]*EXP(-テーブル2[[#This Row],[(Tsub-40)^2]]/テーブル2[[#This Row],[σ_corr]])</f>
        <v>1.0324913042158437</v>
      </c>
      <c r="BL22">
        <f>テーブル2[[#This Row],[Ts]]-テーブル2[[#This Row],[Tin]]</f>
        <v>84.222591440184374</v>
      </c>
      <c r="BM22">
        <f>テーブル2[[#This Row],[q_P]]*0.000001</f>
        <v>0.98052197864072277</v>
      </c>
      <c r="BN22">
        <f>テーブル2[[#This Row],[Tsub]]</f>
        <v>84.222591440184374</v>
      </c>
      <c r="BO22">
        <f>テーブル2[[#This Row],[Fcorr]]</f>
        <v>1.0324913042158437</v>
      </c>
      <c r="BP22">
        <f>(テーブル2[[#This Row],[Tsub]]-40)^2</f>
        <v>1955.6375936854683</v>
      </c>
      <c r="BQ22" s="10">
        <v>1.0002226381708179</v>
      </c>
      <c r="BR22">
        <v>4.2670000000000003</v>
      </c>
    </row>
    <row r="23" spans="1:70" x14ac:dyDescent="0.15">
      <c r="A23" s="9" t="s">
        <v>107</v>
      </c>
      <c r="B23">
        <v>14478989.699999999</v>
      </c>
      <c r="C23" s="21" cm="1">
        <f t="array" ref="C23">TsatFromP(テーブル2[[#This Row],[P]])</f>
        <v>612.48370255129544</v>
      </c>
      <c r="D23">
        <f t="array" ref="D23">RhoGFromP(テーブル2[[#This Row],[P]])</f>
        <v>91.580011978832957</v>
      </c>
      <c r="E23">
        <f t="array" ref="E23">RhoFFromP(テーブル2[[#This Row],[P]])</f>
        <v>612.82339669043313</v>
      </c>
      <c r="F23">
        <f t="array" ref="F23">HgFromP(テーブル2[[#This Row],[P]])</f>
        <v>2625160.7264840975</v>
      </c>
      <c r="G23">
        <f t="array" ref="G23">HfFromP(テーブル2[[#This Row],[P]])</f>
        <v>1589756.0808983105</v>
      </c>
      <c r="H23">
        <f t="array" ref="H23">MuGFromP(テーブル2[[#This Row],[P]])</f>
        <v>2.2406167499944594E-5</v>
      </c>
      <c r="I23">
        <f t="array" ref="I23">MuFFromP(テーブル2[[#This Row],[P]])</f>
        <v>7.0614185977515193E-5</v>
      </c>
      <c r="J23">
        <f t="array" ref="J23">KfFromP(テーブル2[[#This Row],[P]])</f>
        <v>0.48330738078477459</v>
      </c>
      <c r="K23">
        <f t="array" ref="K23">CpFFromP(テーブル2[[#This Row],[P]])</f>
        <v>8121.4802011854335</v>
      </c>
      <c r="L23">
        <f t="array" ref="L23">SigmaFromP(テーブル2[[#This Row],[P]])</f>
        <v>5.7214247636284644E-3</v>
      </c>
      <c r="M23" s="22">
        <v>275</v>
      </c>
      <c r="N23">
        <v>3354.7440000000001</v>
      </c>
      <c r="O23" s="8">
        <v>8.7843467213758383E-5</v>
      </c>
      <c r="P23" s="8">
        <v>2.9843873572041598E-2</v>
      </c>
      <c r="Q23">
        <v>1.1773735336561952E-2</v>
      </c>
      <c r="R23">
        <v>4.2545000000000002</v>
      </c>
      <c r="S23" s="15">
        <v>329797.58453125</v>
      </c>
      <c r="T23">
        <v>590.26111111111106</v>
      </c>
      <c r="U23" s="12">
        <f>+T23+BG23*S23*テーブル2[[#This Row],[Pw]]*R23/(N23*O23*K23)</f>
        <v>607.75744855194284</v>
      </c>
      <c r="V23">
        <v>0.03</v>
      </c>
      <c r="W23" s="8">
        <f t="shared" si="29"/>
        <v>1417824.965573414</v>
      </c>
      <c r="X23">
        <v>1.6693187942087306E-2</v>
      </c>
      <c r="Y23">
        <f t="shared" si="32"/>
        <v>7.7398110504563666</v>
      </c>
      <c r="Z23">
        <f t="shared" si="30"/>
        <v>7.7398110599011058</v>
      </c>
      <c r="AA23">
        <f t="shared" si="33"/>
        <v>-9.4447392129382024E-9</v>
      </c>
      <c r="AB23">
        <f t="shared" si="34"/>
        <v>1.7916480839867945E-5</v>
      </c>
      <c r="AC23">
        <v>617.8556351700214</v>
      </c>
      <c r="AD23">
        <f t="shared" si="31"/>
        <v>32383.014299600702</v>
      </c>
      <c r="AE23">
        <f t="shared" si="6"/>
        <v>607.75744873049916</v>
      </c>
      <c r="AF23" s="14">
        <f t="shared" si="35"/>
        <v>1.7855631995189469E-7</v>
      </c>
      <c r="AG23">
        <v>1.7923606428742971E-5</v>
      </c>
      <c r="AH23">
        <f t="shared" si="36"/>
        <v>38.320637728568364</v>
      </c>
      <c r="AI23">
        <f t="shared" si="37"/>
        <v>0.25006257279372485</v>
      </c>
      <c r="AJ23">
        <f t="shared" si="38"/>
        <v>38.897122512015294</v>
      </c>
      <c r="AK23">
        <f t="array" ref="AK23">+S23*テーブル2[[#This Row],[F_form]]/(E23*CpFromTP((テーブル2[[#This Row],[Tin]]+テーブル2[[#This Row],[Tf]])/2,テーブル2[[#This Row],[P]])*AI23)</f>
        <v>0.33030086878636589</v>
      </c>
      <c r="AL23">
        <f t="shared" si="39"/>
        <v>1.186598293632519</v>
      </c>
      <c r="AM23">
        <f t="shared" si="40"/>
        <v>612.48370254845997</v>
      </c>
      <c r="AN23">
        <f t="shared" si="41"/>
        <v>2.8354634196148254E-9</v>
      </c>
      <c r="AO23">
        <f t="shared" si="42"/>
        <v>7.1255888750252369E-9</v>
      </c>
      <c r="AP23">
        <v>3.2033073388127788</v>
      </c>
      <c r="AQ23">
        <f t="shared" si="43"/>
        <v>4.397159887702641E-5</v>
      </c>
      <c r="AR23">
        <f t="shared" si="44"/>
        <v>8.9653660088089979E-6</v>
      </c>
      <c r="AS23">
        <f t="shared" si="45"/>
        <v>19.456293095705867</v>
      </c>
      <c r="AT23">
        <f t="shared" si="46"/>
        <v>11.790852851055453</v>
      </c>
      <c r="AU23">
        <f t="shared" si="47"/>
        <v>2.9484509993671524</v>
      </c>
      <c r="AV23">
        <f t="shared" si="48"/>
        <v>0.25485633944562647</v>
      </c>
      <c r="AW23">
        <f t="shared" si="49"/>
        <v>1.1286068209434185E-2</v>
      </c>
      <c r="AX23">
        <f t="shared" si="50"/>
        <v>0.2548563379424329</v>
      </c>
      <c r="AY23">
        <f t="shared" si="51"/>
        <v>1.5031935696185883E-9</v>
      </c>
      <c r="AZ23">
        <f t="shared" si="52"/>
        <v>1035404.645585787</v>
      </c>
      <c r="BA23">
        <f t="shared" si="53"/>
        <v>1.3726937263947742E-5</v>
      </c>
      <c r="BB23" s="15">
        <f t="shared" si="54"/>
        <v>329376.46127001889</v>
      </c>
      <c r="BC23" s="20">
        <f t="shared" si="55"/>
        <v>-421.12326123111416</v>
      </c>
      <c r="BD23" s="19">
        <f t="shared" si="56"/>
        <v>-0.12769143286166504</v>
      </c>
      <c r="BE23" s="15">
        <v>1041964.3799999998</v>
      </c>
      <c r="BF23" s="16">
        <f>テーブル2[[#This Row],[q_P]]/テーブル2[[#This Row],[q_M]]</f>
        <v>0.31611105676186257</v>
      </c>
      <c r="BG23">
        <v>1</v>
      </c>
      <c r="BH23">
        <v>9.9644021126698221E-2</v>
      </c>
      <c r="BI23">
        <v>4.5999999999999999E-2</v>
      </c>
      <c r="BJ23">
        <v>5625</v>
      </c>
      <c r="BK23" s="21">
        <f>1+テーブル2[[#This Row],[A_corr]]*EXP(-テーブル2[[#This Row],[(Tsub-40)^2]]/テーブル2[[#This Row],[σ_corr]])</f>
        <v>1.043486788240767</v>
      </c>
      <c r="BL23">
        <f>テーブル2[[#This Row],[Ts]]-テーブル2[[#This Row],[Tin]]</f>
        <v>22.222591440184374</v>
      </c>
      <c r="BM23">
        <f>テーブル2[[#This Row],[q_P]]*0.000001</f>
        <v>0.32937646127001885</v>
      </c>
      <c r="BN23">
        <f>テーブル2[[#This Row],[Tsub]]</f>
        <v>22.222591440184374</v>
      </c>
      <c r="BO23">
        <f>テーブル2[[#This Row],[Fcorr]]</f>
        <v>1.043486788240767</v>
      </c>
      <c r="BP23">
        <f>(テーブル2[[#This Row],[Tsub]]-40)^2</f>
        <v>316.03625510260588</v>
      </c>
      <c r="BQ23" s="10">
        <v>0.9781936688123023</v>
      </c>
      <c r="BR23">
        <v>4.2670000000000003</v>
      </c>
    </row>
    <row r="24" spans="1:70" x14ac:dyDescent="0.15">
      <c r="A24" s="9" t="s">
        <v>108</v>
      </c>
      <c r="B24">
        <v>16547416.799999999</v>
      </c>
      <c r="C24" s="21" cm="1">
        <f t="array" ref="C24">TsatFromP(テーブル2[[#This Row],[P]])</f>
        <v>623.23870133313642</v>
      </c>
      <c r="D24">
        <f t="array" ref="D24">RhoGFromP(テーブル2[[#This Row],[P]])</f>
        <v>113.82300371015133</v>
      </c>
      <c r="E24">
        <f t="array" ref="E24">RhoFFromP(テーブル2[[#This Row],[P]])</f>
        <v>574.34988711113044</v>
      </c>
      <c r="F24">
        <f t="array" ref="F24">HgFromP(テーブル2[[#This Row],[P]])</f>
        <v>2563035.5779140079</v>
      </c>
      <c r="G24">
        <f t="array" ref="G24">HfFromP(テーブル2[[#This Row],[P]])</f>
        <v>1671616.2807993235</v>
      </c>
      <c r="H24">
        <f t="array" ref="H24">MuGFromP(テーブル2[[#This Row],[P]])</f>
        <v>2.3752482411014488E-5</v>
      </c>
      <c r="I24">
        <f t="array" ref="I24">MuFFromP(テーブル2[[#This Row],[P]])</f>
        <v>6.5759231557403181E-5</v>
      </c>
      <c r="J24">
        <f t="array" ref="J24">KfFromP(テーブル2[[#This Row],[P]])</f>
        <v>0.46027765484939753</v>
      </c>
      <c r="K24">
        <f t="array" ref="K24">CpFFromP(テーブル2[[#This Row],[P]])</f>
        <v>10140.600460117175</v>
      </c>
      <c r="L24">
        <f t="array" ref="L24">SigmaFromP(テーブル2[[#This Row],[P]])</f>
        <v>3.6380461586323874E-3</v>
      </c>
      <c r="M24">
        <v>276</v>
      </c>
      <c r="N24">
        <v>3404.9160000000002</v>
      </c>
      <c r="O24" s="8">
        <v>8.7843467213758383E-5</v>
      </c>
      <c r="P24" s="8">
        <v>2.9843873572041598E-2</v>
      </c>
      <c r="Q24">
        <v>1.1773735336561952E-2</v>
      </c>
      <c r="R24">
        <v>4.2545000000000002</v>
      </c>
      <c r="S24" s="15">
        <v>580584.88390625</v>
      </c>
      <c r="T24">
        <v>589.70555555555552</v>
      </c>
      <c r="U24" s="12">
        <f>+T24+BG24*S24*テーブル2[[#This Row],[Pw]]*R24/(N24*O24*K24)</f>
        <v>614.01023517127635</v>
      </c>
      <c r="V24">
        <v>0.03</v>
      </c>
      <c r="W24" s="8">
        <f t="shared" si="29"/>
        <v>1545271.7469594833</v>
      </c>
      <c r="X24">
        <v>1.5267549608855889E-2</v>
      </c>
      <c r="Y24">
        <f t="shared" si="32"/>
        <v>8.093107890663477</v>
      </c>
      <c r="Z24">
        <f t="shared" si="30"/>
        <v>8.0931078934007719</v>
      </c>
      <c r="AA24">
        <f t="shared" si="33"/>
        <v>-2.73729483524221E-9</v>
      </c>
      <c r="AB24">
        <f t="shared" si="34"/>
        <v>1.1332711520924359E-5</v>
      </c>
      <c r="AC24">
        <v>633.09212437650388</v>
      </c>
      <c r="AD24">
        <f t="shared" si="31"/>
        <v>33753.168307306951</v>
      </c>
      <c r="AE24">
        <f t="shared" si="6"/>
        <v>614.01023550219759</v>
      </c>
      <c r="AF24" s="14">
        <f t="shared" si="35"/>
        <v>3.3092123885580804E-7</v>
      </c>
      <c r="AG24">
        <v>1.134560015166025E-5</v>
      </c>
      <c r="AH24">
        <f t="shared" si="36"/>
        <v>38.522602311885002</v>
      </c>
      <c r="AI24">
        <f t="shared" si="37"/>
        <v>0.25898197508119558</v>
      </c>
      <c r="AJ24">
        <f t="shared" si="38"/>
        <v>25.66355540556583</v>
      </c>
      <c r="AK24">
        <f t="array" ref="AK24">+S24*テーブル2[[#This Row],[F_form]]/(E24*CpFromTP((テーブル2[[#This Row],[Tin]]+テーブル2[[#This Row],[Tf]])/2,テーブル2[[#This Row],[P]])*AI24)</f>
        <v>0.5808300074866507</v>
      </c>
      <c r="AL24">
        <f t="shared" si="39"/>
        <v>1.4487735538805233</v>
      </c>
      <c r="AM24">
        <f t="shared" si="40"/>
        <v>623.23870133166258</v>
      </c>
      <c r="AN24">
        <f t="shared" si="41"/>
        <v>1.4738361642230302E-9</v>
      </c>
      <c r="AO24">
        <f t="shared" si="42"/>
        <v>1.2888630735891172E-8</v>
      </c>
      <c r="AP24">
        <v>2.7590571088488653</v>
      </c>
      <c r="AQ24">
        <f t="shared" si="43"/>
        <v>3.1609503319784175E-5</v>
      </c>
      <c r="AR24">
        <f t="shared" si="44"/>
        <v>5.6792443911980706E-6</v>
      </c>
      <c r="AS24">
        <f t="shared" si="45"/>
        <v>12.846354635010869</v>
      </c>
      <c r="AT24">
        <f t="shared" si="46"/>
        <v>9.7153004255168707</v>
      </c>
      <c r="AU24">
        <f t="shared" si="47"/>
        <v>2.5160876927075391</v>
      </c>
      <c r="AV24">
        <f t="shared" si="48"/>
        <v>0.24296941614132628</v>
      </c>
      <c r="AW24">
        <f t="shared" si="49"/>
        <v>8.4149008603520477E-3</v>
      </c>
      <c r="AX24">
        <f t="shared" si="50"/>
        <v>0.24296940680257886</v>
      </c>
      <c r="AY24">
        <f t="shared" si="51"/>
        <v>9.3387474142669902E-9</v>
      </c>
      <c r="AZ24">
        <f t="shared" si="52"/>
        <v>891419.29711468448</v>
      </c>
      <c r="BA24">
        <f t="shared" si="53"/>
        <v>1.1456632491732766E-5</v>
      </c>
      <c r="BB24" s="15">
        <f t="shared" si="54"/>
        <v>575981.28259720583</v>
      </c>
      <c r="BC24" s="20">
        <f t="shared" si="55"/>
        <v>-4603.6013090441702</v>
      </c>
      <c r="BD24" s="19">
        <f t="shared" si="56"/>
        <v>-0.79292476202110995</v>
      </c>
      <c r="BE24" s="15">
        <v>1142687.6033999999</v>
      </c>
      <c r="BF24" s="16">
        <f>テーブル2[[#This Row],[q_P]]/テーブル2[[#This Row],[q_M]]</f>
        <v>0.50405839783630046</v>
      </c>
      <c r="BG24">
        <v>1</v>
      </c>
      <c r="BH24">
        <v>1.4274736070982511E-2</v>
      </c>
      <c r="BI24">
        <v>4.5999999999999999E-2</v>
      </c>
      <c r="BJ24">
        <v>5625</v>
      </c>
      <c r="BK24" s="21">
        <f>1+テーブル2[[#This Row],[A_corr]]*EXP(-テーブル2[[#This Row],[(Tsub-40)^2]]/テーブル2[[#This Row],[σ_corr]])</f>
        <v>1.0456592718446434</v>
      </c>
      <c r="BL24">
        <f>テーブル2[[#This Row],[Ts]]-テーブル2[[#This Row],[Tin]]</f>
        <v>33.533145777580899</v>
      </c>
      <c r="BM24">
        <f>テーブル2[[#This Row],[q_P]]*0.000001</f>
        <v>0.57598128259720582</v>
      </c>
      <c r="BN24">
        <f>テーブル2[[#This Row],[Tsub]]</f>
        <v>33.533145777580899</v>
      </c>
      <c r="BO24">
        <f>テーブル2[[#This Row],[Fcorr]]</f>
        <v>1.0456592718446434</v>
      </c>
      <c r="BP24">
        <f>(テーブル2[[#This Row],[Tsub]]-40)^2</f>
        <v>41.820203534019761</v>
      </c>
      <c r="BQ24" s="10">
        <v>0.94959992944752991</v>
      </c>
      <c r="BR24">
        <v>4.2670000000000003</v>
      </c>
    </row>
    <row r="25" spans="1:70" x14ac:dyDescent="0.15">
      <c r="A25" s="9" t="s">
        <v>109</v>
      </c>
      <c r="B25">
        <v>14478989.699999999</v>
      </c>
      <c r="C25" s="21" cm="1">
        <f t="array" ref="C25">TsatFromP(テーブル2[[#This Row],[P]])</f>
        <v>612.48370255129544</v>
      </c>
      <c r="D25">
        <f t="array" ref="D25">RhoGFromP(テーブル2[[#This Row],[P]])</f>
        <v>91.580011978832957</v>
      </c>
      <c r="E25">
        <f t="array" ref="E25">RhoFFromP(テーブル2[[#This Row],[P]])</f>
        <v>612.82339669043313</v>
      </c>
      <c r="F25">
        <f t="array" ref="F25">HgFromP(テーブル2[[#This Row],[P]])</f>
        <v>2625160.7264840975</v>
      </c>
      <c r="G25">
        <f t="array" ref="G25">HfFromP(テーブル2[[#This Row],[P]])</f>
        <v>1589756.0808983105</v>
      </c>
      <c r="H25">
        <f t="array" ref="H25">MuGFromP(テーブル2[[#This Row],[P]])</f>
        <v>2.2406167499944594E-5</v>
      </c>
      <c r="I25">
        <f t="array" ref="I25">MuFFromP(テーブル2[[#This Row],[P]])</f>
        <v>7.0614185977515193E-5</v>
      </c>
      <c r="J25">
        <f t="array" ref="J25">KfFromP(テーブル2[[#This Row],[P]])</f>
        <v>0.48330738078477459</v>
      </c>
      <c r="K25">
        <f t="array" ref="K25">CpFFromP(テーブル2[[#This Row],[P]])</f>
        <v>8121.4802011854335</v>
      </c>
      <c r="L25">
        <f t="array" ref="L25">SigmaFromP(テーブル2[[#This Row],[P]])</f>
        <v>5.7214247636284644E-3</v>
      </c>
      <c r="M25" s="22">
        <v>277</v>
      </c>
      <c r="N25">
        <v>4065.288</v>
      </c>
      <c r="O25" s="8">
        <v>8.7843467213758383E-5</v>
      </c>
      <c r="P25" s="8">
        <v>2.9843873572041598E-2</v>
      </c>
      <c r="Q25">
        <v>1.1773735336561952E-2</v>
      </c>
      <c r="R25">
        <v>4.2545000000000002</v>
      </c>
      <c r="S25" s="15">
        <v>438229.16521875007</v>
      </c>
      <c r="T25">
        <v>587.53888888888889</v>
      </c>
      <c r="U25" s="12">
        <f>+T25+BG25*S25*テーブル2[[#This Row],[Pw]]*R25/(N25*O25*K25)</f>
        <v>606.72420767479673</v>
      </c>
      <c r="V25">
        <v>0.03</v>
      </c>
      <c r="W25" s="8">
        <f t="shared" si="29"/>
        <v>1718124.1902947028</v>
      </c>
      <c r="X25">
        <v>1.5621800486987138E-2</v>
      </c>
      <c r="Y25">
        <f t="shared" si="32"/>
        <v>8.0008192011435852</v>
      </c>
      <c r="Z25">
        <f t="shared" si="30"/>
        <v>8.0008192058973577</v>
      </c>
      <c r="AA25">
        <f t="shared" si="33"/>
        <v>-4.7537724867652287E-9</v>
      </c>
      <c r="AB25">
        <f t="shared" si="34"/>
        <v>1.3037581582869497E-5</v>
      </c>
      <c r="AC25">
        <v>618.53425063445309</v>
      </c>
      <c r="AD25">
        <f t="shared" si="31"/>
        <v>37961.652280068418</v>
      </c>
      <c r="AE25">
        <f t="shared" si="6"/>
        <v>606.72420767479673</v>
      </c>
      <c r="AF25" s="14">
        <f t="shared" si="35"/>
        <v>0</v>
      </c>
      <c r="AG25">
        <v>1.3044927038587446E-5</v>
      </c>
      <c r="AH25">
        <f t="shared" si="36"/>
        <v>52.660914700432144</v>
      </c>
      <c r="AI25">
        <f t="shared" si="37"/>
        <v>0.29314097658820265</v>
      </c>
      <c r="AJ25">
        <f t="shared" si="38"/>
        <v>33.186508652257537</v>
      </c>
      <c r="AK25">
        <f t="array" ref="AK25">+S25*テーブル2[[#This Row],[F_form]]/(E25*CpFromTP((テーブル2[[#This Row],[Tin]]+テーブル2[[#This Row],[Tf]])/2,テーブル2[[#This Row],[P]])*AI25)</f>
        <v>0.38133353447795765</v>
      </c>
      <c r="AL25">
        <f t="shared" si="39"/>
        <v>1.186598293632519</v>
      </c>
      <c r="AM25">
        <f t="shared" si="40"/>
        <v>612.48370255040868</v>
      </c>
      <c r="AN25">
        <f t="shared" si="41"/>
        <v>8.8675733422860503E-10</v>
      </c>
      <c r="AO25">
        <f t="shared" si="42"/>
        <v>7.3454557179495201E-9</v>
      </c>
      <c r="AP25">
        <v>3.4975323877806619</v>
      </c>
      <c r="AQ25">
        <f t="shared" si="43"/>
        <v>3.6884677052359098E-5</v>
      </c>
      <c r="AR25">
        <f t="shared" si="44"/>
        <v>6.526136247152698E-6</v>
      </c>
      <c r="AS25">
        <f t="shared" si="45"/>
        <v>16.602597806127452</v>
      </c>
      <c r="AT25">
        <f t="shared" si="46"/>
        <v>10.99779588731781</v>
      </c>
      <c r="AU25">
        <f t="shared" si="47"/>
        <v>3.2239046267260618</v>
      </c>
      <c r="AV25">
        <f t="shared" si="48"/>
        <v>0.27362776105460007</v>
      </c>
      <c r="AW25">
        <f t="shared" si="49"/>
        <v>8.212719693417905E-3</v>
      </c>
      <c r="AX25">
        <f t="shared" si="50"/>
        <v>0.27362774883756147</v>
      </c>
      <c r="AY25">
        <f t="shared" si="51"/>
        <v>1.2217038602990726E-8</v>
      </c>
      <c r="AZ25">
        <f t="shared" si="52"/>
        <v>1035404.645585787</v>
      </c>
      <c r="BA25">
        <f t="shared" si="53"/>
        <v>1.0545914365574767E-5</v>
      </c>
      <c r="BB25" s="15">
        <f t="shared" si="54"/>
        <v>441956.93325980613</v>
      </c>
      <c r="BC25" s="20">
        <f t="shared" si="55"/>
        <v>3727.768041056057</v>
      </c>
      <c r="BD25" s="19">
        <f t="shared" si="56"/>
        <v>0.85064353012544791</v>
      </c>
      <c r="BE25" s="15">
        <v>1226044.7537999998</v>
      </c>
      <c r="BF25" s="16">
        <f>テーブル2[[#This Row],[q_P]]/テーブル2[[#This Row],[q_M]]</f>
        <v>0.36047373628899432</v>
      </c>
      <c r="BG25">
        <v>1</v>
      </c>
      <c r="BH25">
        <v>7.5098926528288618E-2</v>
      </c>
      <c r="BI25">
        <v>4.5999999999999999E-2</v>
      </c>
      <c r="BJ25">
        <v>5625</v>
      </c>
      <c r="BK25" s="21">
        <f>1+テーブル2[[#This Row],[A_corr]]*EXP(-テーブル2[[#This Row],[(Tsub-40)^2]]/テーブル2[[#This Row],[σ_corr]])</f>
        <v>1.0441832840185952</v>
      </c>
      <c r="BL25">
        <f>テーブル2[[#This Row],[Ts]]-テーブル2[[#This Row],[Tin]]</f>
        <v>24.944813662406546</v>
      </c>
      <c r="BM25">
        <f>テーブル2[[#This Row],[q_P]]*0.000001</f>
        <v>0.44195693325980612</v>
      </c>
      <c r="BN25">
        <f>テーブル2[[#This Row],[Tsub]]</f>
        <v>24.944813662406546</v>
      </c>
      <c r="BO25">
        <f>テーブル2[[#This Row],[Fcorr]]</f>
        <v>1.0441832840185952</v>
      </c>
      <c r="BP25">
        <f>(テーブル2[[#This Row],[Tsub]]-40)^2</f>
        <v>226.6586356596606</v>
      </c>
      <c r="BQ25" s="10">
        <v>0.98252973691244661</v>
      </c>
      <c r="BR25">
        <v>4.2670000000000003</v>
      </c>
    </row>
    <row r="26" spans="1:70" x14ac:dyDescent="0.15">
      <c r="A26" s="9" t="s">
        <v>110</v>
      </c>
      <c r="B26">
        <v>16547416.799999999</v>
      </c>
      <c r="C26" s="21" cm="1">
        <f t="array" ref="C26">TsatFromP(テーブル2[[#This Row],[P]])</f>
        <v>623.23870133313642</v>
      </c>
      <c r="D26">
        <f t="array" ref="D26">RhoGFromP(テーブル2[[#This Row],[P]])</f>
        <v>113.82300371015133</v>
      </c>
      <c r="E26">
        <f t="array" ref="E26">RhoFFromP(テーブル2[[#This Row],[P]])</f>
        <v>574.34988711113044</v>
      </c>
      <c r="F26">
        <f t="array" ref="F26">HgFromP(テーブル2[[#This Row],[P]])</f>
        <v>2563035.5779140079</v>
      </c>
      <c r="G26">
        <f t="array" ref="G26">HfFromP(テーブル2[[#This Row],[P]])</f>
        <v>1671616.2807993235</v>
      </c>
      <c r="H26">
        <f t="array" ref="H26">MuGFromP(テーブル2[[#This Row],[P]])</f>
        <v>2.3752482411014488E-5</v>
      </c>
      <c r="I26">
        <f t="array" ref="I26">MuFFromP(テーブル2[[#This Row],[P]])</f>
        <v>6.5759231557403181E-5</v>
      </c>
      <c r="J26">
        <f t="array" ref="J26">KfFromP(テーブル2[[#This Row],[P]])</f>
        <v>0.46027765484939753</v>
      </c>
      <c r="K26">
        <f t="array" ref="K26">CpFFromP(テーブル2[[#This Row],[P]])</f>
        <v>10140.600460117175</v>
      </c>
      <c r="L26">
        <f t="array" ref="L26">SigmaFromP(テーブル2[[#This Row],[P]])</f>
        <v>3.6380461586323874E-3</v>
      </c>
      <c r="M26">
        <v>278</v>
      </c>
      <c r="N26">
        <v>4065.288</v>
      </c>
      <c r="O26" s="8">
        <v>8.7843467213758383E-5</v>
      </c>
      <c r="P26" s="8">
        <v>2.9843873572041598E-2</v>
      </c>
      <c r="Q26">
        <v>1.1773735336561952E-2</v>
      </c>
      <c r="R26">
        <v>4.2545000000000002</v>
      </c>
      <c r="S26" s="15">
        <v>648207.79296875</v>
      </c>
      <c r="T26">
        <v>591.03888888888889</v>
      </c>
      <c r="U26" s="12">
        <f>+T26+BG26*S26*テーブル2[[#This Row],[Pw]]*R26/(N26*O26*K26)</f>
        <v>613.76648528147973</v>
      </c>
      <c r="V26">
        <v>0.03</v>
      </c>
      <c r="W26" s="8">
        <f t="shared" si="29"/>
        <v>1844972.002144377</v>
      </c>
      <c r="X26">
        <v>1.4409273835108405E-2</v>
      </c>
      <c r="Y26">
        <f t="shared" si="32"/>
        <v>8.3306512273914564</v>
      </c>
      <c r="Z26">
        <f t="shared" si="30"/>
        <v>8.3306512327619124</v>
      </c>
      <c r="AA26">
        <f t="shared" si="33"/>
        <v>-5.3704560798450984E-9</v>
      </c>
      <c r="AB26">
        <f t="shared" si="34"/>
        <v>8.4234741448604967E-6</v>
      </c>
      <c r="AC26">
        <v>632.22266055064142</v>
      </c>
      <c r="AD26">
        <f t="shared" si="31"/>
        <v>39150.36706632455</v>
      </c>
      <c r="AE26">
        <f t="shared" si="6"/>
        <v>613.76648528147962</v>
      </c>
      <c r="AF26" s="14">
        <f t="shared" si="35"/>
        <v>0</v>
      </c>
      <c r="AG26">
        <v>8.4352962335513047E-6</v>
      </c>
      <c r="AH26">
        <f t="shared" si="36"/>
        <v>51.827254589752961</v>
      </c>
      <c r="AI26">
        <f t="shared" si="37"/>
        <v>0.30039370810104249</v>
      </c>
      <c r="AJ26">
        <f t="shared" si="38"/>
        <v>22.131506693293275</v>
      </c>
      <c r="AK26">
        <f t="array" ref="AK26">+S26*テーブル2[[#This Row],[F_form]]/(E26*CpFromTP((テーブル2[[#This Row],[Tin]]+テーブル2[[#This Row],[Tf]])/2,テーブル2[[#This Row],[P]])*AI26)</f>
        <v>0.55550768703988529</v>
      </c>
      <c r="AL26">
        <f t="shared" si="39"/>
        <v>1.4487735538805233</v>
      </c>
      <c r="AM26">
        <f t="shared" si="40"/>
        <v>623.23870133588764</v>
      </c>
      <c r="AN26">
        <f t="shared" si="41"/>
        <v>-2.7512214728631079E-9</v>
      </c>
      <c r="AO26">
        <f t="shared" si="42"/>
        <v>1.1822088690808003E-8</v>
      </c>
      <c r="AP26">
        <v>2.9591792494075211</v>
      </c>
      <c r="AQ26">
        <f t="shared" si="43"/>
        <v>2.7478720442743037E-5</v>
      </c>
      <c r="AR26">
        <f t="shared" si="44"/>
        <v>4.2235591611210563E-6</v>
      </c>
      <c r="AS26">
        <f t="shared" si="45"/>
        <v>11.081262027536152</v>
      </c>
      <c r="AT26">
        <f t="shared" si="46"/>
        <v>8.9762778811752266</v>
      </c>
      <c r="AU26">
        <f t="shared" si="47"/>
        <v>2.6964173976715951</v>
      </c>
      <c r="AV26">
        <f t="shared" si="48"/>
        <v>0.26276185173592603</v>
      </c>
      <c r="AW26">
        <f t="shared" si="49"/>
        <v>6.2546990363130878E-3</v>
      </c>
      <c r="AX26">
        <f t="shared" si="50"/>
        <v>0.26276184561022797</v>
      </c>
      <c r="AY26">
        <f t="shared" si="51"/>
        <v>6.1256980599111444E-9</v>
      </c>
      <c r="AZ26">
        <f t="shared" si="52"/>
        <v>891419.29711468448</v>
      </c>
      <c r="BA26">
        <f t="shared" si="53"/>
        <v>9.2859263081966917E-6</v>
      </c>
      <c r="BB26" s="15">
        <f t="shared" si="54"/>
        <v>651819.80447372713</v>
      </c>
      <c r="BC26" s="20">
        <f t="shared" si="55"/>
        <v>3612.0115049771266</v>
      </c>
      <c r="BD26" s="19">
        <f t="shared" si="56"/>
        <v>0.55723049678781966</v>
      </c>
      <c r="BE26" s="15">
        <v>1316348.3333999999</v>
      </c>
      <c r="BF26" s="16">
        <f>テーブル2[[#This Row],[q_P]]/テーブル2[[#This Row],[q_M]]</f>
        <v>0.49517273500862791</v>
      </c>
      <c r="BG26">
        <v>1</v>
      </c>
      <c r="BH26">
        <v>1.4204433424073319E-2</v>
      </c>
      <c r="BI26">
        <v>4.5999999999999999E-2</v>
      </c>
      <c r="BJ26">
        <v>5625</v>
      </c>
      <c r="BK26" s="21">
        <f>1+テーブル2[[#This Row],[A_corr]]*EXP(-テーブル2[[#This Row],[(Tsub-40)^2]]/テーブル2[[#This Row],[σ_corr]])</f>
        <v>1.0455051213300932</v>
      </c>
      <c r="BL26">
        <f>テーブル2[[#This Row],[Ts]]-テーブル2[[#This Row],[Tin]]</f>
        <v>32.199812444247527</v>
      </c>
      <c r="BM26">
        <f>テーブル2[[#This Row],[q_P]]*0.000001</f>
        <v>0.65181980447372712</v>
      </c>
      <c r="BN26">
        <f>テーブル2[[#This Row],[Tsub]]</f>
        <v>32.199812444247527</v>
      </c>
      <c r="BO26">
        <f>テーブル2[[#This Row],[Fcorr]]</f>
        <v>1.0455051213300932</v>
      </c>
      <c r="BP26">
        <f>(テーブル2[[#This Row],[Tsub]]-40)^2</f>
        <v>60.842925904915731</v>
      </c>
      <c r="BQ26" s="10">
        <v>0.95766359388706823</v>
      </c>
      <c r="BR26">
        <v>4.2670000000000003</v>
      </c>
    </row>
    <row r="27" spans="1:70" x14ac:dyDescent="0.15">
      <c r="A27" s="9" t="s">
        <v>111</v>
      </c>
      <c r="B27">
        <v>16547416.799999999</v>
      </c>
      <c r="C27" s="21" cm="1">
        <f t="array" ref="C27">TsatFromP(テーブル2[[#This Row],[P]])</f>
        <v>623.23870133313642</v>
      </c>
      <c r="D27">
        <f t="array" ref="D27">RhoGFromP(テーブル2[[#This Row],[P]])</f>
        <v>113.82300371015133</v>
      </c>
      <c r="E27">
        <f t="array" ref="E27">RhoFFromP(テーブル2[[#This Row],[P]])</f>
        <v>574.34988711113044</v>
      </c>
      <c r="F27">
        <f t="array" ref="F27">HgFromP(テーブル2[[#This Row],[P]])</f>
        <v>2563035.5779140079</v>
      </c>
      <c r="G27">
        <f t="array" ref="G27">HfFromP(テーブル2[[#This Row],[P]])</f>
        <v>1671616.2807993235</v>
      </c>
      <c r="H27">
        <f t="array" ref="H27">MuGFromP(テーブル2[[#This Row],[P]])</f>
        <v>2.3752482411014488E-5</v>
      </c>
      <c r="I27">
        <f t="array" ref="I27">MuFFromP(テーブル2[[#This Row],[P]])</f>
        <v>6.5759231557403181E-5</v>
      </c>
      <c r="J27">
        <f t="array" ref="J27">KfFromP(テーブル2[[#This Row],[P]])</f>
        <v>0.46027765484939753</v>
      </c>
      <c r="K27">
        <f t="array" ref="K27">CpFFromP(テーブル2[[#This Row],[P]])</f>
        <v>10140.600460117175</v>
      </c>
      <c r="L27">
        <f t="array" ref="L27">SigmaFromP(テーブル2[[#This Row],[P]])</f>
        <v>3.6380461586323874E-3</v>
      </c>
      <c r="M27" s="22">
        <v>281</v>
      </c>
      <c r="N27">
        <v>3395.424</v>
      </c>
      <c r="O27" s="8">
        <v>8.7843467213758383E-5</v>
      </c>
      <c r="P27" s="8">
        <v>2.9843873572041598E-2</v>
      </c>
      <c r="Q27">
        <v>1.1773735336561952E-2</v>
      </c>
      <c r="R27">
        <v>4.2545000000000002</v>
      </c>
      <c r="S27" s="15">
        <v>1008061.48921875</v>
      </c>
      <c r="T27">
        <v>562.26111111111106</v>
      </c>
      <c r="U27" s="12">
        <f>+T27+BG27*S27*テーブル2[[#This Row],[Pw]]*R27/(N27*O27*K27)</f>
        <v>604.57896046327437</v>
      </c>
      <c r="V27">
        <v>0.03</v>
      </c>
      <c r="W27" s="8">
        <f t="shared" si="29"/>
        <v>1540963.9404167845</v>
      </c>
      <c r="X27">
        <v>1.5281701919476852E-2</v>
      </c>
      <c r="Y27">
        <f t="shared" si="32"/>
        <v>8.0893595284883091</v>
      </c>
      <c r="Z27">
        <f t="shared" si="30"/>
        <v>8.0893595311426321</v>
      </c>
      <c r="AA27">
        <f t="shared" si="33"/>
        <v>-2.6543229836306637E-9</v>
      </c>
      <c r="AB27">
        <f t="shared" si="34"/>
        <v>1.1385607960680792E-5</v>
      </c>
      <c r="AC27">
        <v>643.21049780813985</v>
      </c>
      <c r="AD27">
        <f t="shared" si="31"/>
        <v>33674.67004017171</v>
      </c>
      <c r="AE27">
        <f t="shared" si="6"/>
        <v>604.57896089537917</v>
      </c>
      <c r="AF27" s="14">
        <f t="shared" si="35"/>
        <v>4.3210479816480074E-7</v>
      </c>
      <c r="AG27">
        <v>1.1408219391365118E-5</v>
      </c>
      <c r="AH27">
        <f t="shared" si="36"/>
        <v>38.343630005839628</v>
      </c>
      <c r="AI27">
        <f t="shared" si="37"/>
        <v>0.25837967202987772</v>
      </c>
      <c r="AJ27">
        <f t="shared" si="38"/>
        <v>25.745185042601573</v>
      </c>
      <c r="AK27">
        <f t="array" ref="AK27">+S27*テーブル2[[#This Row],[F_form]]/(E27*CpFromTP((テーブル2[[#This Row],[Tin]]+テーブル2[[#This Row],[Tf]])/2,テーブル2[[#This Row],[P]])*AI27)</f>
        <v>1.1761066410128915</v>
      </c>
      <c r="AL27">
        <f t="shared" si="39"/>
        <v>1.4487735538805233</v>
      </c>
      <c r="AM27">
        <f t="shared" si="40"/>
        <v>623.23870132896445</v>
      </c>
      <c r="AN27">
        <f t="shared" si="41"/>
        <v>4.1719658838701434E-9</v>
      </c>
      <c r="AO27">
        <f t="shared" si="42"/>
        <v>2.2611430684326138E-8</v>
      </c>
      <c r="AP27">
        <v>2.757933248505319</v>
      </c>
      <c r="AQ27">
        <f t="shared" si="43"/>
        <v>3.1635270372302148E-5</v>
      </c>
      <c r="AR27">
        <f t="shared" si="44"/>
        <v>5.715415411024722E-6</v>
      </c>
      <c r="AS27">
        <f t="shared" si="45"/>
        <v>12.898106383152294</v>
      </c>
      <c r="AT27">
        <f t="shared" si="46"/>
        <v>9.7354025429446391</v>
      </c>
      <c r="AU27">
        <f t="shared" si="47"/>
        <v>2.5154301161248735</v>
      </c>
      <c r="AV27">
        <f t="shared" si="48"/>
        <v>0.24250313238044541</v>
      </c>
      <c r="AW27">
        <f t="shared" si="49"/>
        <v>8.4541781591339071E-3</v>
      </c>
      <c r="AX27">
        <f t="shared" si="50"/>
        <v>0.24250312347453903</v>
      </c>
      <c r="AY27">
        <f t="shared" si="51"/>
        <v>8.9059063734797661E-9</v>
      </c>
      <c r="AZ27">
        <f t="shared" si="52"/>
        <v>891419.29711468448</v>
      </c>
      <c r="BA27">
        <f t="shared" si="53"/>
        <v>1.1470643964804841E-5</v>
      </c>
      <c r="BB27" s="15">
        <f t="shared" si="54"/>
        <v>1009250.1288223262</v>
      </c>
      <c r="BC27" s="20">
        <f t="shared" si="55"/>
        <v>1188.6396035761572</v>
      </c>
      <c r="BD27" s="19">
        <f t="shared" si="56"/>
        <v>0.11791340273273961</v>
      </c>
      <c r="BE27" s="15">
        <v>1444857.2735999997</v>
      </c>
      <c r="BF27" s="16">
        <f>テーブル2[[#This Row],[q_P]]/テーブル2[[#This Row],[q_M]]</f>
        <v>0.6985119895667502</v>
      </c>
      <c r="BG27">
        <v>1</v>
      </c>
      <c r="BH27">
        <v>-0.12366381199330789</v>
      </c>
      <c r="BI27">
        <v>4.5999999999999999E-2</v>
      </c>
      <c r="BJ27">
        <v>5625</v>
      </c>
      <c r="BK27" s="21">
        <f>1+テーブル2[[#This Row],[A_corr]]*EXP(-テーブル2[[#This Row],[(Tsub-40)^2]]/テーブル2[[#This Row],[σ_corr]])</f>
        <v>1.0425384610914179</v>
      </c>
      <c r="BL27">
        <f>テーブル2[[#This Row],[Ts]]-テーブル2[[#This Row],[Tin]]</f>
        <v>60.977590222025356</v>
      </c>
      <c r="BM27">
        <f>テーブル2[[#This Row],[q_P]]*0.000001</f>
        <v>1.0092501288223261</v>
      </c>
      <c r="BN27">
        <f>テーブル2[[#This Row],[Tsub]]</f>
        <v>60.977590222025356</v>
      </c>
      <c r="BO27">
        <f>テーブル2[[#This Row],[Fcorr]]</f>
        <v>1.0425384610914179</v>
      </c>
      <c r="BP27">
        <f>(テーブル2[[#This Row],[Tsub]]-40)^2</f>
        <v>440.0592915232138</v>
      </c>
      <c r="BQ27" s="10">
        <v>1.0011042526112093</v>
      </c>
      <c r="BR27">
        <v>4.2670000000000003</v>
      </c>
    </row>
    <row r="28" spans="1:70" x14ac:dyDescent="0.15">
      <c r="A28" s="9" t="s">
        <v>112</v>
      </c>
      <c r="B28">
        <v>14478989.699999999</v>
      </c>
      <c r="C28" s="21" cm="1">
        <f t="array" ref="C28">TsatFromP(テーブル2[[#This Row],[P]])</f>
        <v>612.48370255129544</v>
      </c>
      <c r="D28">
        <f t="array" ref="D28">RhoGFromP(テーブル2[[#This Row],[P]])</f>
        <v>91.580011978832957</v>
      </c>
      <c r="E28">
        <f t="array" ref="E28">RhoFFromP(テーブル2[[#This Row],[P]])</f>
        <v>612.82339669043313</v>
      </c>
      <c r="F28">
        <f t="array" ref="F28">HgFromP(テーブル2[[#This Row],[P]])</f>
        <v>2625160.7264840975</v>
      </c>
      <c r="G28">
        <f t="array" ref="G28">HfFromP(テーブル2[[#This Row],[P]])</f>
        <v>1589756.0808983105</v>
      </c>
      <c r="H28">
        <f t="array" ref="H28">MuGFromP(テーブル2[[#This Row],[P]])</f>
        <v>2.2406167499944594E-5</v>
      </c>
      <c r="I28">
        <f t="array" ref="I28">MuFFromP(テーブル2[[#This Row],[P]])</f>
        <v>7.0614185977515193E-5</v>
      </c>
      <c r="J28">
        <f t="array" ref="J28">KfFromP(テーブル2[[#This Row],[P]])</f>
        <v>0.48330738078477459</v>
      </c>
      <c r="K28">
        <f t="array" ref="K28">CpFFromP(テーブル2[[#This Row],[P]])</f>
        <v>8121.4802011854335</v>
      </c>
      <c r="L28">
        <f t="array" ref="L28">SigmaFromP(テーブル2[[#This Row],[P]])</f>
        <v>5.7214247636284644E-3</v>
      </c>
      <c r="M28">
        <v>282</v>
      </c>
      <c r="N28">
        <v>3368.3040000000001</v>
      </c>
      <c r="O28" s="8">
        <v>8.7843467213758383E-5</v>
      </c>
      <c r="P28" s="8">
        <v>2.9843873572041598E-2</v>
      </c>
      <c r="Q28">
        <v>1.1773735336561952E-2</v>
      </c>
      <c r="R28">
        <v>4.2545000000000002</v>
      </c>
      <c r="S28" s="15">
        <v>703914.89453125</v>
      </c>
      <c r="T28">
        <v>563.87222222222226</v>
      </c>
      <c r="U28" s="12">
        <f>+T28+BG28*S28*テーブル2[[#This Row],[Pw]]*R28/(N28*O28*K28)</f>
        <v>601.06579807260641</v>
      </c>
      <c r="V28">
        <v>0.03</v>
      </c>
      <c r="W28" s="8">
        <f t="shared" si="29"/>
        <v>1423555.866808553</v>
      </c>
      <c r="X28">
        <v>1.6669562288415936E-2</v>
      </c>
      <c r="Y28">
        <f t="shared" si="32"/>
        <v>7.7452938983919202</v>
      </c>
      <c r="Z28">
        <f t="shared" si="30"/>
        <v>7.7452939091269748</v>
      </c>
      <c r="AA28">
        <f t="shared" si="33"/>
        <v>-1.0735054623012275E-8</v>
      </c>
      <c r="AB28">
        <f t="shared" si="34"/>
        <v>1.7797704991570021E-5</v>
      </c>
      <c r="AC28">
        <v>625.44170572669907</v>
      </c>
      <c r="AD28">
        <f t="shared" si="31"/>
        <v>32490.891243882081</v>
      </c>
      <c r="AE28">
        <f t="shared" si="6"/>
        <v>601.06579832702346</v>
      </c>
      <c r="AF28" s="14">
        <f t="shared" si="35"/>
        <v>2.5441704565309919E-7</v>
      </c>
      <c r="AG28">
        <v>1.7812887366910635E-5</v>
      </c>
      <c r="AH28">
        <f t="shared" si="36"/>
        <v>38.576376671071557</v>
      </c>
      <c r="AI28">
        <f t="shared" si="37"/>
        <v>0.25089560167678532</v>
      </c>
      <c r="AJ28">
        <f t="shared" si="38"/>
        <v>38.785621094441737</v>
      </c>
      <c r="AK28">
        <f t="array" ref="AK28">+S28*テーブル2[[#This Row],[F_form]]/(E28*CpFromTP((テーブル2[[#This Row],[Tin]]+テーブル2[[#This Row],[Tf]])/2,テーブル2[[#This Row],[P]])*AI28)</f>
        <v>0.79709287155066988</v>
      </c>
      <c r="AL28">
        <f t="shared" si="39"/>
        <v>1.186598293632519</v>
      </c>
      <c r="AM28">
        <f t="shared" si="40"/>
        <v>612.48370254601241</v>
      </c>
      <c r="AN28">
        <f t="shared" si="41"/>
        <v>5.2830273489234969E-9</v>
      </c>
      <c r="AO28">
        <f t="shared" si="42"/>
        <v>1.5182375340614388E-8</v>
      </c>
      <c r="AP28">
        <v>3.2103837546870593</v>
      </c>
      <c r="AQ28">
        <f t="shared" si="43"/>
        <v>4.3777965711084035E-5</v>
      </c>
      <c r="AR28">
        <f t="shared" si="44"/>
        <v>8.9140348711256248E-6</v>
      </c>
      <c r="AS28">
        <f t="shared" si="45"/>
        <v>19.40933953112857</v>
      </c>
      <c r="AT28">
        <f t="shared" si="46"/>
        <v>11.778771846773051</v>
      </c>
      <c r="AU28">
        <f t="shared" si="47"/>
        <v>2.9552420495097045</v>
      </c>
      <c r="AV28">
        <f t="shared" si="48"/>
        <v>0.25514170517735479</v>
      </c>
      <c r="AW28">
        <f t="shared" si="49"/>
        <v>1.1211248140833388E-2</v>
      </c>
      <c r="AX28">
        <f t="shared" si="50"/>
        <v>0.25514170349641091</v>
      </c>
      <c r="AY28">
        <f t="shared" si="51"/>
        <v>1.6809438840859059E-9</v>
      </c>
      <c r="AZ28">
        <f t="shared" si="52"/>
        <v>1035404.645585787</v>
      </c>
      <c r="BA28">
        <f t="shared" si="53"/>
        <v>1.3636365324603198E-5</v>
      </c>
      <c r="BB28" s="15">
        <f t="shared" si="54"/>
        <v>706458.31822865014</v>
      </c>
      <c r="BC28" s="20">
        <f t="shared" si="55"/>
        <v>2543.4236974001396</v>
      </c>
      <c r="BD28" s="19">
        <f t="shared" si="56"/>
        <v>0.36132545527309134</v>
      </c>
      <c r="BE28" s="15">
        <v>1312875.1187999998</v>
      </c>
      <c r="BF28" s="16">
        <f>テーブル2[[#This Row],[q_P]]/テーブル2[[#This Row],[q_M]]</f>
        <v>0.53810016513556169</v>
      </c>
      <c r="BG28">
        <v>1</v>
      </c>
      <c r="BH28">
        <v>1.5749034092727456E-3</v>
      </c>
      <c r="BI28">
        <v>4.5999999999999999E-2</v>
      </c>
      <c r="BJ28">
        <v>5625</v>
      </c>
      <c r="BK28" s="21">
        <f>1+テーブル2[[#This Row],[A_corr]]*EXP(-テーブル2[[#This Row],[(Tsub-40)^2]]/テーブル2[[#This Row],[σ_corr]])</f>
        <v>1.0453975357218073</v>
      </c>
      <c r="BL28">
        <f>テーブル2[[#This Row],[Ts]]-テーブル2[[#This Row],[Tin]]</f>
        <v>48.611480329073174</v>
      </c>
      <c r="BM28">
        <f>テーブル2[[#This Row],[q_P]]*0.000001</f>
        <v>0.70645831822865013</v>
      </c>
      <c r="BN28">
        <f>テーブル2[[#This Row],[Tsub]]</f>
        <v>48.611480329073174</v>
      </c>
      <c r="BO28">
        <f>テーブル2[[#This Row],[Fcorr]]</f>
        <v>1.0453975357218073</v>
      </c>
      <c r="BP28">
        <f>(テーブル2[[#This Row],[Tsub]]-40)^2</f>
        <v>74.157593458014233</v>
      </c>
      <c r="BQ28" s="10">
        <v>0.96548294564592174</v>
      </c>
      <c r="BR28">
        <v>4.2670000000000003</v>
      </c>
    </row>
    <row r="29" spans="1:70" x14ac:dyDescent="0.15">
      <c r="A29" s="9" t="s">
        <v>113</v>
      </c>
      <c r="B29">
        <v>16616364.369999999</v>
      </c>
      <c r="C29" s="21" cm="1">
        <f t="array" ref="C29">TsatFromP(テーブル2[[#This Row],[P]])</f>
        <v>623.57769163346586</v>
      </c>
      <c r="D29">
        <f t="array" ref="D29">RhoGFromP(テーブル2[[#This Row],[P]])</f>
        <v>114.66029599737462</v>
      </c>
      <c r="E29">
        <f t="array" ref="E29">RhoFFromP(テーブル2[[#This Row],[P]])</f>
        <v>572.97931530121309</v>
      </c>
      <c r="F29">
        <f t="array" ref="F29">HgFromP(テーブル2[[#This Row],[P]])</f>
        <v>2560721.691284928</v>
      </c>
      <c r="G29">
        <f t="array" ref="G29">HfFromP(テーブル2[[#This Row],[P]])</f>
        <v>1674402.1546774118</v>
      </c>
      <c r="H29">
        <f t="array" ref="H29">MuGFromP(テーブル2[[#This Row],[P]])</f>
        <v>2.3803753768346773E-5</v>
      </c>
      <c r="I29">
        <f t="array" ref="I29">MuFFromP(テーブル2[[#This Row],[P]])</f>
        <v>6.559315938668894E-5</v>
      </c>
      <c r="J29">
        <f t="array" ref="J29">KfFromP(テーブル2[[#This Row],[P]])</f>
        <v>0.45952852946905182</v>
      </c>
      <c r="K29">
        <f t="array" ref="K29">CpFFromP(テーブル2[[#This Row],[P]])</f>
        <v>10236.374668774288</v>
      </c>
      <c r="L29">
        <f t="array" ref="L29">SigmaFromP(テーブル2[[#This Row],[P]])</f>
        <v>3.575061404803361E-3</v>
      </c>
      <c r="M29">
        <v>290</v>
      </c>
      <c r="N29">
        <v>3372.3719999999998</v>
      </c>
      <c r="O29" s="8">
        <v>8.7843467213758383E-5</v>
      </c>
      <c r="P29" s="8">
        <v>2.9843873572041598E-2</v>
      </c>
      <c r="Q29">
        <v>1.1773735336561952E-2</v>
      </c>
      <c r="R29">
        <v>4.2545000000000002</v>
      </c>
      <c r="S29" s="15">
        <v>1471091.42578125</v>
      </c>
      <c r="T29">
        <v>531.70555555555552</v>
      </c>
      <c r="U29" s="12">
        <f>+T29+BG29*S29*テーブル2[[#This Row],[Pw]]*R29/(N29*O29*K29)</f>
        <v>593.30152094649304</v>
      </c>
      <c r="V29">
        <v>0.03</v>
      </c>
      <c r="W29" s="8">
        <f t="shared" si="29"/>
        <v>1534377.1293675061</v>
      </c>
      <c r="X29">
        <v>1.5268891371430436E-2</v>
      </c>
      <c r="Y29">
        <f t="shared" si="32"/>
        <v>8.0927522896055279</v>
      </c>
      <c r="Z29">
        <f t="shared" si="30"/>
        <v>8.0927522923370763</v>
      </c>
      <c r="AA29">
        <f t="shared" si="33"/>
        <v>-2.7315483208667501E-9</v>
      </c>
      <c r="AB29">
        <f t="shared" si="34"/>
        <v>1.1324400695231637E-5</v>
      </c>
      <c r="AC29">
        <v>655.999945233723</v>
      </c>
      <c r="AD29">
        <f t="shared" si="31"/>
        <v>33516.671283355128</v>
      </c>
      <c r="AE29">
        <f t="shared" si="6"/>
        <v>593.30152150649235</v>
      </c>
      <c r="AF29" s="14">
        <f t="shared" si="35"/>
        <v>5.5999930737016257E-7</v>
      </c>
      <c r="AG29">
        <v>1.1357629701534122E-5</v>
      </c>
      <c r="AH29">
        <f t="shared" si="36"/>
        <v>37.883450093482246</v>
      </c>
      <c r="AI29">
        <f t="shared" si="37"/>
        <v>0.25713150388292377</v>
      </c>
      <c r="AJ29">
        <f t="shared" si="38"/>
        <v>25.510759543024601</v>
      </c>
      <c r="AK29">
        <f t="array" ref="AK29">+S29*テーブル2[[#This Row],[F_form]]/(E29*CpFromTP((テーブル2[[#This Row],[Tin]]+テーブル2[[#This Row],[Tf]])/2,テーブル2[[#This Row],[P]])*AI29)</f>
        <v>1.9037373043336621</v>
      </c>
      <c r="AL29">
        <f t="shared" si="39"/>
        <v>1.4611413919535472</v>
      </c>
      <c r="AM29">
        <f t="shared" si="40"/>
        <v>623.5776916282158</v>
      </c>
      <c r="AN29">
        <f t="shared" si="41"/>
        <v>5.2500581659842283E-9</v>
      </c>
      <c r="AO29">
        <f t="shared" si="42"/>
        <v>3.3229006302485135E-8</v>
      </c>
      <c r="AP29">
        <v>2.7341198769522714</v>
      </c>
      <c r="AQ29">
        <f t="shared" si="43"/>
        <v>3.1451195124886213E-5</v>
      </c>
      <c r="AR29">
        <f t="shared" si="44"/>
        <v>5.6954293539183038E-6</v>
      </c>
      <c r="AS29">
        <f t="shared" si="45"/>
        <v>12.792698173851209</v>
      </c>
      <c r="AT29">
        <f t="shared" si="46"/>
        <v>9.6943727649312113</v>
      </c>
      <c r="AU29">
        <f t="shared" si="47"/>
        <v>2.4927286482484203</v>
      </c>
      <c r="AV29">
        <f t="shared" si="48"/>
        <v>0.2413912287038511</v>
      </c>
      <c r="AW29">
        <f t="shared" si="49"/>
        <v>8.4621202733811459E-3</v>
      </c>
      <c r="AX29">
        <f t="shared" si="50"/>
        <v>0.24139122753635023</v>
      </c>
      <c r="AY29">
        <f t="shared" si="51"/>
        <v>1.1675008737555004E-9</v>
      </c>
      <c r="AZ29">
        <f t="shared" si="52"/>
        <v>886319.53660751623</v>
      </c>
      <c r="BA29">
        <f t="shared" si="53"/>
        <v>1.1503224635470234E-5</v>
      </c>
      <c r="BB29" s="15">
        <f t="shared" si="54"/>
        <v>1466989.5484203142</v>
      </c>
      <c r="BC29" s="20">
        <f t="shared" si="55"/>
        <v>-4101.8773609357886</v>
      </c>
      <c r="BD29" s="19">
        <f t="shared" si="56"/>
        <v>-0.2788322526424496</v>
      </c>
      <c r="BE29" s="15">
        <v>1802598.3773999999</v>
      </c>
      <c r="BF29" s="16">
        <f>テーブル2[[#This Row],[q_P]]/テーブル2[[#This Row],[q_M]]</f>
        <v>0.81381941025390514</v>
      </c>
      <c r="BG29">
        <v>1</v>
      </c>
      <c r="BH29">
        <v>-0.27253915389948064</v>
      </c>
      <c r="BI29">
        <v>4.5999999999999999E-2</v>
      </c>
      <c r="BJ29">
        <v>5625</v>
      </c>
      <c r="BK29" s="21">
        <f>1+テーブル2[[#This Row],[A_corr]]*EXP(-テーブル2[[#This Row],[(Tsub-40)^2]]/テーブル2[[#This Row],[σ_corr]])</f>
        <v>1.028511041711152</v>
      </c>
      <c r="BL29">
        <f>テーブル2[[#This Row],[Ts]]-テーブル2[[#This Row],[Tin]]</f>
        <v>91.872136077910341</v>
      </c>
      <c r="BM29">
        <f>テーブル2[[#This Row],[q_P]]*0.000001</f>
        <v>1.4669895484203141</v>
      </c>
      <c r="BN29">
        <f>テーブル2[[#This Row],[Tsub]]</f>
        <v>91.872136077910341</v>
      </c>
      <c r="BO29">
        <f>テーブル2[[#This Row],[Fcorr]]</f>
        <v>1.028511041711152</v>
      </c>
      <c r="BP29">
        <f>(テーブル2[[#This Row],[Tsub]]-40)^2</f>
        <v>2690.7185012852474</v>
      </c>
      <c r="BQ29" s="10">
        <v>1.0019549804359047</v>
      </c>
      <c r="BR29">
        <v>4.2670000000000003</v>
      </c>
    </row>
    <row r="30" spans="1:70" x14ac:dyDescent="0.15">
      <c r="A30" s="9" t="s">
        <v>114</v>
      </c>
      <c r="B30">
        <v>16616364.369999999</v>
      </c>
      <c r="C30" s="21" cm="1">
        <f t="array" ref="C30">TsatFromP(テーブル2[[#This Row],[P]])</f>
        <v>623.57769163346586</v>
      </c>
      <c r="D30">
        <f t="array" ref="D30">RhoGFromP(テーブル2[[#This Row],[P]])</f>
        <v>114.66029599737462</v>
      </c>
      <c r="E30">
        <f t="array" ref="E30">RhoFFromP(テーブル2[[#This Row],[P]])</f>
        <v>572.97931530121309</v>
      </c>
      <c r="F30">
        <f t="array" ref="F30">HgFromP(テーブル2[[#This Row],[P]])</f>
        <v>2560721.691284928</v>
      </c>
      <c r="G30">
        <f t="array" ref="G30">HfFromP(テーブル2[[#This Row],[P]])</f>
        <v>1674402.1546774118</v>
      </c>
      <c r="H30">
        <f t="array" ref="H30">MuGFromP(テーブル2[[#This Row],[P]])</f>
        <v>2.3803753768346773E-5</v>
      </c>
      <c r="I30">
        <f t="array" ref="I30">MuFFromP(テーブル2[[#This Row],[P]])</f>
        <v>6.559315938668894E-5</v>
      </c>
      <c r="J30">
        <f t="array" ref="J30">KfFromP(テーブル2[[#This Row],[P]])</f>
        <v>0.45952852946905182</v>
      </c>
      <c r="K30">
        <f t="array" ref="K30">CpFFromP(テーブル2[[#This Row],[P]])</f>
        <v>10236.374668774288</v>
      </c>
      <c r="L30">
        <f t="array" ref="L30">SigmaFromP(テーブル2[[#This Row],[P]])</f>
        <v>3.575061404803361E-3</v>
      </c>
      <c r="M30" s="22">
        <v>291</v>
      </c>
      <c r="N30">
        <v>4040.88</v>
      </c>
      <c r="O30" s="8">
        <v>8.7843467213758383E-5</v>
      </c>
      <c r="P30" s="8">
        <v>2.9843873572041598E-2</v>
      </c>
      <c r="Q30">
        <v>1.1773735336561952E-2</v>
      </c>
      <c r="R30">
        <v>4.2545000000000002</v>
      </c>
      <c r="S30" s="15">
        <v>1157233.98253125</v>
      </c>
      <c r="T30">
        <v>563.15</v>
      </c>
      <c r="U30" s="12">
        <f>+T30+BG30*S30*テーブル2[[#This Row],[Pw]]*R30/(N30*O30*K30)</f>
        <v>603.58833834189238</v>
      </c>
      <c r="V30">
        <v>0.03</v>
      </c>
      <c r="W30" s="8">
        <f t="shared" si="29"/>
        <v>1838537.935470514</v>
      </c>
      <c r="X30">
        <v>1.439434697529866E-2</v>
      </c>
      <c r="Y30">
        <f t="shared" si="32"/>
        <v>8.3349695282571972</v>
      </c>
      <c r="Z30">
        <f t="shared" si="30"/>
        <v>8.3349695329837292</v>
      </c>
      <c r="AA30">
        <f t="shared" si="33"/>
        <v>-4.7265320546330258E-9</v>
      </c>
      <c r="AB30">
        <f t="shared" si="34"/>
        <v>8.3666154533925182E-6</v>
      </c>
      <c r="AC30">
        <v>642.5408960997612</v>
      </c>
      <c r="AD30">
        <f t="shared" si="31"/>
        <v>38993.623109014188</v>
      </c>
      <c r="AE30">
        <f t="shared" si="6"/>
        <v>603.58833876730125</v>
      </c>
      <c r="AF30" s="14">
        <f t="shared" si="35"/>
        <v>4.25408870796673E-7</v>
      </c>
      <c r="AG30">
        <v>8.387848078677017E-6</v>
      </c>
      <c r="AH30">
        <f t="shared" si="36"/>
        <v>51.27609497128833</v>
      </c>
      <c r="AI30">
        <f t="shared" si="37"/>
        <v>0.29914930594089306</v>
      </c>
      <c r="AJ30">
        <f t="shared" si="38"/>
        <v>21.918909814844493</v>
      </c>
      <c r="AK30">
        <f t="array" ref="AK30">+S30*テーブル2[[#This Row],[F_form]]/(E30*CpFromTP((テーブル2[[#This Row],[Tin]]+テーブル2[[#This Row],[Tf]])/2,テーブル2[[#This Row],[P]])*AI30)</f>
        <v>1.1692853421093719</v>
      </c>
      <c r="AL30">
        <f t="shared" si="39"/>
        <v>1.4611413919535472</v>
      </c>
      <c r="AM30">
        <f t="shared" si="40"/>
        <v>623.57769164142701</v>
      </c>
      <c r="AN30">
        <f t="shared" si="41"/>
        <v>-7.9611481851316057E-9</v>
      </c>
      <c r="AO30">
        <f t="shared" si="42"/>
        <v>2.1232625284498864E-8</v>
      </c>
      <c r="AP30">
        <v>2.9341845592947862</v>
      </c>
      <c r="AQ30">
        <f t="shared" si="43"/>
        <v>2.7308472132642034E-5</v>
      </c>
      <c r="AR30">
        <f t="shared" si="44"/>
        <v>4.2045403519807579E-6</v>
      </c>
      <c r="AS30">
        <f t="shared" si="45"/>
        <v>10.987197183771196</v>
      </c>
      <c r="AT30">
        <f t="shared" si="46"/>
        <v>8.9336535128258987</v>
      </c>
      <c r="AU30">
        <f t="shared" si="47"/>
        <v>2.6724962478782888</v>
      </c>
      <c r="AV30">
        <f t="shared" si="48"/>
        <v>0.2616883114164974</v>
      </c>
      <c r="AW30">
        <f t="shared" si="49"/>
        <v>6.2519252146869238E-3</v>
      </c>
      <c r="AX30">
        <f t="shared" si="50"/>
        <v>0.2616883071492942</v>
      </c>
      <c r="AY30">
        <f t="shared" si="51"/>
        <v>4.2672032019019923E-9</v>
      </c>
      <c r="AZ30">
        <f t="shared" si="52"/>
        <v>886319.53660751623</v>
      </c>
      <c r="BA30">
        <f t="shared" si="53"/>
        <v>9.3070056026760168E-6</v>
      </c>
      <c r="BB30" s="15">
        <f t="shared" si="54"/>
        <v>1158571.8879768015</v>
      </c>
      <c r="BC30" s="20">
        <f t="shared" si="55"/>
        <v>1337.9054455514997</v>
      </c>
      <c r="BD30" s="19">
        <f t="shared" si="56"/>
        <v>0.11561235374587446</v>
      </c>
      <c r="BE30" s="15">
        <v>1708821.5831999998</v>
      </c>
      <c r="BF30" s="16">
        <f>テーブル2[[#This Row],[q_P]]/テーブル2[[#This Row],[q_M]]</f>
        <v>0.67799464810552001</v>
      </c>
      <c r="BG30">
        <v>1</v>
      </c>
      <c r="BH30">
        <v>-0.12587395745743332</v>
      </c>
      <c r="BI30">
        <v>4.5999999999999999E-2</v>
      </c>
      <c r="BJ30">
        <v>5625</v>
      </c>
      <c r="BK30" s="21">
        <f>1+テーブル2[[#This Row],[A_corr]]*EXP(-テーブル2[[#This Row],[(Tsub-40)^2]]/テーブル2[[#This Row],[σ_corr]])</f>
        <v>1.0427109959517056</v>
      </c>
      <c r="BL30">
        <f>テーブル2[[#This Row],[Ts]]-テーブル2[[#This Row],[Tin]]</f>
        <v>60.427691633465884</v>
      </c>
      <c r="BM30">
        <f>テーブル2[[#This Row],[q_P]]*0.000001</f>
        <v>1.1585718879768014</v>
      </c>
      <c r="BN30">
        <f>テーブル2[[#This Row],[Tsub]]</f>
        <v>60.427691633465884</v>
      </c>
      <c r="BO30">
        <f>テーブル2[[#This Row],[Fcorr]]</f>
        <v>1.0427109959517056</v>
      </c>
      <c r="BP30">
        <f>(テーブル2[[#This Row],[Tsub]]-40)^2</f>
        <v>417.29058547197207</v>
      </c>
      <c r="BQ30" s="10">
        <v>0.98460866722258866</v>
      </c>
      <c r="BR30">
        <v>4.2670000000000003</v>
      </c>
    </row>
    <row r="31" spans="1:70" x14ac:dyDescent="0.15">
      <c r="A31" s="9" t="s">
        <v>115</v>
      </c>
      <c r="B31">
        <v>14478989.699999999</v>
      </c>
      <c r="C31" s="21" cm="1">
        <f t="array" ref="C31">TsatFromP(テーブル2[[#This Row],[P]])</f>
        <v>612.48370255129544</v>
      </c>
      <c r="D31">
        <f t="array" ref="D31">RhoGFromP(テーブル2[[#This Row],[P]])</f>
        <v>91.580011978832957</v>
      </c>
      <c r="E31">
        <f t="array" ref="E31">RhoFFromP(テーブル2[[#This Row],[P]])</f>
        <v>612.82339669043313</v>
      </c>
      <c r="F31">
        <f t="array" ref="F31">HgFromP(テーブル2[[#This Row],[P]])</f>
        <v>2625160.7264840975</v>
      </c>
      <c r="G31">
        <f t="array" ref="G31">HfFromP(テーブル2[[#This Row],[P]])</f>
        <v>1589756.0808983105</v>
      </c>
      <c r="H31">
        <f t="array" ref="H31">MuGFromP(テーブル2[[#This Row],[P]])</f>
        <v>2.2406167499944594E-5</v>
      </c>
      <c r="I31">
        <f t="array" ref="I31">MuFFromP(テーブル2[[#This Row],[P]])</f>
        <v>7.0614185977515193E-5</v>
      </c>
      <c r="J31">
        <f t="array" ref="J31">KfFromP(テーブル2[[#This Row],[P]])</f>
        <v>0.48330738078477459</v>
      </c>
      <c r="K31">
        <f t="array" ref="K31">CpFFromP(テーブル2[[#This Row],[P]])</f>
        <v>8121.4802011854335</v>
      </c>
      <c r="L31">
        <f t="array" ref="L31">SigmaFromP(テーブル2[[#This Row],[P]])</f>
        <v>5.7214247636284644E-3</v>
      </c>
      <c r="M31" s="22">
        <v>295</v>
      </c>
      <c r="N31">
        <v>3962.232</v>
      </c>
      <c r="O31" s="8">
        <v>8.7843467213758383E-5</v>
      </c>
      <c r="P31" s="8">
        <v>2.9843873572041598E-2</v>
      </c>
      <c r="Q31">
        <v>1.1773735336561952E-2</v>
      </c>
      <c r="R31">
        <v>4.2545000000000002</v>
      </c>
      <c r="S31" s="15">
        <v>656640.15078124998</v>
      </c>
      <c r="T31">
        <v>573.59444444444443</v>
      </c>
      <c r="U31" s="12">
        <f>+T31+BG31*S31*テーブル2[[#This Row],[Pw]]*R31/(N31*O31*K31)</f>
        <v>603.0893217392171</v>
      </c>
      <c r="V31">
        <v>0.03</v>
      </c>
      <c r="W31" s="8">
        <f t="shared" si="29"/>
        <v>1674569.3409076456</v>
      </c>
      <c r="X31">
        <v>1.5758855691055958E-2</v>
      </c>
      <c r="Y31">
        <f t="shared" si="32"/>
        <v>7.9659515513541637</v>
      </c>
      <c r="Z31">
        <f t="shared" si="30"/>
        <v>7.965951562280897</v>
      </c>
      <c r="AA31">
        <f t="shared" si="33"/>
        <v>-1.0926733295946178E-8</v>
      </c>
      <c r="AB31">
        <f t="shared" si="34"/>
        <v>1.3605242318012635E-5</v>
      </c>
      <c r="AC31">
        <v>622.45719616695294</v>
      </c>
      <c r="AD31">
        <f t="shared" si="31"/>
        <v>37161.264692903947</v>
      </c>
      <c r="AE31">
        <f t="shared" si="6"/>
        <v>603.08932196378896</v>
      </c>
      <c r="AF31" s="14">
        <f t="shared" si="35"/>
        <v>2.2457186332758283E-7</v>
      </c>
      <c r="AG31">
        <v>1.3616523817344314E-5</v>
      </c>
      <c r="AH31">
        <f t="shared" si="36"/>
        <v>50.463707708199458</v>
      </c>
      <c r="AI31">
        <f t="shared" si="37"/>
        <v>0.28696036049648271</v>
      </c>
      <c r="AJ31">
        <f t="shared" si="38"/>
        <v>33.91029281450929</v>
      </c>
      <c r="AK31">
        <f t="array" ref="AK31">+S31*テーブル2[[#This Row],[F_form]]/(E31*CpFromTP((テーブル2[[#This Row],[Tin]]+テーブル2[[#This Row],[Tf]])/2,テーブル2[[#This Row],[P]])*AI31)</f>
        <v>0.6264461608403078</v>
      </c>
      <c r="AL31">
        <f t="shared" si="39"/>
        <v>1.186598293632519</v>
      </c>
      <c r="AM31">
        <f t="shared" si="40"/>
        <v>612.48370255053976</v>
      </c>
      <c r="AN31">
        <f t="shared" si="41"/>
        <v>7.5567641033558175E-10</v>
      </c>
      <c r="AO31">
        <f t="shared" si="42"/>
        <v>1.128149933167959E-8</v>
      </c>
      <c r="AP31">
        <v>3.4581751661143367</v>
      </c>
      <c r="AQ31">
        <f t="shared" si="43"/>
        <v>3.772901781594653E-5</v>
      </c>
      <c r="AR31">
        <f t="shared" si="44"/>
        <v>6.8139026583379969E-6</v>
      </c>
      <c r="AS31">
        <f t="shared" si="45"/>
        <v>16.969194006732153</v>
      </c>
      <c r="AT31">
        <f t="shared" si="46"/>
        <v>11.10699791467238</v>
      </c>
      <c r="AU31">
        <f t="shared" si="47"/>
        <v>3.1872681256280679</v>
      </c>
      <c r="AV31">
        <f t="shared" si="48"/>
        <v>0.27090704048626879</v>
      </c>
      <c r="AW31">
        <f t="shared" si="49"/>
        <v>8.5703043013497741E-3</v>
      </c>
      <c r="AX31">
        <f t="shared" si="50"/>
        <v>0.27090702902464614</v>
      </c>
      <c r="AY31">
        <f t="shared" si="51"/>
        <v>1.1461622650976722E-8</v>
      </c>
      <c r="AZ31">
        <f t="shared" si="52"/>
        <v>1035404.645585787</v>
      </c>
      <c r="BA31">
        <f t="shared" si="53"/>
        <v>1.0910094487301371E-5</v>
      </c>
      <c r="BB31" s="15">
        <f t="shared" si="54"/>
        <v>656120.72642478615</v>
      </c>
      <c r="BC31" s="20">
        <f t="shared" si="55"/>
        <v>-519.42435646383092</v>
      </c>
      <c r="BD31" s="19">
        <f t="shared" si="56"/>
        <v>-7.9103349962050901E-2</v>
      </c>
      <c r="BE31" s="15">
        <v>1378866.1961999999</v>
      </c>
      <c r="BF31" s="16">
        <f>テーブル2[[#This Row],[q_P]]/テーブル2[[#This Row],[q_M]]</f>
        <v>0.47584075106995954</v>
      </c>
      <c r="BG31">
        <v>1</v>
      </c>
      <c r="BH31">
        <v>2.6478935571520177E-2</v>
      </c>
      <c r="BI31">
        <v>4.5999999999999999E-2</v>
      </c>
      <c r="BJ31">
        <v>5625</v>
      </c>
      <c r="BK31" s="21">
        <f>1+テーブル2[[#This Row],[A_corr]]*EXP(-テーブル2[[#This Row],[(Tsub-40)^2]]/テーブル2[[#This Row],[σ_corr]])</f>
        <v>1.0459899117930544</v>
      </c>
      <c r="BL31">
        <f>テーブル2[[#This Row],[Ts]]-テーブル2[[#This Row],[Tin]]</f>
        <v>38.889258106851003</v>
      </c>
      <c r="BM31">
        <f>テーブル2[[#This Row],[q_P]]*0.000001</f>
        <v>0.65612072642478614</v>
      </c>
      <c r="BN31">
        <f>テーブル2[[#This Row],[Tsub]]</f>
        <v>38.889258106851003</v>
      </c>
      <c r="BO31">
        <f>テーブル2[[#This Row],[Fcorr]]</f>
        <v>1.0459899117930544</v>
      </c>
      <c r="BP31">
        <f>(テーブル2[[#This Row],[Tsub]]-40)^2</f>
        <v>1.2337475531962188</v>
      </c>
      <c r="BQ31" s="10">
        <v>0.95858533644210819</v>
      </c>
      <c r="BR31">
        <v>4.2670000000000003</v>
      </c>
    </row>
    <row r="32" spans="1:70" x14ac:dyDescent="0.15">
      <c r="A32" s="9" t="s">
        <v>116</v>
      </c>
      <c r="B32">
        <v>14478989.699999999</v>
      </c>
      <c r="C32" s="21" cm="1">
        <f t="array" ref="C32">TsatFromP(テーブル2[[#This Row],[P]])</f>
        <v>612.48370255129544</v>
      </c>
      <c r="D32">
        <f t="array" ref="D32">RhoGFromP(テーブル2[[#This Row],[P]])</f>
        <v>91.580011978832957</v>
      </c>
      <c r="E32">
        <f t="array" ref="E32">RhoFFromP(テーブル2[[#This Row],[P]])</f>
        <v>612.82339669043313</v>
      </c>
      <c r="F32">
        <f t="array" ref="F32">HgFromP(テーブル2[[#This Row],[P]])</f>
        <v>2625160.7264840975</v>
      </c>
      <c r="G32">
        <f t="array" ref="G32">HfFromP(テーブル2[[#This Row],[P]])</f>
        <v>1589756.0808983105</v>
      </c>
      <c r="H32">
        <f t="array" ref="H32">MuGFromP(テーブル2[[#This Row],[P]])</f>
        <v>2.2406167499944594E-5</v>
      </c>
      <c r="I32">
        <f t="array" ref="I32">MuFFromP(テーブル2[[#This Row],[P]])</f>
        <v>7.0614185977515193E-5</v>
      </c>
      <c r="J32">
        <f t="array" ref="J32">KfFromP(テーブル2[[#This Row],[P]])</f>
        <v>0.48330738078477459</v>
      </c>
      <c r="K32">
        <f t="array" ref="K32">CpFFromP(テーブル2[[#This Row],[P]])</f>
        <v>8121.4802011854335</v>
      </c>
      <c r="L32">
        <f t="array" ref="L32">SigmaFromP(テーブル2[[#This Row],[P]])</f>
        <v>5.7214247636284644E-3</v>
      </c>
      <c r="M32" s="22">
        <v>297</v>
      </c>
      <c r="N32">
        <v>3987.9960000000001</v>
      </c>
      <c r="O32" s="8">
        <v>8.7843467213758383E-5</v>
      </c>
      <c r="P32" s="8">
        <v>2.9843873572041598E-2</v>
      </c>
      <c r="Q32">
        <v>1.1773735336561952E-2</v>
      </c>
      <c r="R32">
        <v>4.2545000000000002</v>
      </c>
      <c r="S32" s="15">
        <v>924404.83203125</v>
      </c>
      <c r="T32">
        <v>557.20555555555552</v>
      </c>
      <c r="U32" s="12">
        <f>+T32+BG32*S32*テーブル2[[#This Row],[Pw]]*R32/(N32*O32*K32)</f>
        <v>598.45960201127059</v>
      </c>
      <c r="V32">
        <v>0.03</v>
      </c>
      <c r="W32" s="8">
        <f t="shared" si="29"/>
        <v>1685458.0532544099</v>
      </c>
      <c r="X32">
        <v>1.5724088035081955E-2</v>
      </c>
      <c r="Y32">
        <f t="shared" si="32"/>
        <v>7.9747534779185463</v>
      </c>
      <c r="Z32">
        <f t="shared" si="30"/>
        <v>7.9747534869978196</v>
      </c>
      <c r="AA32">
        <f t="shared" si="33"/>
        <v>-9.0792733331568343E-9</v>
      </c>
      <c r="AB32">
        <f t="shared" si="34"/>
        <v>1.3459715100159322E-5</v>
      </c>
      <c r="AC32">
        <v>627.33477353950366</v>
      </c>
      <c r="AD32">
        <f t="shared" si="31"/>
        <v>37361.619458258676</v>
      </c>
      <c r="AE32">
        <f t="shared" si="6"/>
        <v>598.45960228461831</v>
      </c>
      <c r="AF32" s="14">
        <f t="shared" si="35"/>
        <v>2.7334772312315181E-7</v>
      </c>
      <c r="AG32">
        <v>1.347554025613206E-5</v>
      </c>
      <c r="AH32">
        <f t="shared" si="36"/>
        <v>51.009324233563362</v>
      </c>
      <c r="AI32">
        <f t="shared" si="37"/>
        <v>0.28850750578791728</v>
      </c>
      <c r="AJ32">
        <f t="shared" si="38"/>
        <v>33.7401246409053</v>
      </c>
      <c r="AK32">
        <f t="array" ref="AK32">+S32*テーブル2[[#This Row],[F_form]]/(E32*CpFromTP((テーブル2[[#This Row],[Tin]]+テーブル2[[#This Row],[Tf]])/2,テーブル2[[#This Row],[P]])*AI32)</f>
        <v>0.93354967251529641</v>
      </c>
      <c r="AL32">
        <f t="shared" si="39"/>
        <v>1.186598293632519</v>
      </c>
      <c r="AM32">
        <f t="shared" si="40"/>
        <v>612.48370254841529</v>
      </c>
      <c r="AN32">
        <f t="shared" si="41"/>
        <v>2.8801423468394205E-9</v>
      </c>
      <c r="AO32">
        <f t="shared" si="42"/>
        <v>1.5825155972737511E-8</v>
      </c>
      <c r="AP32">
        <v>3.4691959083873996</v>
      </c>
      <c r="AQ32">
        <f t="shared" si="43"/>
        <v>3.7489687812728932E-5</v>
      </c>
      <c r="AR32">
        <f t="shared" si="44"/>
        <v>6.7456827060523985E-6</v>
      </c>
      <c r="AS32">
        <f t="shared" si="45"/>
        <v>16.889873872525268</v>
      </c>
      <c r="AT32">
        <f t="shared" si="46"/>
        <v>11.083571316044765</v>
      </c>
      <c r="AU32">
        <f t="shared" si="47"/>
        <v>3.1976935156145787</v>
      </c>
      <c r="AV32">
        <f t="shared" si="48"/>
        <v>0.27150239277282084</v>
      </c>
      <c r="AW32">
        <f t="shared" si="49"/>
        <v>8.4786328329570001E-3</v>
      </c>
      <c r="AX32">
        <f t="shared" si="50"/>
        <v>0.27150238104483249</v>
      </c>
      <c r="AY32">
        <f t="shared" si="51"/>
        <v>1.1727988358245511E-8</v>
      </c>
      <c r="AZ32">
        <f t="shared" si="52"/>
        <v>1035404.645585787</v>
      </c>
      <c r="BA32">
        <f t="shared" si="53"/>
        <v>1.0806448757215159E-5</v>
      </c>
      <c r="BB32" s="15">
        <f t="shared" si="54"/>
        <v>929202.66681346158</v>
      </c>
      <c r="BC32" s="20">
        <f t="shared" si="55"/>
        <v>4797.8347822115757</v>
      </c>
      <c r="BD32" s="19">
        <f t="shared" si="56"/>
        <v>0.51901879089803182</v>
      </c>
      <c r="BE32" s="15">
        <v>1618518.0035999999</v>
      </c>
      <c r="BF32" s="16">
        <f>テーブル2[[#This Row],[q_P]]/テーブル2[[#This Row],[q_M]]</f>
        <v>0.57410709349335387</v>
      </c>
      <c r="BG32">
        <v>1</v>
      </c>
      <c r="BH32">
        <v>-2.5267355203347979E-2</v>
      </c>
      <c r="BI32">
        <v>4.5999999999999999E-2</v>
      </c>
      <c r="BJ32">
        <v>5625</v>
      </c>
      <c r="BK32" s="21">
        <f>1+テーブル2[[#This Row],[A_corr]]*EXP(-テーブル2[[#This Row],[(Tsub-40)^2]]/テーブル2[[#This Row],[σ_corr]])</f>
        <v>1.0441301927890498</v>
      </c>
      <c r="BL32">
        <f>テーブル2[[#This Row],[Ts]]-テーブル2[[#This Row],[Tin]]</f>
        <v>55.278146995739917</v>
      </c>
      <c r="BM32">
        <f>テーブル2[[#This Row],[q_P]]*0.000001</f>
        <v>0.92920266681346153</v>
      </c>
      <c r="BN32">
        <f>テーブル2[[#This Row],[Tsub]]</f>
        <v>55.278146995739917</v>
      </c>
      <c r="BO32">
        <f>テーブル2[[#This Row],[Fcorr]]</f>
        <v>1.0441301927890498</v>
      </c>
      <c r="BP32">
        <f>(テーブル2[[#This Row],[Tsub]]-40)^2</f>
        <v>233.42177562343664</v>
      </c>
      <c r="BQ32" s="10">
        <v>0.98321816626796543</v>
      </c>
      <c r="BR32">
        <v>4.2670000000000003</v>
      </c>
    </row>
    <row r="33" spans="1:70" x14ac:dyDescent="0.15">
      <c r="A33" s="9" t="s">
        <v>117</v>
      </c>
      <c r="B33">
        <v>14478989.699999999</v>
      </c>
      <c r="C33" s="21" cm="1">
        <f t="array" ref="C33">TsatFromP(テーブル2[[#This Row],[P]])</f>
        <v>612.48370255129544</v>
      </c>
      <c r="D33">
        <f t="array" ref="D33">RhoGFromP(テーブル2[[#This Row],[P]])</f>
        <v>91.580011978832957</v>
      </c>
      <c r="E33">
        <f t="array" ref="E33">RhoFFromP(テーブル2[[#This Row],[P]])</f>
        <v>612.82339669043313</v>
      </c>
      <c r="F33">
        <f t="array" ref="F33">HgFromP(テーブル2[[#This Row],[P]])</f>
        <v>2625160.7264840975</v>
      </c>
      <c r="G33">
        <f t="array" ref="G33">HfFromP(テーブル2[[#This Row],[P]])</f>
        <v>1589756.0808983105</v>
      </c>
      <c r="H33">
        <f t="array" ref="H33">MuGFromP(テーブル2[[#This Row],[P]])</f>
        <v>2.2406167499944594E-5</v>
      </c>
      <c r="I33">
        <f t="array" ref="I33">MuFFromP(テーブル2[[#This Row],[P]])</f>
        <v>7.0614185977515193E-5</v>
      </c>
      <c r="J33">
        <f t="array" ref="J33">KfFromP(テーブル2[[#This Row],[P]])</f>
        <v>0.48330738078477459</v>
      </c>
      <c r="K33">
        <f t="array" ref="K33">CpFFromP(テーブル2[[#This Row],[P]])</f>
        <v>8121.4802011854335</v>
      </c>
      <c r="L33">
        <f t="array" ref="L33">SigmaFromP(テーブル2[[#This Row],[P]])</f>
        <v>5.7214247636284644E-3</v>
      </c>
      <c r="M33">
        <v>298</v>
      </c>
      <c r="N33">
        <v>3381.864</v>
      </c>
      <c r="O33" s="8">
        <v>8.7843467213758383E-5</v>
      </c>
      <c r="P33" s="8">
        <v>2.9843873572041598E-2</v>
      </c>
      <c r="Q33">
        <v>1.1773735336561952E-2</v>
      </c>
      <c r="R33">
        <v>4.2545000000000002</v>
      </c>
      <c r="S33" s="15">
        <v>1103174.1211362497</v>
      </c>
      <c r="T33">
        <v>534.98333333333335</v>
      </c>
      <c r="U33" s="12">
        <f>+T33+BG33*S33*テーブル2[[#This Row],[Pw]]*R33/(N33*O33*K33)</f>
        <v>593.03931689273429</v>
      </c>
      <c r="V33">
        <v>0.03</v>
      </c>
      <c r="W33" s="8">
        <f t="shared" si="29"/>
        <v>1429286.7680436922</v>
      </c>
      <c r="X33">
        <v>1.6646081566640145E-2</v>
      </c>
      <c r="Y33">
        <f t="shared" si="32"/>
        <v>7.7507546730943346</v>
      </c>
      <c r="Z33">
        <f t="shared" si="30"/>
        <v>7.7507546848786424</v>
      </c>
      <c r="AA33">
        <f t="shared" si="33"/>
        <v>-1.1784307751838696E-8</v>
      </c>
      <c r="AB33">
        <f t="shared" si="34"/>
        <v>1.7680171212762467E-5</v>
      </c>
      <c r="AC33">
        <v>634.5174705615226</v>
      </c>
      <c r="AD33">
        <f t="shared" si="31"/>
        <v>32598.708402301083</v>
      </c>
      <c r="AE33">
        <f t="shared" si="6"/>
        <v>593.0393168927344</v>
      </c>
      <c r="AF33" s="14">
        <f t="shared" si="35"/>
        <v>0</v>
      </c>
      <c r="AG33">
        <v>1.7703488495722873E-5</v>
      </c>
      <c r="AH33">
        <f t="shared" si="36"/>
        <v>38.832823696854994</v>
      </c>
      <c r="AI33">
        <f t="shared" si="37"/>
        <v>0.25172816889168775</v>
      </c>
      <c r="AJ33">
        <f t="shared" si="38"/>
        <v>38.675331992842381</v>
      </c>
      <c r="AK33">
        <f t="array" ref="AK33">+S33*テーブル2[[#This Row],[F_form]]/(E33*CpFromTP((テーブル2[[#This Row],[Tin]]+テーブル2[[#This Row],[Tf]])/2,テーブル2[[#This Row],[P]])*AI33)</f>
        <v>1.3559692528915452</v>
      </c>
      <c r="AL33">
        <f t="shared" si="39"/>
        <v>1.186598293632519</v>
      </c>
      <c r="AM33">
        <f t="shared" si="40"/>
        <v>612.48370254444887</v>
      </c>
      <c r="AN33">
        <f t="shared" si="41"/>
        <v>6.8465624281088822E-9</v>
      </c>
      <c r="AO33">
        <f t="shared" si="42"/>
        <v>2.3317282960405832E-8</v>
      </c>
      <c r="AP33">
        <v>3.2174732175747196</v>
      </c>
      <c r="AQ33">
        <f t="shared" si="43"/>
        <v>4.3585255275184831E-5</v>
      </c>
      <c r="AR33">
        <f t="shared" si="44"/>
        <v>8.8634028893416392E-6</v>
      </c>
      <c r="AS33">
        <f t="shared" si="45"/>
        <v>19.363135656253561</v>
      </c>
      <c r="AT33">
        <f t="shared" si="46"/>
        <v>11.766855172244885</v>
      </c>
      <c r="AU33">
        <f t="shared" si="47"/>
        <v>2.9620489061228898</v>
      </c>
      <c r="AV33">
        <f t="shared" si="48"/>
        <v>0.25542431145182976</v>
      </c>
      <c r="AW33">
        <f t="shared" si="49"/>
        <v>1.1137210484867889E-2</v>
      </c>
      <c r="AX33">
        <f t="shared" si="50"/>
        <v>0.25542430958490508</v>
      </c>
      <c r="AY33">
        <f t="shared" si="51"/>
        <v>1.8669246704128284E-9</v>
      </c>
      <c r="AZ33">
        <f t="shared" si="52"/>
        <v>1035404.645585787</v>
      </c>
      <c r="BA33">
        <f t="shared" si="53"/>
        <v>1.3546423646080482E-5</v>
      </c>
      <c r="BB33" s="15">
        <f t="shared" si="54"/>
        <v>1092191.3594441614</v>
      </c>
      <c r="BC33" s="20">
        <f t="shared" si="55"/>
        <v>-10982.76169208833</v>
      </c>
      <c r="BD33" s="19">
        <f t="shared" si="56"/>
        <v>-0.99556012796749438</v>
      </c>
      <c r="BE33" s="15">
        <v>1608098.3597999997</v>
      </c>
      <c r="BF33" s="16">
        <f>テーブル2[[#This Row],[q_P]]/テーブル2[[#This Row],[q_M]]</f>
        <v>0.6791819373411947</v>
      </c>
      <c r="BG33">
        <v>1</v>
      </c>
      <c r="BH33">
        <v>-9.9971246371980252E-2</v>
      </c>
      <c r="BI33">
        <v>4.5999999999999999E-2</v>
      </c>
      <c r="BJ33">
        <v>5625</v>
      </c>
      <c r="BK33" s="21">
        <f>1+テーブル2[[#This Row],[A_corr]]*EXP(-テーブル2[[#This Row],[(Tsub-40)^2]]/テーブル2[[#This Row],[σ_corr]])</f>
        <v>1.0358246596585445</v>
      </c>
      <c r="BL33">
        <f>テーブル2[[#This Row],[Ts]]-テーブル2[[#This Row],[Tin]]</f>
        <v>77.500369217962088</v>
      </c>
      <c r="BM33">
        <f>テーブル2[[#This Row],[q_P]]*0.000001</f>
        <v>1.0921913594441615</v>
      </c>
      <c r="BN33">
        <f>テーブル2[[#This Row],[Tsub]]</f>
        <v>77.500369217962088</v>
      </c>
      <c r="BO33">
        <f>テーブル2[[#This Row],[Fcorr]]</f>
        <v>1.0358246596585445</v>
      </c>
      <c r="BP33">
        <f>(テーブル2[[#This Row],[Tsub]]-40)^2</f>
        <v>1406.2776914834785</v>
      </c>
      <c r="BQ33" s="10">
        <v>1.0039034889443221</v>
      </c>
      <c r="BR33">
        <v>4.2670000000000003</v>
      </c>
    </row>
    <row r="34" spans="1:70" x14ac:dyDescent="0.15">
      <c r="A34" s="9" t="s">
        <v>118</v>
      </c>
      <c r="B34">
        <v>14478989.699999999</v>
      </c>
      <c r="C34" s="21" cm="1">
        <f t="array" ref="C34">TsatFromP(テーブル2[[#This Row],[P]])</f>
        <v>612.48370255129544</v>
      </c>
      <c r="D34">
        <f t="array" ref="D34">RhoGFromP(テーブル2[[#This Row],[P]])</f>
        <v>91.580011978832957</v>
      </c>
      <c r="E34">
        <f t="array" ref="E34">RhoFFromP(テーブル2[[#This Row],[P]])</f>
        <v>612.82339669043313</v>
      </c>
      <c r="F34">
        <f t="array" ref="F34">HgFromP(テーブル2[[#This Row],[P]])</f>
        <v>2625160.7264840975</v>
      </c>
      <c r="G34">
        <f t="array" ref="G34">HfFromP(テーブル2[[#This Row],[P]])</f>
        <v>1589756.0808983105</v>
      </c>
      <c r="H34">
        <f t="array" ref="H34">MuGFromP(テーブル2[[#This Row],[P]])</f>
        <v>2.2406167499944594E-5</v>
      </c>
      <c r="I34">
        <f t="array" ref="I34">MuFFromP(テーブル2[[#This Row],[P]])</f>
        <v>7.0614185977515193E-5</v>
      </c>
      <c r="J34">
        <f t="array" ref="J34">KfFromP(テーブル2[[#This Row],[P]])</f>
        <v>0.48330738078477459</v>
      </c>
      <c r="K34">
        <f t="array" ref="K34">CpFFromP(テーブル2[[#This Row],[P]])</f>
        <v>8121.4802011854335</v>
      </c>
      <c r="L34">
        <f t="array" ref="L34">SigmaFromP(テーブル2[[#This Row],[P]])</f>
        <v>5.7214247636284644E-3</v>
      </c>
      <c r="M34" s="22">
        <v>301</v>
      </c>
      <c r="N34">
        <v>2725.5599999999995</v>
      </c>
      <c r="O34" s="8">
        <v>8.7843467213758383E-5</v>
      </c>
      <c r="P34" s="8">
        <v>2.9843873572041598E-2</v>
      </c>
      <c r="Q34">
        <v>1.1773735336561952E-2</v>
      </c>
      <c r="R34">
        <v>4.2545000000000002</v>
      </c>
      <c r="S34" s="15">
        <v>1182279.10546875</v>
      </c>
      <c r="T34">
        <v>510.81666666666661</v>
      </c>
      <c r="U34" s="12">
        <f>+T34+BG34*S34*テーブル2[[#This Row],[Pw]]*R34/(N34*O34*K34)</f>
        <v>588.01773810751013</v>
      </c>
      <c r="V34">
        <v>0.03</v>
      </c>
      <c r="W34" s="8">
        <f t="shared" si="29"/>
        <v>1151911.1482629592</v>
      </c>
      <c r="X34">
        <v>1.7980892766135202E-2</v>
      </c>
      <c r="Y34">
        <f t="shared" si="32"/>
        <v>7.4575191026675158</v>
      </c>
      <c r="Z34">
        <f t="shared" si="30"/>
        <v>7.4575191136027144</v>
      </c>
      <c r="AA34">
        <f t="shared" si="33"/>
        <v>-1.093519852446434E-8</v>
      </c>
      <c r="AB34">
        <f t="shared" si="34"/>
        <v>2.5199273325269434E-5</v>
      </c>
      <c r="AC34">
        <v>642.84024303461854</v>
      </c>
      <c r="AD34">
        <f t="shared" si="31"/>
        <v>27305.467577339827</v>
      </c>
      <c r="AE34">
        <f t="shared" ref="AE34:AE59" si="57">+gettm2(AD34,AC34,AK34,AL34,1)</f>
        <v>588.01773810751013</v>
      </c>
      <c r="AF34" s="14">
        <f t="shared" si="35"/>
        <v>0</v>
      </c>
      <c r="AG34">
        <v>2.5233419068386038E-5</v>
      </c>
      <c r="AH34">
        <f t="shared" si="36"/>
        <v>27.245665490954185</v>
      </c>
      <c r="AI34">
        <f t="shared" si="37"/>
        <v>0.21085361018444254</v>
      </c>
      <c r="AJ34">
        <f t="shared" si="38"/>
        <v>46.174321478343458</v>
      </c>
      <c r="AK34">
        <f t="array" ref="AK34">+S34*テーブル2[[#This Row],[F_form]]/(E34*CpFromTP((テーブル2[[#This Row],[Tin]]+テーブル2[[#This Row],[Tf]])/2,テーブル2[[#This Row],[P]])*AI34)</f>
        <v>1.8185720581104372</v>
      </c>
      <c r="AL34">
        <f t="shared" si="39"/>
        <v>1.186598293632519</v>
      </c>
      <c r="AM34">
        <f t="shared" si="40"/>
        <v>612.48370251390634</v>
      </c>
      <c r="AN34">
        <f t="shared" si="41"/>
        <v>3.7389099816209637E-8</v>
      </c>
      <c r="AO34">
        <f t="shared" si="42"/>
        <v>3.4145743116604078E-8</v>
      </c>
      <c r="AP34">
        <v>2.9049298043464846</v>
      </c>
      <c r="AQ34">
        <f t="shared" si="43"/>
        <v>5.3468523329745719E-5</v>
      </c>
      <c r="AR34">
        <f t="shared" si="44"/>
        <v>1.2633782405751321E-5</v>
      </c>
      <c r="AS34">
        <f t="shared" si="45"/>
        <v>23.11840217568713</v>
      </c>
      <c r="AT34">
        <f t="shared" si="46"/>
        <v>12.653144656839164</v>
      </c>
      <c r="AU34">
        <f t="shared" si="47"/>
        <v>2.6679612310805272</v>
      </c>
      <c r="AV34">
        <f t="shared" si="48"/>
        <v>0.23696857326595744</v>
      </c>
      <c r="AW34">
        <f t="shared" si="49"/>
        <v>1.5873693060543155E-2</v>
      </c>
      <c r="AX34">
        <f t="shared" si="50"/>
        <v>0.23696857166423113</v>
      </c>
      <c r="AY34">
        <f t="shared" si="51"/>
        <v>1.6017263071432808E-9</v>
      </c>
      <c r="AZ34">
        <f t="shared" si="52"/>
        <v>1035404.645585787</v>
      </c>
      <c r="BA34">
        <f t="shared" si="53"/>
        <v>1.8406132654132897E-5</v>
      </c>
      <c r="BB34" s="15">
        <f t="shared" si="54"/>
        <v>1177116.5556921253</v>
      </c>
      <c r="BC34" s="20">
        <f t="shared" si="55"/>
        <v>-5162.5497766246554</v>
      </c>
      <c r="BD34" s="19">
        <f t="shared" si="56"/>
        <v>-0.43666083184120952</v>
      </c>
      <c r="BE34" s="15">
        <v>1583785.8576000002</v>
      </c>
      <c r="BF34" s="16">
        <f>テーブル2[[#This Row],[q_P]]/テーブル2[[#This Row],[q_M]]</f>
        <v>0.74322961658205244</v>
      </c>
      <c r="BG34">
        <v>1</v>
      </c>
      <c r="BH34">
        <v>-0.15512462797083307</v>
      </c>
      <c r="BI34">
        <v>4.5999999999999999E-2</v>
      </c>
      <c r="BJ34">
        <v>5625</v>
      </c>
      <c r="BK34" s="21">
        <f>1+テーブル2[[#This Row],[A_corr]]*EXP(-テーブル2[[#This Row],[(Tsub-40)^2]]/テーブル2[[#This Row],[σ_corr]])</f>
        <v>1.0233964410356569</v>
      </c>
      <c r="BL34">
        <f>テーブル2[[#This Row],[Ts]]-テーブル2[[#This Row],[Tin]]</f>
        <v>101.66703588462883</v>
      </c>
      <c r="BM34">
        <f>テーブル2[[#This Row],[q_P]]*0.000001</f>
        <v>1.1771165556921253</v>
      </c>
      <c r="BN34">
        <f>テーブル2[[#This Row],[Tsub]]</f>
        <v>101.66703588462883</v>
      </c>
      <c r="BO34">
        <f>テーブル2[[#This Row],[Fcorr]]</f>
        <v>1.0233964410356569</v>
      </c>
      <c r="BP34">
        <f>(テーブル2[[#This Row],[Tsub]]-40)^2</f>
        <v>3802.8233147961</v>
      </c>
      <c r="BQ34" s="10">
        <v>0.99556981787589571</v>
      </c>
      <c r="BR34">
        <v>4.2670000000000003</v>
      </c>
    </row>
    <row r="35" spans="1:70" x14ac:dyDescent="0.15">
      <c r="A35" s="9" t="s">
        <v>119</v>
      </c>
      <c r="B35">
        <v>14478989.699999999</v>
      </c>
      <c r="C35" s="21" cm="1">
        <f t="array" ref="C35">TsatFromP(テーブル2[[#This Row],[P]])</f>
        <v>612.48370255129544</v>
      </c>
      <c r="D35">
        <f t="array" ref="D35">RhoGFromP(テーブル2[[#This Row],[P]])</f>
        <v>91.580011978832957</v>
      </c>
      <c r="E35">
        <f t="array" ref="E35">RhoFFromP(テーブル2[[#This Row],[P]])</f>
        <v>612.82339669043313</v>
      </c>
      <c r="F35">
        <f t="array" ref="F35">HgFromP(テーブル2[[#This Row],[P]])</f>
        <v>2625160.7264840975</v>
      </c>
      <c r="G35">
        <f t="array" ref="G35">HfFromP(テーブル2[[#This Row],[P]])</f>
        <v>1589756.0808983105</v>
      </c>
      <c r="H35">
        <f t="array" ref="H35">MuGFromP(テーブル2[[#This Row],[P]])</f>
        <v>2.2406167499944594E-5</v>
      </c>
      <c r="I35">
        <f t="array" ref="I35">MuFFromP(テーブル2[[#This Row],[P]])</f>
        <v>7.0614185977515193E-5</v>
      </c>
      <c r="J35">
        <f t="array" ref="J35">KfFromP(テーブル2[[#This Row],[P]])</f>
        <v>0.48330738078477459</v>
      </c>
      <c r="K35">
        <f t="array" ref="K35">CpFFromP(テーブル2[[#This Row],[P]])</f>
        <v>8121.4802011854335</v>
      </c>
      <c r="L35">
        <f t="array" ref="L35">SigmaFromP(テーブル2[[#This Row],[P]])</f>
        <v>5.7214247636284644E-3</v>
      </c>
      <c r="M35">
        <v>302</v>
      </c>
      <c r="N35">
        <v>3345.252</v>
      </c>
      <c r="O35" s="8">
        <v>8.7843467213758383E-5</v>
      </c>
      <c r="P35" s="8">
        <v>2.9843873572041598E-2</v>
      </c>
      <c r="Q35">
        <v>1.1773735336561952E-2</v>
      </c>
      <c r="R35">
        <v>4.2545000000000002</v>
      </c>
      <c r="S35" s="15">
        <v>1348150.87890625</v>
      </c>
      <c r="T35">
        <v>515.87222222222226</v>
      </c>
      <c r="U35" s="12">
        <f>+T35+BG35*S35*テーブル2[[#This Row],[Pw]]*R35/(N35*O35*K35)</f>
        <v>587.59691894151626</v>
      </c>
      <c r="V35">
        <v>0.03</v>
      </c>
      <c r="W35" s="8">
        <f t="shared" si="29"/>
        <v>1413813.3347088164</v>
      </c>
      <c r="X35">
        <v>1.67098129407534E-2</v>
      </c>
      <c r="Y35">
        <f t="shared" si="32"/>
        <v>7.7359598293180518</v>
      </c>
      <c r="Z35">
        <f t="shared" si="30"/>
        <v>7.7359598377011789</v>
      </c>
      <c r="AA35">
        <f t="shared" si="33"/>
        <v>-8.3831270814016534E-9</v>
      </c>
      <c r="AB35">
        <f t="shared" si="34"/>
        <v>1.8000372639109338E-5</v>
      </c>
      <c r="AC35">
        <v>640.81499679288652</v>
      </c>
      <c r="AD35">
        <f t="shared" si="31"/>
        <v>32307.464696100233</v>
      </c>
      <c r="AE35">
        <f t="shared" si="57"/>
        <v>587.59691894151626</v>
      </c>
      <c r="AF35" s="14">
        <f t="shared" si="35"/>
        <v>0</v>
      </c>
      <c r="AG35">
        <v>1.8029437977891875E-5</v>
      </c>
      <c r="AH35">
        <f t="shared" si="36"/>
        <v>38.142042134378137</v>
      </c>
      <c r="AI35">
        <f t="shared" si="37"/>
        <v>0.24947917657093699</v>
      </c>
      <c r="AJ35">
        <f t="shared" si="38"/>
        <v>39.035511228472423</v>
      </c>
      <c r="AK35">
        <f t="array" ref="AK35">+S35*テーブル2[[#This Row],[F_form]]/(E35*CpFromTP((テーブル2[[#This Row],[Tin]]+テーブル2[[#This Row],[Tf]])/2,テーブル2[[#This Row],[P]])*AI35)</f>
        <v>1.7410391915449264</v>
      </c>
      <c r="AL35">
        <f t="shared" si="39"/>
        <v>1.186598293632519</v>
      </c>
      <c r="AM35">
        <f t="shared" si="40"/>
        <v>612.48370255083591</v>
      </c>
      <c r="AN35">
        <f t="shared" si="41"/>
        <v>4.5952219807077199E-10</v>
      </c>
      <c r="AO35">
        <f t="shared" si="42"/>
        <v>2.9065338782537011E-8</v>
      </c>
      <c r="AP35">
        <v>3.2018901871931353</v>
      </c>
      <c r="AQ35">
        <f t="shared" si="43"/>
        <v>4.4010531013393535E-5</v>
      </c>
      <c r="AR35">
        <f t="shared" si="44"/>
        <v>9.0292516583372062E-6</v>
      </c>
      <c r="AS35">
        <f t="shared" si="45"/>
        <v>19.549220276634347</v>
      </c>
      <c r="AT35">
        <f t="shared" si="46"/>
        <v>11.81467701043945</v>
      </c>
      <c r="AU35">
        <f t="shared" si="47"/>
        <v>2.9475158920160136</v>
      </c>
      <c r="AV35">
        <f t="shared" si="48"/>
        <v>0.25437429517712173</v>
      </c>
      <c r="AW35">
        <f t="shared" si="49"/>
        <v>1.1338913886937084E-2</v>
      </c>
      <c r="AX35">
        <f t="shared" si="50"/>
        <v>0.25437429371973314</v>
      </c>
      <c r="AY35">
        <f t="shared" si="51"/>
        <v>1.4573885986912671E-9</v>
      </c>
      <c r="AZ35">
        <f t="shared" si="52"/>
        <v>1035404.645585787</v>
      </c>
      <c r="BA35">
        <f t="shared" si="53"/>
        <v>1.3745171895471647E-5</v>
      </c>
      <c r="BB35" s="15">
        <f t="shared" si="54"/>
        <v>1341747.086244744</v>
      </c>
      <c r="BC35" s="20">
        <f t="shared" si="55"/>
        <v>-6403.7926615059841</v>
      </c>
      <c r="BD35" s="19">
        <f t="shared" si="56"/>
        <v>-0.47500563636477827</v>
      </c>
      <c r="BE35" s="15">
        <v>1795651.9481999998</v>
      </c>
      <c r="BF35" s="16">
        <f>テーブル2[[#This Row],[q_P]]/テーブル2[[#This Row],[q_M]]</f>
        <v>0.74722002088976114</v>
      </c>
      <c r="BG35">
        <v>1</v>
      </c>
      <c r="BH35">
        <v>-0.16173137161494791</v>
      </c>
      <c r="BI35">
        <v>4.5999999999999999E-2</v>
      </c>
      <c r="BJ35">
        <v>5625</v>
      </c>
      <c r="BK35" s="21">
        <f>1+テーブル2[[#This Row],[A_corr]]*EXP(-テーブル2[[#This Row],[(Tsub-40)^2]]/テーブル2[[#This Row],[σ_corr]])</f>
        <v>1.0260206007294144</v>
      </c>
      <c r="BL35">
        <f>テーブル2[[#This Row],[Ts]]-テーブル2[[#This Row],[Tin]]</f>
        <v>96.611480329073174</v>
      </c>
      <c r="BM35">
        <f>テーブル2[[#This Row],[q_P]]*0.000001</f>
        <v>1.341747086244744</v>
      </c>
      <c r="BN35">
        <f>テーブル2[[#This Row],[Tsub]]</f>
        <v>96.611480329073174</v>
      </c>
      <c r="BO35">
        <f>テーブル2[[#This Row],[Fcorr]]</f>
        <v>1.0260206007294144</v>
      </c>
      <c r="BP35">
        <f>(テーブル2[[#This Row],[Tsub]]-40)^2</f>
        <v>3204.8597050490389</v>
      </c>
      <c r="BQ35" s="10">
        <v>1.0023212344031545</v>
      </c>
      <c r="BR35">
        <v>4.2670000000000003</v>
      </c>
    </row>
    <row r="36" spans="1:70" x14ac:dyDescent="0.15">
      <c r="A36" s="9" t="s">
        <v>120</v>
      </c>
      <c r="B36">
        <v>14478989.699999999</v>
      </c>
      <c r="C36" s="21" cm="1">
        <f t="array" ref="C36">TsatFromP(テーブル2[[#This Row],[P]])</f>
        <v>612.48370255129544</v>
      </c>
      <c r="D36">
        <f t="array" ref="D36">RhoGFromP(テーブル2[[#This Row],[P]])</f>
        <v>91.580011978832957</v>
      </c>
      <c r="E36">
        <f t="array" ref="E36">RhoFFromP(テーブル2[[#This Row],[P]])</f>
        <v>612.82339669043313</v>
      </c>
      <c r="F36">
        <f t="array" ref="F36">HgFromP(テーブル2[[#This Row],[P]])</f>
        <v>2625160.7264840975</v>
      </c>
      <c r="G36">
        <f t="array" ref="G36">HfFromP(テーブル2[[#This Row],[P]])</f>
        <v>1589756.0808983105</v>
      </c>
      <c r="H36">
        <f t="array" ref="H36">MuGFromP(テーブル2[[#This Row],[P]])</f>
        <v>2.2406167499944594E-5</v>
      </c>
      <c r="I36">
        <f t="array" ref="I36">MuFFromP(テーブル2[[#This Row],[P]])</f>
        <v>7.0614185977515193E-5</v>
      </c>
      <c r="J36">
        <f t="array" ref="J36">KfFromP(テーブル2[[#This Row],[P]])</f>
        <v>0.48330738078477459</v>
      </c>
      <c r="K36">
        <f t="array" ref="K36">CpFFromP(テーブル2[[#This Row],[P]])</f>
        <v>8121.4802011854335</v>
      </c>
      <c r="L36">
        <f t="array" ref="L36">SigmaFromP(テーブル2[[#This Row],[P]])</f>
        <v>5.7214247636284644E-3</v>
      </c>
      <c r="M36" s="22">
        <v>305</v>
      </c>
      <c r="N36">
        <v>2763.5279999999998</v>
      </c>
      <c r="O36" s="8">
        <v>8.7843467213758383E-5</v>
      </c>
      <c r="P36" s="8">
        <v>2.9843873572041598E-2</v>
      </c>
      <c r="Q36">
        <v>1.1773735336561952E-2</v>
      </c>
      <c r="R36">
        <v>4.2545000000000002</v>
      </c>
      <c r="S36" s="15">
        <v>1340168.0010937501</v>
      </c>
      <c r="T36">
        <v>498.03888888888889</v>
      </c>
      <c r="U36" s="12">
        <f>+T36+BG36*S36*テーブル2[[#This Row],[Pw]]*R36/(N36*O36*K36)</f>
        <v>584.34756109290799</v>
      </c>
      <c r="V36">
        <v>0.03</v>
      </c>
      <c r="W36" s="8">
        <f t="shared" si="29"/>
        <v>1167957.6717213488</v>
      </c>
      <c r="X36">
        <v>1.7890589814481706E-2</v>
      </c>
      <c r="Y36">
        <f t="shared" si="32"/>
        <v>7.4763163681007336</v>
      </c>
      <c r="Z36">
        <f t="shared" si="30"/>
        <v>7.4763163747504882</v>
      </c>
      <c r="AA36">
        <f t="shared" si="33"/>
        <v>-6.6497545248012102E-9</v>
      </c>
      <c r="AB36">
        <f t="shared" si="34"/>
        <v>2.4635328916945323E-5</v>
      </c>
      <c r="AC36">
        <v>647.19106588226703</v>
      </c>
      <c r="AD36">
        <f t="shared" si="31"/>
        <v>27616.233354462089</v>
      </c>
      <c r="AE36">
        <f t="shared" si="57"/>
        <v>584.34756156481865</v>
      </c>
      <c r="AF36" s="14">
        <f t="shared" si="35"/>
        <v>4.7191065277729649E-7</v>
      </c>
      <c r="AG36">
        <v>2.4673390203434596E-5</v>
      </c>
      <c r="AH36">
        <f t="shared" si="36"/>
        <v>27.869364925067444</v>
      </c>
      <c r="AI36">
        <f t="shared" si="37"/>
        <v>0.21325335250133956</v>
      </c>
      <c r="AJ36">
        <f t="shared" si="38"/>
        <v>45.663382124905269</v>
      </c>
      <c r="AK36">
        <f t="array" ref="AK36">+S36*テーブル2[[#This Row],[F_form]]/(E36*CpFromTP((テーブル2[[#This Row],[Tin]]+テーブル2[[#This Row],[Tf]])/2,テーブル2[[#This Row],[P]])*AI36)</f>
        <v>2.0826879681350849</v>
      </c>
      <c r="AL36">
        <f t="shared" si="39"/>
        <v>1.186598293632519</v>
      </c>
      <c r="AM36">
        <f t="shared" si="40"/>
        <v>612.48370249654886</v>
      </c>
      <c r="AN36">
        <f t="shared" si="41"/>
        <v>5.4746578825870529E-8</v>
      </c>
      <c r="AO36">
        <f t="shared" si="42"/>
        <v>3.8061286489272559E-8</v>
      </c>
      <c r="AP36">
        <v>2.9247075504389062</v>
      </c>
      <c r="AQ36">
        <f t="shared" si="43"/>
        <v>5.2747828122378297E-5</v>
      </c>
      <c r="AR36">
        <f t="shared" si="44"/>
        <v>1.2355725744961934E-5</v>
      </c>
      <c r="AS36">
        <f t="shared" si="45"/>
        <v>22.866911335280879</v>
      </c>
      <c r="AT36">
        <f t="shared" si="46"/>
        <v>12.598454729000562</v>
      </c>
      <c r="AU36">
        <f t="shared" si="47"/>
        <v>2.6866627072957252</v>
      </c>
      <c r="AV36">
        <f t="shared" si="48"/>
        <v>0.23804484314318097</v>
      </c>
      <c r="AW36">
        <f t="shared" si="49"/>
        <v>1.5518449465801486E-2</v>
      </c>
      <c r="AX36">
        <f t="shared" si="50"/>
        <v>0.23804484060267619</v>
      </c>
      <c r="AY36">
        <f t="shared" si="51"/>
        <v>2.5405047787696589E-9</v>
      </c>
      <c r="AZ36">
        <f t="shared" si="52"/>
        <v>1035404.645585787</v>
      </c>
      <c r="BA36">
        <f t="shared" si="53"/>
        <v>1.8035248725795683E-5</v>
      </c>
      <c r="BB36" s="15">
        <f t="shared" si="54"/>
        <v>1339080.7730282384</v>
      </c>
      <c r="BC36" s="20">
        <f t="shared" si="55"/>
        <v>-1087.2280655116774</v>
      </c>
      <c r="BD36" s="19">
        <f t="shared" si="56"/>
        <v>-8.1126251680711595E-2</v>
      </c>
      <c r="BE36" s="15">
        <v>1691455.5101999997</v>
      </c>
      <c r="BF36" s="16">
        <f>テーブル2[[#This Row],[q_P]]/テーブル2[[#This Row],[q_M]]</f>
        <v>0.79167365913745136</v>
      </c>
      <c r="BG36">
        <v>1</v>
      </c>
      <c r="BH36">
        <v>-0.2039811935761898</v>
      </c>
      <c r="BI36">
        <v>4.5999999999999999E-2</v>
      </c>
      <c r="BJ36">
        <v>5625</v>
      </c>
      <c r="BK36" s="21">
        <f>1+テーブル2[[#This Row],[A_corr]]*EXP(-テーブル2[[#This Row],[(Tsub-40)^2]]/テーブル2[[#This Row],[σ_corr]])</f>
        <v>1.0171739133825397</v>
      </c>
      <c r="BL36">
        <f>テーブル2[[#This Row],[Ts]]-テーブル2[[#This Row],[Tin]]</f>
        <v>114.44481366240655</v>
      </c>
      <c r="BM36">
        <f>テーブル2[[#This Row],[q_P]]*0.000001</f>
        <v>1.3390807730282384</v>
      </c>
      <c r="BN36">
        <f>テーブル2[[#This Row],[Tsub]]</f>
        <v>114.44481366240655</v>
      </c>
      <c r="BO36">
        <f>テーブル2[[#This Row],[Fcorr]]</f>
        <v>1.0171739133825397</v>
      </c>
      <c r="BP36">
        <f>(テーブル2[[#This Row],[Tsub]]-40)^2</f>
        <v>5542.0302812304326</v>
      </c>
      <c r="BQ36" s="10">
        <v>0.98495625872635451</v>
      </c>
      <c r="BR36">
        <v>4.2670000000000003</v>
      </c>
    </row>
    <row r="37" spans="1:70" x14ac:dyDescent="0.15">
      <c r="A37" s="9" t="s">
        <v>121</v>
      </c>
      <c r="B37">
        <v>16581890.584999999</v>
      </c>
      <c r="C37" s="21" cm="1">
        <f t="array" ref="C37">TsatFromP(テーブル2[[#This Row],[P]])</f>
        <v>623.40834329200698</v>
      </c>
      <c r="D37">
        <f t="array" ref="D37">RhoGFromP(テーブル2[[#This Row],[P]])</f>
        <v>114.24072089270538</v>
      </c>
      <c r="E37">
        <f t="array" ref="E37">RhoFFromP(テーブル2[[#This Row],[P]])</f>
        <v>573.66553119769708</v>
      </c>
      <c r="F37">
        <f t="array" ref="F37">HgFromP(テーブル2[[#This Row],[P]])</f>
        <v>2561880.926064556</v>
      </c>
      <c r="G37">
        <f t="array" ref="G37">HfFromP(テーブル2[[#This Row],[P]])</f>
        <v>1673008.4528857057</v>
      </c>
      <c r="H37">
        <f t="array" ref="H37">MuGFromP(テーブル2[[#This Row],[P]])</f>
        <v>2.3778054068935119E-5</v>
      </c>
      <c r="I37">
        <f t="array" ref="I37">MuFFromP(テーブル2[[#This Row],[P]])</f>
        <v>6.5676255486798709E-5</v>
      </c>
      <c r="J37">
        <f t="array" ref="J37">KfFromP(テーブル2[[#This Row],[P]])</f>
        <v>0.4599028461125329</v>
      </c>
      <c r="K37">
        <f t="array" ref="K37">CpFFromP(テーブル2[[#This Row],[P]])</f>
        <v>10188.161618072991</v>
      </c>
      <c r="L37">
        <f t="array" ref="L37">SigmaFromP(テーブル2[[#This Row],[P]])</f>
        <v>3.6065031383353337E-3</v>
      </c>
      <c r="M37">
        <v>310</v>
      </c>
      <c r="N37">
        <v>3396.78</v>
      </c>
      <c r="O37" s="8">
        <v>8.7843467213758383E-5</v>
      </c>
      <c r="P37" s="8">
        <v>2.9843873572041598E-2</v>
      </c>
      <c r="Q37">
        <v>1.1773735336561952E-2</v>
      </c>
      <c r="R37">
        <v>4.2545000000000002</v>
      </c>
      <c r="S37" s="15">
        <v>1229441.4184687498</v>
      </c>
      <c r="T37">
        <v>548.03888888888889</v>
      </c>
      <c r="U37" s="12">
        <f>+T37+BG37*S37*テーブル2[[#This Row],[Pw]]*R37/(N37*O37*K37)</f>
        <v>599.38869933617286</v>
      </c>
      <c r="V37">
        <v>0.03</v>
      </c>
      <c r="W37" s="8">
        <f t="shared" si="29"/>
        <v>1543526.988873719</v>
      </c>
      <c r="X37">
        <v>1.5256082746684437E-2</v>
      </c>
      <c r="Y37">
        <f t="shared" si="32"/>
        <v>8.0961488128523058</v>
      </c>
      <c r="Z37">
        <f t="shared" si="30"/>
        <v>8.0961488156324393</v>
      </c>
      <c r="AA37">
        <f t="shared" si="33"/>
        <v>-2.7801334567811864E-9</v>
      </c>
      <c r="AB37">
        <f t="shared" si="34"/>
        <v>1.1283359577166686E-5</v>
      </c>
      <c r="AC37">
        <v>649.0575399451252</v>
      </c>
      <c r="AD37">
        <f t="shared" si="31"/>
        <v>33702.394373126059</v>
      </c>
      <c r="AE37">
        <f t="shared" si="57"/>
        <v>599.38869933617298</v>
      </c>
      <c r="AF37" s="14">
        <f t="shared" si="35"/>
        <v>0</v>
      </c>
      <c r="AG37">
        <v>1.1310751462999898E-5</v>
      </c>
      <c r="AH37">
        <f t="shared" si="36"/>
        <v>38.355631019331</v>
      </c>
      <c r="AI37">
        <f t="shared" si="37"/>
        <v>0.25857419900883644</v>
      </c>
      <c r="AJ37">
        <f t="shared" si="38"/>
        <v>25.546241880581558</v>
      </c>
      <c r="AK37">
        <f t="array" ref="AK37">+S37*テーブル2[[#This Row],[F_form]]/(E37*CpFromTP((テーブル2[[#This Row],[Tin]]+テーブル2[[#This Row],[Tf]])/2,テーブル2[[#This Row],[P]])*AI37)</f>
        <v>1.5097678570198023</v>
      </c>
      <c r="AL37">
        <f t="shared" si="39"/>
        <v>1.4549166438635874</v>
      </c>
      <c r="AM37">
        <f t="shared" si="40"/>
        <v>623.40834328888127</v>
      </c>
      <c r="AN37">
        <f t="shared" si="41"/>
        <v>3.1257059163181111E-9</v>
      </c>
      <c r="AO37">
        <f t="shared" si="42"/>
        <v>2.7391885833211955E-8</v>
      </c>
      <c r="AP37">
        <v>2.7502079838986497</v>
      </c>
      <c r="AQ37">
        <f t="shared" si="43"/>
        <v>3.1447394688115048E-5</v>
      </c>
      <c r="AR37">
        <f t="shared" si="44"/>
        <v>5.6690716744165547E-6</v>
      </c>
      <c r="AS37">
        <f t="shared" si="45"/>
        <v>12.804054328905565</v>
      </c>
      <c r="AT37">
        <f t="shared" si="46"/>
        <v>9.6988093260919346</v>
      </c>
      <c r="AU37">
        <f t="shared" si="47"/>
        <v>2.5078618528336545</v>
      </c>
      <c r="AV37">
        <f t="shared" si="48"/>
        <v>0.24234613106499525</v>
      </c>
      <c r="AW37">
        <f t="shared" si="49"/>
        <v>8.4047397913388881E-3</v>
      </c>
      <c r="AX37">
        <f t="shared" si="50"/>
        <v>0.24234612478412951</v>
      </c>
      <c r="AY37">
        <f t="shared" si="51"/>
        <v>6.2808657441681959E-9</v>
      </c>
      <c r="AZ37">
        <f t="shared" si="52"/>
        <v>888872.47317885025</v>
      </c>
      <c r="BA37">
        <f t="shared" si="53"/>
        <v>1.1434551449281933E-5</v>
      </c>
      <c r="BB37" s="15">
        <f t="shared" si="54"/>
        <v>1221521.2121485453</v>
      </c>
      <c r="BC37" s="20">
        <f t="shared" si="55"/>
        <v>-7920.2063202045392</v>
      </c>
      <c r="BD37" s="19">
        <f t="shared" si="56"/>
        <v>-0.64421176977013128</v>
      </c>
      <c r="BE37" s="15">
        <v>1635884.0766</v>
      </c>
      <c r="BF37" s="16">
        <f>テーブル2[[#This Row],[q_P]]/テーブル2[[#This Row],[q_M]]</f>
        <v>0.74670401749208226</v>
      </c>
      <c r="BG37">
        <v>1</v>
      </c>
      <c r="BH37">
        <v>-0.18803060833863286</v>
      </c>
      <c r="BI37">
        <v>4.5999999999999999E-2</v>
      </c>
      <c r="BJ37">
        <v>5625</v>
      </c>
      <c r="BK37" s="21">
        <f>1+テーブル2[[#This Row],[A_corr]]*EXP(-テーブル2[[#This Row],[(Tsub-40)^2]]/テーブル2[[#This Row],[σ_corr]])</f>
        <v>1.0368273839624609</v>
      </c>
      <c r="BL37">
        <f>テーブル2[[#This Row],[Ts]]-テーブル2[[#This Row],[Tin]]</f>
        <v>75.369454403118084</v>
      </c>
      <c r="BM37">
        <f>テーブル2[[#This Row],[q_P]]*0.000001</f>
        <v>1.2215212121485453</v>
      </c>
      <c r="BN37">
        <f>テーブル2[[#This Row],[Tsub]]</f>
        <v>75.369454403118084</v>
      </c>
      <c r="BO37">
        <f>テーブル2[[#This Row],[Fcorr]]</f>
        <v>1.0368273839624609</v>
      </c>
      <c r="BP37">
        <f>(テーブル2[[#This Row],[Tsub]]-40)^2</f>
        <v>1250.9983047742492</v>
      </c>
      <c r="BQ37" s="10">
        <v>1.0021072901767436</v>
      </c>
      <c r="BR37">
        <v>4.2670000000000003</v>
      </c>
    </row>
    <row r="38" spans="1:70" x14ac:dyDescent="0.15">
      <c r="A38" s="9" t="s">
        <v>122</v>
      </c>
      <c r="B38">
        <v>14444515.914999999</v>
      </c>
      <c r="C38" s="21" cm="1">
        <f t="array" ref="C38">TsatFromP(テーブル2[[#This Row],[P]])</f>
        <v>612.29412141213845</v>
      </c>
      <c r="D38">
        <f t="array" ref="D38">RhoGFromP(テーブル2[[#This Row],[P]])</f>
        <v>91.248555698911844</v>
      </c>
      <c r="E38">
        <f t="array" ref="E38">RhoFFromP(テーブル2[[#This Row],[P]])</f>
        <v>613.43232402419449</v>
      </c>
      <c r="F38">
        <f t="array" ref="F38">HgFromP(テーブル2[[#This Row],[P]])</f>
        <v>2626093.1345668421</v>
      </c>
      <c r="G38">
        <f t="array" ref="G38">HfFromP(テーブル2[[#This Row],[P]])</f>
        <v>1588403.9289842495</v>
      </c>
      <c r="H38">
        <f t="array" ref="H38">MuGFromP(テーブル2[[#This Row],[P]])</f>
        <v>2.2386245793773059E-5</v>
      </c>
      <c r="I38">
        <f t="array" ref="I38">MuFFromP(テーブル2[[#This Row],[P]])</f>
        <v>7.0694401850615891E-5</v>
      </c>
      <c r="J38">
        <f t="array" ref="J38">KfFromP(テーブル2[[#This Row],[P]])</f>
        <v>0.48369684775438243</v>
      </c>
      <c r="K38">
        <f t="array" ref="K38">CpFFromP(テーブル2[[#This Row],[P]])</f>
        <v>8097.4885849811244</v>
      </c>
      <c r="L38">
        <f t="array" ref="L38">SigmaFromP(テーブル2[[#This Row],[P]])</f>
        <v>5.7594462826100956E-3</v>
      </c>
      <c r="M38" s="22">
        <v>317</v>
      </c>
      <c r="N38">
        <v>2699.7959999999998</v>
      </c>
      <c r="O38" s="8">
        <v>8.7843467213758383E-5</v>
      </c>
      <c r="P38" s="8">
        <v>2.9843873572041598E-2</v>
      </c>
      <c r="Q38">
        <v>1.1773735336561952E-2</v>
      </c>
      <c r="R38">
        <v>4.2545000000000002</v>
      </c>
      <c r="S38" s="15">
        <v>647388.73096874997</v>
      </c>
      <c r="T38">
        <v>557.48333333333335</v>
      </c>
      <c r="U38" s="12">
        <f>+T38+BG38*S38*テーブル2[[#This Row],[Pw]]*R38/(N38*O38*K38)</f>
        <v>600.2867159894106</v>
      </c>
      <c r="V38">
        <v>0.03</v>
      </c>
      <c r="W38" s="8">
        <f t="shared" ref="W38:W57" si="58">+N38*P38/I38</f>
        <v>1139727.7349423061</v>
      </c>
      <c r="X38">
        <v>1.8067592826180864E-2</v>
      </c>
      <c r="Y38">
        <f t="shared" si="32"/>
        <v>7.4396045722276378</v>
      </c>
      <c r="Z38">
        <f t="shared" ref="Z38:Z57" si="59">IF(X38&gt;0,1.14-2*LOG((0.72*L38*E38)/(X38*P38*N38^2)+9.35/(W38*X38^0.5)),0)</f>
        <v>7.4396045878554853</v>
      </c>
      <c r="AA38">
        <f t="shared" si="33"/>
        <v>-1.5627847460564226E-8</v>
      </c>
      <c r="AB38">
        <f t="shared" si="34"/>
        <v>2.575469600855332E-5</v>
      </c>
      <c r="AC38">
        <v>627.25639054765577</v>
      </c>
      <c r="AD38">
        <f t="shared" ref="AD38:AD57" si="60">+P38/2*AI38/I38*E38</f>
        <v>27081.721960485043</v>
      </c>
      <c r="AE38">
        <f t="shared" si="57"/>
        <v>600.2867159894106</v>
      </c>
      <c r="AF38" s="14">
        <f t="shared" si="35"/>
        <v>0</v>
      </c>
      <c r="AG38">
        <v>2.5773656712670381E-5</v>
      </c>
      <c r="AH38">
        <f t="shared" si="36"/>
        <v>26.835244092327123</v>
      </c>
      <c r="AI38">
        <f t="shared" si="37"/>
        <v>0.20915557570394011</v>
      </c>
      <c r="AJ38">
        <f t="shared" si="38"/>
        <v>46.776434923074163</v>
      </c>
      <c r="AK38">
        <f t="array" ref="AK38">+S38*テーブル2[[#This Row],[F_form]]/(E38*CpFromTP((テーブル2[[#This Row],[Tin]]+テーブル2[[#This Row],[Tf]])/2,テーブル2[[#This Row],[P]])*AI38)</f>
        <v>0.89604710693849998</v>
      </c>
      <c r="AL38">
        <f t="shared" si="39"/>
        <v>1.1834832388614511</v>
      </c>
      <c r="AM38">
        <f t="shared" si="40"/>
        <v>612.29412140477393</v>
      </c>
      <c r="AN38">
        <f t="shared" si="41"/>
        <v>7.3645196607685648E-9</v>
      </c>
      <c r="AO38">
        <f t="shared" si="42"/>
        <v>1.8960704117060713E-8</v>
      </c>
      <c r="AP38">
        <v>2.896018028503728</v>
      </c>
      <c r="AQ38">
        <f t="shared" si="43"/>
        <v>5.4319768456380817E-5</v>
      </c>
      <c r="AR38">
        <f t="shared" si="44"/>
        <v>1.2896308708393721E-5</v>
      </c>
      <c r="AS38">
        <f t="shared" si="45"/>
        <v>23.405423288248336</v>
      </c>
      <c r="AT38">
        <f t="shared" si="46"/>
        <v>12.714838799827403</v>
      </c>
      <c r="AU38">
        <f t="shared" si="47"/>
        <v>2.6593794291606954</v>
      </c>
      <c r="AV38">
        <f t="shared" si="48"/>
        <v>0.23663859934303266</v>
      </c>
      <c r="AW38">
        <f t="shared" si="49"/>
        <v>1.6184508866735343E-2</v>
      </c>
      <c r="AX38">
        <f t="shared" si="50"/>
        <v>0.23663859811912358</v>
      </c>
      <c r="AY38">
        <f t="shared" si="51"/>
        <v>1.2239090851906553E-9</v>
      </c>
      <c r="AZ38">
        <f t="shared" si="52"/>
        <v>1037689.2055825926</v>
      </c>
      <c r="BA38">
        <f t="shared" si="53"/>
        <v>1.8756709358071904E-5</v>
      </c>
      <c r="BB38" s="15">
        <f t="shared" si="54"/>
        <v>643475.13263951649</v>
      </c>
      <c r="BC38" s="20">
        <f t="shared" si="55"/>
        <v>-3913.5983292334713</v>
      </c>
      <c r="BD38" s="19">
        <f t="shared" si="56"/>
        <v>-0.60452061366239385</v>
      </c>
      <c r="BE38" s="15">
        <v>1184366.1786</v>
      </c>
      <c r="BF38" s="16">
        <f>テーブル2[[#This Row],[q_P]]/テーブル2[[#This Row],[q_M]]</f>
        <v>0.54330758870550244</v>
      </c>
      <c r="BG38">
        <v>1</v>
      </c>
      <c r="BH38">
        <v>4.8574531467156894E-3</v>
      </c>
      <c r="BI38">
        <v>4.5999999999999999E-2</v>
      </c>
      <c r="BJ38">
        <v>5625</v>
      </c>
      <c r="BK38" s="21">
        <f>1+テーブル2[[#This Row],[A_corr]]*EXP(-テーブル2[[#This Row],[(Tsub-40)^2]]/テーブル2[[#This Row],[σ_corr]])</f>
        <v>1.0442406549723988</v>
      </c>
      <c r="BL38">
        <f>テーブル2[[#This Row],[Ts]]-テーブル2[[#This Row],[Tin]]</f>
        <v>54.810788078805103</v>
      </c>
      <c r="BM38">
        <f>テーブル2[[#This Row],[q_P]]*0.000001</f>
        <v>0.6434751326395165</v>
      </c>
      <c r="BN38">
        <f>テーブル2[[#This Row],[Tsub]]</f>
        <v>54.810788078805103</v>
      </c>
      <c r="BO38">
        <f>テーブル2[[#This Row],[Fcorr]]</f>
        <v>1.0442406549723988</v>
      </c>
      <c r="BP38">
        <f>(テーブル2[[#This Row],[Tsub]]-40)^2</f>
        <v>219.35944351527536</v>
      </c>
      <c r="BQ38" s="10">
        <v>0.95702791863539405</v>
      </c>
      <c r="BR38">
        <v>4.2670000000000003</v>
      </c>
    </row>
    <row r="39" spans="1:70" x14ac:dyDescent="0.15">
      <c r="A39" s="9" t="s">
        <v>123</v>
      </c>
      <c r="B39">
        <v>14513463.484999999</v>
      </c>
      <c r="C39" s="21" cm="1">
        <f t="array" ref="C39">TsatFromP(テーブル2[[#This Row],[P]])</f>
        <v>612.67292008461743</v>
      </c>
      <c r="D39">
        <f t="array" ref="D39">RhoGFromP(テーブル2[[#This Row],[P]])</f>
        <v>91.91255897533145</v>
      </c>
      <c r="E39">
        <f t="array" ref="E39">RhoFFromP(テーブル2[[#This Row],[P]])</f>
        <v>612.21368217827785</v>
      </c>
      <c r="F39">
        <f t="array" ref="F39">HgFromP(テーブル2[[#This Row],[P]])</f>
        <v>2624225.3455417412</v>
      </c>
      <c r="G39">
        <f t="array" ref="G39">HfFromP(テーブル2[[#This Row],[P]])</f>
        <v>1591108.2176913612</v>
      </c>
      <c r="H39">
        <f t="array" ref="H39">MuGFromP(テーブル2[[#This Row],[P]])</f>
        <v>2.2426155999369982E-5</v>
      </c>
      <c r="I39">
        <f t="array" ref="I39">MuFFromP(テーブル2[[#This Row],[P]])</f>
        <v>7.053398392243067E-5</v>
      </c>
      <c r="J39">
        <f t="array" ref="J39">KfFromP(テーブル2[[#This Row],[P]])</f>
        <v>0.48291804642989189</v>
      </c>
      <c r="K39">
        <f t="array" ref="K39">CpFFromP(テーブル2[[#This Row],[P]])</f>
        <v>8145.6939161944201</v>
      </c>
      <c r="L39">
        <f t="array" ref="L39">SigmaFromP(テーブル2[[#This Row],[P]])</f>
        <v>5.6835159172802328E-3</v>
      </c>
      <c r="M39" s="22">
        <v>319</v>
      </c>
      <c r="N39">
        <v>2668.6080000000002</v>
      </c>
      <c r="O39" s="8">
        <v>8.7843467213758383E-5</v>
      </c>
      <c r="P39" s="8">
        <v>2.9843873572041598E-2</v>
      </c>
      <c r="Q39">
        <v>1.1773735336561952E-2</v>
      </c>
      <c r="R39">
        <v>3.4036</v>
      </c>
      <c r="S39" s="15">
        <v>775495.56171874993</v>
      </c>
      <c r="T39">
        <v>535.26111111111106</v>
      </c>
      <c r="U39" s="12">
        <f>+T39+BG39*S39*テーブル2[[#This Row],[Pw]]*R39/(N39*O39*K39)</f>
        <v>588.88912999932506</v>
      </c>
      <c r="V39">
        <v>0.03</v>
      </c>
      <c r="W39" s="8">
        <f t="shared" si="58"/>
        <v>1129123.7973020803</v>
      </c>
      <c r="X39">
        <v>1.8095543488679221E-2</v>
      </c>
      <c r="Y39">
        <f t="shared" si="32"/>
        <v>7.433856686393165</v>
      </c>
      <c r="Z39">
        <f t="shared" si="59"/>
        <v>7.4338566867084772</v>
      </c>
      <c r="AA39">
        <f t="shared" si="33"/>
        <v>-3.1531222077774146E-10</v>
      </c>
      <c r="AB39">
        <f t="shared" si="34"/>
        <v>2.5920904158505433E-5</v>
      </c>
      <c r="AC39">
        <v>639.18078539875012</v>
      </c>
      <c r="AD39">
        <f t="shared" si="60"/>
        <v>26850.500606663794</v>
      </c>
      <c r="AE39">
        <f t="shared" si="57"/>
        <v>593.4784465043482</v>
      </c>
      <c r="AF39" s="14">
        <f t="shared" si="35"/>
        <v>4.5893165050231346</v>
      </c>
      <c r="AG39">
        <v>2.5944188479213384E-5</v>
      </c>
      <c r="AH39">
        <f t="shared" si="36"/>
        <v>26.31165587060881</v>
      </c>
      <c r="AI39">
        <f t="shared" si="37"/>
        <v>0.20731110884371209</v>
      </c>
      <c r="AJ39">
        <f t="shared" si="38"/>
        <v>46.683916336726654</v>
      </c>
      <c r="AK39">
        <f t="array" ref="AK39">+S39*テーブル2[[#This Row],[F_form]]/(E39*CpFromTP((テーブル2[[#This Row],[Tin]]+テーブル2[[#This Row],[Tf]])/2,テーブル2[[#This Row],[P]])*AI39)</f>
        <v>1.5167930934195906</v>
      </c>
      <c r="AL39">
        <f t="shared" si="39"/>
        <v>1.1897427482145444</v>
      </c>
      <c r="AM39">
        <f t="shared" si="40"/>
        <v>613.7790478432745</v>
      </c>
      <c r="AN39">
        <f t="shared" si="41"/>
        <v>-1.1061277586570668</v>
      </c>
      <c r="AO39">
        <f t="shared" si="42"/>
        <v>2.3284320707951125E-8</v>
      </c>
      <c r="AP39">
        <v>2.8690869526487544</v>
      </c>
      <c r="AQ39">
        <f t="shared" si="43"/>
        <v>5.4285290824839708E-5</v>
      </c>
      <c r="AR39">
        <f t="shared" si="44"/>
        <v>1.2983736399960668E-5</v>
      </c>
      <c r="AS39">
        <f t="shared" si="45"/>
        <v>23.362907046389683</v>
      </c>
      <c r="AT39">
        <f t="shared" si="46"/>
        <v>12.705747978481703</v>
      </c>
      <c r="AU39">
        <f t="shared" si="47"/>
        <v>2.6340427021077955</v>
      </c>
      <c r="AV39">
        <f t="shared" si="48"/>
        <v>0.2350442505409589</v>
      </c>
      <c r="AW39">
        <f t="shared" si="49"/>
        <v>1.6367817214889759E-2</v>
      </c>
      <c r="AX39">
        <f t="shared" si="50"/>
        <v>0.23504423464561852</v>
      </c>
      <c r="AY39">
        <f t="shared" si="51"/>
        <v>1.5895340377269918E-8</v>
      </c>
      <c r="AZ39">
        <f t="shared" si="52"/>
        <v>1033117.12785038</v>
      </c>
      <c r="BA39">
        <f t="shared" si="53"/>
        <v>1.8920754832725888E-5</v>
      </c>
      <c r="BB39" s="15">
        <f t="shared" si="54"/>
        <v>778354.97757075774</v>
      </c>
      <c r="BC39" s="20">
        <f t="shared" si="55"/>
        <v>2859.4158520078054</v>
      </c>
      <c r="BD39" s="19">
        <f t="shared" si="56"/>
        <v>0.36872111113961908</v>
      </c>
      <c r="BE39" s="15">
        <v>1183347.055731178</v>
      </c>
      <c r="BF39" s="16">
        <f>テーブル2[[#This Row],[q_P]]/テーブル2[[#This Row],[q_M]]</f>
        <v>0.65775714216808534</v>
      </c>
      <c r="BG39">
        <v>1.2999931692195916</v>
      </c>
      <c r="BH39">
        <v>-0.19727053120825078</v>
      </c>
      <c r="BI39">
        <v>4.5999999999999999E-2</v>
      </c>
      <c r="BJ39">
        <v>5625</v>
      </c>
      <c r="BK39" s="21">
        <f>1+テーブル2[[#This Row],[A_corr]]*EXP(-テーブル2[[#This Row],[(Tsub-40)^2]]/テーブル2[[#This Row],[σ_corr]])</f>
        <v>1.0358669369261804</v>
      </c>
      <c r="BL39">
        <f>テーブル2[[#This Row],[Ts]]-テーブル2[[#This Row],[Tin]]</f>
        <v>77.411808973506368</v>
      </c>
      <c r="BM39">
        <f>テーブル2[[#This Row],[q_P]]*0.000001</f>
        <v>0.77835497757075767</v>
      </c>
      <c r="BN39">
        <f>テーブル2[[#This Row],[Tsub]]</f>
        <v>77.411808973506368</v>
      </c>
      <c r="BO39">
        <f>テーブル2[[#This Row],[Fcorr]]</f>
        <v>1.0358669369261804</v>
      </c>
      <c r="BP39">
        <f>(テーブル2[[#This Row],[Tsub]]-40)^2</f>
        <v>1399.6434506701316</v>
      </c>
      <c r="BQ39" s="10">
        <v>0.95197732531972035</v>
      </c>
      <c r="BR39">
        <v>4.2670000000000003</v>
      </c>
    </row>
    <row r="40" spans="1:70" x14ac:dyDescent="0.15">
      <c r="A40" s="9" t="s">
        <v>124</v>
      </c>
      <c r="B40">
        <v>14478989.699999999</v>
      </c>
      <c r="C40" s="21" cm="1">
        <f t="array" ref="C40">TsatFromP(テーブル2[[#This Row],[P]])</f>
        <v>612.48370255129544</v>
      </c>
      <c r="D40">
        <f t="array" ref="D40">RhoGFromP(テーブル2[[#This Row],[P]])</f>
        <v>91.580011978832957</v>
      </c>
      <c r="E40">
        <f t="array" ref="E40">RhoFFromP(テーブル2[[#This Row],[P]])</f>
        <v>612.82339669043313</v>
      </c>
      <c r="F40">
        <f t="array" ref="F40">HgFromP(テーブル2[[#This Row],[P]])</f>
        <v>2625160.7264840975</v>
      </c>
      <c r="G40">
        <f t="array" ref="G40">HfFromP(テーブル2[[#This Row],[P]])</f>
        <v>1589756.0808983105</v>
      </c>
      <c r="H40">
        <f t="array" ref="H40">MuGFromP(テーブル2[[#This Row],[P]])</f>
        <v>2.2406167499944594E-5</v>
      </c>
      <c r="I40">
        <f t="array" ref="I40">MuFFromP(テーブル2[[#This Row],[P]])</f>
        <v>7.0614185977515193E-5</v>
      </c>
      <c r="J40">
        <f t="array" ref="J40">KfFromP(テーブル2[[#This Row],[P]])</f>
        <v>0.48330738078477459</v>
      </c>
      <c r="K40">
        <f t="array" ref="K40">CpFFromP(テーブル2[[#This Row],[P]])</f>
        <v>8121.4802011854335</v>
      </c>
      <c r="L40">
        <f t="array" ref="L40">SigmaFromP(テーブル2[[#This Row],[P]])</f>
        <v>5.7214247636284644E-3</v>
      </c>
      <c r="M40">
        <v>320</v>
      </c>
      <c r="N40">
        <v>3390</v>
      </c>
      <c r="O40" s="8">
        <v>8.7843467213758383E-5</v>
      </c>
      <c r="P40" s="8">
        <v>2.9843873572041598E-2</v>
      </c>
      <c r="Q40">
        <v>1.1773735336561952E-2</v>
      </c>
      <c r="R40">
        <v>3.4036</v>
      </c>
      <c r="S40" s="15">
        <v>959887.42578125</v>
      </c>
      <c r="T40">
        <v>534.31666666666661</v>
      </c>
      <c r="U40" s="12">
        <f>+T40+BG40*S40*テーブル2[[#This Row],[Pw]]*R40/(N40*O40*K40)</f>
        <v>586.72625182335992</v>
      </c>
      <c r="V40">
        <v>0.03</v>
      </c>
      <c r="W40" s="8">
        <f t="shared" si="58"/>
        <v>1432725.3087847754</v>
      </c>
      <c r="X40">
        <v>1.6632062081703331E-2</v>
      </c>
      <c r="Y40">
        <f t="shared" si="32"/>
        <v>7.7540206150823083</v>
      </c>
      <c r="Z40">
        <f t="shared" si="59"/>
        <v>7.7540206273913039</v>
      </c>
      <c r="AA40">
        <f t="shared" si="33"/>
        <v>-1.2308995600562866E-8</v>
      </c>
      <c r="AB40">
        <f t="shared" si="34"/>
        <v>1.7610239736655148E-5</v>
      </c>
      <c r="AC40">
        <v>638.76537492665909</v>
      </c>
      <c r="AD40">
        <f t="shared" si="60"/>
        <v>32663.370131127485</v>
      </c>
      <c r="AE40">
        <f t="shared" si="57"/>
        <v>591.34427777143651</v>
      </c>
      <c r="AF40" s="14">
        <f t="shared" si="35"/>
        <v>4.6180259480765926</v>
      </c>
      <c r="AG40">
        <v>1.7630869389626383E-5</v>
      </c>
      <c r="AH40">
        <f t="shared" si="36"/>
        <v>38.98703151702928</v>
      </c>
      <c r="AI40">
        <f t="shared" si="37"/>
        <v>0.25222748863141375</v>
      </c>
      <c r="AJ40">
        <f t="shared" si="38"/>
        <v>38.593087537164266</v>
      </c>
      <c r="AK40">
        <f t="array" ref="AK40">+S40*テーブル2[[#This Row],[F_form]]/(E40*CpFromTP((テーブル2[[#This Row],[Tin]]+テーブル2[[#This Row],[Tf]])/2,テーブル2[[#This Row],[P]])*AI40)</f>
        <v>1.5499997626462014</v>
      </c>
      <c r="AL40">
        <f t="shared" si="39"/>
        <v>1.186598293632519</v>
      </c>
      <c r="AM40">
        <f t="shared" si="40"/>
        <v>613.58696501640827</v>
      </c>
      <c r="AN40">
        <f t="shared" si="41"/>
        <v>-1.1032624651128344</v>
      </c>
      <c r="AO40">
        <f t="shared" si="42"/>
        <v>2.0629652971234925E-8</v>
      </c>
      <c r="AP40">
        <v>3.2207268620444842</v>
      </c>
      <c r="AQ40">
        <f t="shared" si="43"/>
        <v>4.3497238314600964E-5</v>
      </c>
      <c r="AR40">
        <f t="shared" si="44"/>
        <v>8.8257495212988091E-6</v>
      </c>
      <c r="AS40">
        <f t="shared" si="45"/>
        <v>19.319122405669891</v>
      </c>
      <c r="AT40">
        <f t="shared" si="46"/>
        <v>11.755477018077478</v>
      </c>
      <c r="AU40">
        <f t="shared" si="47"/>
        <v>2.9650544459339829</v>
      </c>
      <c r="AV40">
        <f t="shared" si="48"/>
        <v>0.25567241611050129</v>
      </c>
      <c r="AW40">
        <f t="shared" si="49"/>
        <v>1.1093158786524464E-2</v>
      </c>
      <c r="AX40">
        <f t="shared" si="50"/>
        <v>0.25567241415141628</v>
      </c>
      <c r="AY40">
        <f t="shared" si="51"/>
        <v>1.9590850053319286E-9</v>
      </c>
      <c r="AZ40">
        <f t="shared" si="52"/>
        <v>1035404.645585787</v>
      </c>
      <c r="BA40">
        <f t="shared" si="53"/>
        <v>1.3505410479605019E-5</v>
      </c>
      <c r="BB40" s="15">
        <f t="shared" si="54"/>
        <v>969236.09845236083</v>
      </c>
      <c r="BC40" s="20">
        <f t="shared" si="55"/>
        <v>9348.6726711108349</v>
      </c>
      <c r="BD40" s="19">
        <f t="shared" si="56"/>
        <v>0.97393427812662237</v>
      </c>
      <c r="BE40" s="15">
        <v>1430613.6046899313</v>
      </c>
      <c r="BF40" s="16">
        <f>テーブル2[[#This Row],[q_P]]/テーブル2[[#This Row],[q_M]]</f>
        <v>0.67749677150765764</v>
      </c>
      <c r="BG40">
        <v>1.2999931692195916</v>
      </c>
      <c r="BH40">
        <v>-0.214277810891494</v>
      </c>
      <c r="BI40">
        <v>4.5999999999999999E-2</v>
      </c>
      <c r="BJ40">
        <v>5625</v>
      </c>
      <c r="BK40" s="21">
        <f>1+テーブル2[[#This Row],[A_corr]]*EXP(-テーブル2[[#This Row],[(Tsub-40)^2]]/テーブル2[[#This Row],[σ_corr]])</f>
        <v>1.0355048208128148</v>
      </c>
      <c r="BL40">
        <f>テーブル2[[#This Row],[Ts]]-テーブル2[[#This Row],[Tin]]</f>
        <v>78.167035884628831</v>
      </c>
      <c r="BM40">
        <f>テーブル2[[#This Row],[q_P]]*0.000001</f>
        <v>0.96923609845236081</v>
      </c>
      <c r="BN40">
        <f>テーブル2[[#This Row],[Tsub]]</f>
        <v>78.167035884628831</v>
      </c>
      <c r="BO40">
        <f>テーブル2[[#This Row],[Fcorr]]</f>
        <v>1.0355048208128148</v>
      </c>
      <c r="BP40">
        <f>(テーブル2[[#This Row],[Tsub]]-40)^2</f>
        <v>1456.722628218545</v>
      </c>
      <c r="BQ40" s="10">
        <v>0.9764921071792938</v>
      </c>
      <c r="BR40">
        <v>4.2670000000000003</v>
      </c>
    </row>
    <row r="41" spans="1:70" x14ac:dyDescent="0.15">
      <c r="A41" s="9" t="s">
        <v>125</v>
      </c>
      <c r="B41">
        <v>16650838.154999999</v>
      </c>
      <c r="C41" s="21" cm="1">
        <f t="array" ref="C41">TsatFromP(テーブル2[[#This Row],[P]])</f>
        <v>623.7467472920838</v>
      </c>
      <c r="D41">
        <f t="array" ref="D41">RhoGFromP(テーブル2[[#This Row],[P]])</f>
        <v>115.08174830522883</v>
      </c>
      <c r="E41">
        <f t="array" ref="E41">RhoFFromP(テーブル2[[#This Row],[P]])</f>
        <v>572.29121245744955</v>
      </c>
      <c r="F41">
        <f t="array" ref="F41">HgFromP(テーブル2[[#This Row],[P]])</f>
        <v>2559557.8321399409</v>
      </c>
      <c r="G41">
        <f t="array" ref="G41">HfFromP(テーブル2[[#This Row],[P]])</f>
        <v>1675797.4223693286</v>
      </c>
      <c r="H41">
        <f t="array" ref="H41">MuGFromP(テーブル2[[#This Row],[P]])</f>
        <v>2.3829582904311094E-5</v>
      </c>
      <c r="I41">
        <f t="array" ref="I41">MuFFromP(テーブル2[[#This Row],[P]])</f>
        <v>6.5509940250288218E-5</v>
      </c>
      <c r="J41">
        <f t="array" ref="J41">KfFromP(テーブル2[[#This Row],[P]])</f>
        <v>0.45915472043015876</v>
      </c>
      <c r="K41">
        <f t="array" ref="K41">CpFFromP(テーブル2[[#This Row],[P]])</f>
        <v>10285.252806144354</v>
      </c>
      <c r="L41">
        <f t="array" ref="L41">SigmaFromP(テーブル2[[#This Row],[P]])</f>
        <v>3.5437208597502243E-3</v>
      </c>
      <c r="M41">
        <v>322</v>
      </c>
      <c r="N41">
        <v>2614.3679999999999</v>
      </c>
      <c r="O41" s="8">
        <v>8.7843467213758383E-5</v>
      </c>
      <c r="P41" s="8">
        <v>2.9843873572041598E-2</v>
      </c>
      <c r="Q41">
        <v>1.1773735336561952E-2</v>
      </c>
      <c r="R41">
        <v>3.4036</v>
      </c>
      <c r="S41" s="15">
        <v>965291.16015625</v>
      </c>
      <c r="T41">
        <v>537.15</v>
      </c>
      <c r="U41" s="12">
        <f>+T41+BG41*S41*テーブル2[[#This Row],[Pw]]*R41/(N41*O41*K41)</f>
        <v>591.11372826133186</v>
      </c>
      <c r="V41">
        <v>0.03</v>
      </c>
      <c r="W41" s="8">
        <f t="shared" si="58"/>
        <v>1191008.0785403857</v>
      </c>
      <c r="X41">
        <v>1.6620262938300233E-2</v>
      </c>
      <c r="Y41">
        <f t="shared" ref="Y41:Y59" si="61">IF(X41&gt;0,1/X41^0.5,1)</f>
        <v>7.756772514055946</v>
      </c>
      <c r="Z41">
        <f t="shared" si="59"/>
        <v>7.7567725268340526</v>
      </c>
      <c r="AA41">
        <f t="shared" ref="AA41:AA59" si="62">+Y41-Z41</f>
        <v>-1.2778106572852721E-8</v>
      </c>
      <c r="AB41">
        <f t="shared" ref="AB41:AB59" si="63">32/X41*L41*V41*E41/N41^2</f>
        <v>1.7138645153259314E-5</v>
      </c>
      <c r="AC41">
        <v>661.31448590388163</v>
      </c>
      <c r="AD41">
        <f t="shared" si="60"/>
        <v>27143.051032429463</v>
      </c>
      <c r="AE41">
        <f t="shared" si="57"/>
        <v>596.53418054834799</v>
      </c>
      <c r="AF41" s="14">
        <f t="shared" ref="AF41:AF59" si="64">+AE41-U41</f>
        <v>5.4204522870161327</v>
      </c>
      <c r="AG41">
        <v>1.7169136383853742E-5</v>
      </c>
      <c r="AH41">
        <f t="shared" ref="AH41:AH59" si="65">+X41*N41^2/(8*E41)</f>
        <v>24.81214234657028</v>
      </c>
      <c r="AI41">
        <f t="shared" ref="AI41:AI59" si="66">+(AH41/E41)^0.5</f>
        <v>0.20822055193540023</v>
      </c>
      <c r="AJ41">
        <f t="shared" ref="AJ41:AJ59" si="67">+AG41*AI41/I41*E41</f>
        <v>31.230714332355571</v>
      </c>
      <c r="AK41">
        <f t="array" ref="AK41">+S41*テーブル2[[#This Row],[F_form]]/(E41*CpFromTP((テーブル2[[#This Row],[Tin]]+テーブル2[[#This Row],[Tf]])/2,テーブル2[[#This Row],[P]])*AI41)</f>
        <v>1.995882759423665</v>
      </c>
      <c r="AL41">
        <f t="shared" ref="AL41:AL59" si="68">+K41*I41/J41</f>
        <v>1.4674493516224545</v>
      </c>
      <c r="AM41">
        <f t="shared" ref="AM41:AM59" si="69">+gettyp(AC41,AJ41,AK41,AL41)</f>
        <v>625.30591958631953</v>
      </c>
      <c r="AN41">
        <f t="shared" ref="AN41:AN59" si="70">+C41-AM41</f>
        <v>-1.5591722942357364</v>
      </c>
      <c r="AO41">
        <f t="shared" ref="AO41:AO59" si="71">+AG41-AB41</f>
        <v>3.0491230594427942E-8</v>
      </c>
      <c r="AP41">
        <v>2.4456021154100016</v>
      </c>
      <c r="AQ41">
        <f t="shared" ref="AQ41:AQ59" si="72">2*PI()*L41*(D41+E41)/(D41*E41*AP41^2)</f>
        <v>3.8854085052655278E-5</v>
      </c>
      <c r="AR41">
        <f t="shared" ref="AR41:AR59" si="73">+AO41+AB41/2</f>
        <v>8.5998138072240851E-6</v>
      </c>
      <c r="AS41">
        <f t="shared" ref="AS41:AS59" si="74">+AR41*AI41/I41*E41</f>
        <v>15.643088989463669</v>
      </c>
      <c r="AT41">
        <f t="shared" ref="AT41:AT59" si="75">+getublp(AS41)</f>
        <v>10.700146106678307</v>
      </c>
      <c r="AU41">
        <f t="shared" ref="AU41:AU59" si="76">+AT41*AI41</f>
        <v>2.2279903281219813</v>
      </c>
      <c r="AV41">
        <f t="shared" ref="AV41:AV59" si="77">+AP41-AU41</f>
        <v>0.21761178728802033</v>
      </c>
      <c r="AW41">
        <f t="shared" ref="AW41:AW59" si="78">2/3*AB41/(L41/(9.8*(E41-D41)))^0.5</f>
        <v>1.2847721656543536E-2</v>
      </c>
      <c r="AX41">
        <f t="shared" ref="AX41:AX59" si="79">+(2*AQ41*9.8*(E41-D41)/(E41*AW41))^0.5</f>
        <v>0.21761177255580519</v>
      </c>
      <c r="AY41">
        <f t="shared" ref="AY41:AY59" si="80">+AV41-AX41</f>
        <v>1.4732215142254645E-8</v>
      </c>
      <c r="AZ41">
        <f t="shared" ref="AZ41:AZ59" si="81">+F41-G41</f>
        <v>883760.40977061237</v>
      </c>
      <c r="BA41">
        <f t="shared" ref="BA41:BA59" si="82">+AQ41/AP41</f>
        <v>1.5887328853631388E-5</v>
      </c>
      <c r="BB41" s="15">
        <f t="shared" ref="BB41:BB59" si="83">+E41*AO41*AZ41/BA41</f>
        <v>970679.11828885344</v>
      </c>
      <c r="BC41" s="20">
        <f t="shared" ref="BC41:BC59" si="84">BB41-S41</f>
        <v>5387.9581326034386</v>
      </c>
      <c r="BD41" s="19">
        <f t="shared" ref="BD41:BD59" si="85">+(BB41-S41)/S41*100</f>
        <v>0.55816921929869323</v>
      </c>
      <c r="BE41" s="15">
        <v>1280487.4856792598</v>
      </c>
      <c r="BF41" s="16">
        <f>テーブル2[[#This Row],[q_P]]/テーブル2[[#This Row],[q_M]]</f>
        <v>0.75805435753551131</v>
      </c>
      <c r="BG41">
        <v>1.2999931692195916</v>
      </c>
      <c r="BH41">
        <v>-0.36717615925548253</v>
      </c>
      <c r="BI41">
        <v>4.5999999999999999E-2</v>
      </c>
      <c r="BJ41">
        <v>5625</v>
      </c>
      <c r="BK41" s="21">
        <f>1+テーブル2[[#This Row],[A_corr]]*EXP(-テーブル2[[#This Row],[(Tsub-40)^2]]/テーブル2[[#This Row],[σ_corr]])</f>
        <v>1.0312694060564869</v>
      </c>
      <c r="BL41">
        <f>テーブル2[[#This Row],[Ts]]-テーブル2[[#This Row],[Tin]]</f>
        <v>86.596747292083819</v>
      </c>
      <c r="BM41">
        <f>テーブル2[[#This Row],[q_P]]*0.000001</f>
        <v>0.97067911828885345</v>
      </c>
      <c r="BN41">
        <f>テーブル2[[#This Row],[Tsub]]</f>
        <v>86.596747292083819</v>
      </c>
      <c r="BO41">
        <f>テーブル2[[#This Row],[Fcorr]]</f>
        <v>1.0312694060564869</v>
      </c>
      <c r="BP41">
        <f>(テーブル2[[#This Row],[Tsub]]-40)^2</f>
        <v>2171.2568582023209</v>
      </c>
      <c r="BQ41" s="10">
        <v>0.90537682332458891</v>
      </c>
      <c r="BR41">
        <v>4.2670000000000003</v>
      </c>
    </row>
    <row r="42" spans="1:70" x14ac:dyDescent="0.15">
      <c r="A42" s="9" t="s">
        <v>126</v>
      </c>
      <c r="B42">
        <v>16650838.154999999</v>
      </c>
      <c r="C42" s="21" cm="1">
        <f t="array" ref="C42">TsatFromP(テーブル2[[#This Row],[P]])</f>
        <v>623.7467472920838</v>
      </c>
      <c r="D42">
        <f t="array" ref="D42">RhoGFromP(テーブル2[[#This Row],[P]])</f>
        <v>115.08174830522883</v>
      </c>
      <c r="E42">
        <f t="array" ref="E42">RhoFFromP(テーブル2[[#This Row],[P]])</f>
        <v>572.29121245744955</v>
      </c>
      <c r="F42">
        <f t="array" ref="F42">HgFromP(テーブル2[[#This Row],[P]])</f>
        <v>2559557.8321399409</v>
      </c>
      <c r="G42">
        <f t="array" ref="G42">HfFromP(テーブル2[[#This Row],[P]])</f>
        <v>1675797.4223693286</v>
      </c>
      <c r="H42">
        <f t="array" ref="H42">MuGFromP(テーブル2[[#This Row],[P]])</f>
        <v>2.3829582904311094E-5</v>
      </c>
      <c r="I42">
        <f t="array" ref="I42">MuFFromP(テーブル2[[#This Row],[P]])</f>
        <v>6.5509940250288218E-5</v>
      </c>
      <c r="J42">
        <f t="array" ref="J42">KfFromP(テーブル2[[#This Row],[P]])</f>
        <v>0.45915472043015876</v>
      </c>
      <c r="K42">
        <f t="array" ref="K42">CpFFromP(テーブル2[[#This Row],[P]])</f>
        <v>10285.252806144354</v>
      </c>
      <c r="L42">
        <f t="array" ref="L42">SigmaFromP(テーブル2[[#This Row],[P]])</f>
        <v>3.5437208597502243E-3</v>
      </c>
      <c r="M42" s="22">
        <v>323</v>
      </c>
      <c r="N42">
        <v>3376.44</v>
      </c>
      <c r="O42" s="8">
        <v>8.7843467213758383E-5</v>
      </c>
      <c r="P42" s="8">
        <v>2.9843873572041598E-2</v>
      </c>
      <c r="Q42">
        <v>1.1773735336561952E-2</v>
      </c>
      <c r="R42">
        <v>3.4036</v>
      </c>
      <c r="S42" s="15">
        <v>1156605.89453125</v>
      </c>
      <c r="T42">
        <v>539.03888888888889</v>
      </c>
      <c r="U42" s="12">
        <f>+T42+BG42*S42*テーブル2[[#This Row],[Pw]]*R42/(N42*O42*K42)</f>
        <v>589.10417488616599</v>
      </c>
      <c r="V42">
        <v>0.03</v>
      </c>
      <c r="W42" s="8">
        <f t="shared" si="58"/>
        <v>1538179.5205215563</v>
      </c>
      <c r="X42">
        <v>1.5239010602797311E-2</v>
      </c>
      <c r="Y42">
        <f t="shared" si="61"/>
        <v>8.1006825693876614</v>
      </c>
      <c r="Z42">
        <f t="shared" si="59"/>
        <v>8.1006825721955824</v>
      </c>
      <c r="AA42">
        <f t="shared" si="62"/>
        <v>-2.8079210068199245E-9</v>
      </c>
      <c r="AB42">
        <f t="shared" si="63"/>
        <v>1.1206576779235746E-5</v>
      </c>
      <c r="AC42">
        <v>658.12563851395839</v>
      </c>
      <c r="AD42">
        <f t="shared" si="60"/>
        <v>33566.837125346145</v>
      </c>
      <c r="AE42">
        <f t="shared" si="57"/>
        <v>594.31797858489711</v>
      </c>
      <c r="AF42" s="14">
        <f t="shared" si="64"/>
        <v>5.2138036987311125</v>
      </c>
      <c r="AG42">
        <v>1.1233072515849408E-5</v>
      </c>
      <c r="AH42">
        <f t="shared" si="65"/>
        <v>37.946155328891386</v>
      </c>
      <c r="AI42">
        <f t="shared" si="66"/>
        <v>0.25749888413851146</v>
      </c>
      <c r="AJ42">
        <f t="shared" si="67"/>
        <v>25.268751701853898</v>
      </c>
      <c r="AK42">
        <f t="array" ref="AK42">+S42*テーブル2[[#This Row],[F_form]]/(E42*CpFromTP((テーブル2[[#This Row],[Tin]]+テーブル2[[#This Row],[Tf]])/2,テーブル2[[#This Row],[P]])*AI42)</f>
        <v>1.9342328218903817</v>
      </c>
      <c r="AL42">
        <f t="shared" si="68"/>
        <v>1.4674493516224545</v>
      </c>
      <c r="AM42">
        <f t="shared" si="69"/>
        <v>625.18565256944316</v>
      </c>
      <c r="AN42">
        <f t="shared" si="70"/>
        <v>-1.4389052773593676</v>
      </c>
      <c r="AO42">
        <f t="shared" si="71"/>
        <v>2.6495736613662952E-8</v>
      </c>
      <c r="AP42">
        <v>2.7248256434353002</v>
      </c>
      <c r="AQ42">
        <f t="shared" si="72"/>
        <v>3.1299028220362583E-5</v>
      </c>
      <c r="AR42">
        <f t="shared" si="73"/>
        <v>5.6297841262315357E-6</v>
      </c>
      <c r="AS42">
        <f t="shared" si="74"/>
        <v>12.664176877703181</v>
      </c>
      <c r="AT42">
        <f t="shared" si="75"/>
        <v>9.6438864472539354</v>
      </c>
      <c r="AU42">
        <f t="shared" si="76"/>
        <v>2.4832899989264021</v>
      </c>
      <c r="AV42">
        <f t="shared" si="77"/>
        <v>0.24153564450889808</v>
      </c>
      <c r="AW42">
        <f t="shared" si="78"/>
        <v>8.4008378664006608E-3</v>
      </c>
      <c r="AX42">
        <f t="shared" si="79"/>
        <v>0.24153564312611148</v>
      </c>
      <c r="AY42">
        <f t="shared" si="80"/>
        <v>1.3827866074400674E-9</v>
      </c>
      <c r="AZ42">
        <f t="shared" si="81"/>
        <v>883760.40977061237</v>
      </c>
      <c r="BA42">
        <f t="shared" si="82"/>
        <v>1.1486616876117844E-5</v>
      </c>
      <c r="BB42" s="15">
        <f t="shared" si="83"/>
        <v>1166636.2902304151</v>
      </c>
      <c r="BC42" s="20">
        <f t="shared" si="84"/>
        <v>10030.395699165063</v>
      </c>
      <c r="BD42" s="19">
        <f t="shared" si="85"/>
        <v>0.86722674911061115</v>
      </c>
      <c r="BE42" s="15">
        <v>1524810.3852456473</v>
      </c>
      <c r="BF42" s="16">
        <f>テーブル2[[#This Row],[q_P]]/テーブル2[[#This Row],[q_M]]</f>
        <v>0.76510253439969178</v>
      </c>
      <c r="BG42">
        <v>1.2999931692195916</v>
      </c>
      <c r="BH42">
        <v>-0.38118649601439986</v>
      </c>
      <c r="BI42">
        <v>4.5999999999999999E-2</v>
      </c>
      <c r="BJ42">
        <v>5625</v>
      </c>
      <c r="BK42" s="21">
        <f>1+テーブル2[[#This Row],[A_corr]]*EXP(-テーブル2[[#This Row],[(Tsub-40)^2]]/テーブル2[[#This Row],[σ_corr]])</f>
        <v>1.0322429846481616</v>
      </c>
      <c r="BL42">
        <f>テーブル2[[#This Row],[Ts]]-テーブル2[[#This Row],[Tin]]</f>
        <v>84.707858403194905</v>
      </c>
      <c r="BM42">
        <f>テーブル2[[#This Row],[q_P]]*0.000001</f>
        <v>1.166636290230415</v>
      </c>
      <c r="BN42">
        <f>テーブル2[[#This Row],[Tsub]]</f>
        <v>84.707858403194905</v>
      </c>
      <c r="BO42">
        <f>テーブル2[[#This Row],[Fcorr]]</f>
        <v>1.0322429846481616</v>
      </c>
      <c r="BP42">
        <f>(テーブル2[[#This Row],[Tsub]]-40)^2</f>
        <v>1998.7926030001254</v>
      </c>
      <c r="BQ42" s="10">
        <v>0.94220713325058714</v>
      </c>
      <c r="BR42">
        <v>4.2670000000000003</v>
      </c>
    </row>
    <row r="43" spans="1:70" x14ac:dyDescent="0.15">
      <c r="A43" s="9" t="s">
        <v>127</v>
      </c>
      <c r="B43">
        <v>16719785.725</v>
      </c>
      <c r="C43" s="21" cm="1">
        <f t="array" ref="C43">TsatFromP(テーブル2[[#This Row],[P]])</f>
        <v>624.08398426992824</v>
      </c>
      <c r="D43">
        <f t="array" ref="D43">RhoGFromP(テーブル2[[#This Row],[P]])</f>
        <v>115.93036328992132</v>
      </c>
      <c r="E43">
        <f t="array" ref="E43">RhoFFromP(テーブル2[[#This Row],[P]])</f>
        <v>570.9092360058894</v>
      </c>
      <c r="F43">
        <f t="array" ref="F43">HgFromP(テーブル2[[#This Row],[P]])</f>
        <v>2557216.0713552916</v>
      </c>
      <c r="G43">
        <f t="array" ref="G43">HfFromP(テーブル2[[#This Row],[P]])</f>
        <v>1678592.8027206569</v>
      </c>
      <c r="H43">
        <f t="array" ref="H43">MuGFromP(テーブル2[[#This Row],[P]])</f>
        <v>2.3881635703930669E-5</v>
      </c>
      <c r="I43">
        <f t="array" ref="I43">MuFFromP(テーブル2[[#This Row],[P]])</f>
        <v>6.5343120666275665E-5</v>
      </c>
      <c r="J43">
        <f t="array" ref="J43">KfFromP(テーブル2[[#This Row],[P]])</f>
        <v>0.45840868995416201</v>
      </c>
      <c r="K43">
        <f t="array" ref="K43">CpFFromP(テーブル2[[#This Row],[P]])</f>
        <v>10385.058717031257</v>
      </c>
      <c r="L43">
        <f t="array" ref="L43">SigmaFromP(テーブル2[[#This Row],[P]])</f>
        <v>3.4813429573410932E-3</v>
      </c>
      <c r="M43" s="22">
        <v>325</v>
      </c>
      <c r="N43">
        <v>2714.7119999999995</v>
      </c>
      <c r="O43" s="8">
        <v>8.7843467213758383E-5</v>
      </c>
      <c r="P43" s="8">
        <v>2.9843873572041598E-2</v>
      </c>
      <c r="Q43">
        <v>1.1773735336561952E-2</v>
      </c>
      <c r="R43">
        <v>3.4036</v>
      </c>
      <c r="S43" s="15">
        <v>715313.76953125</v>
      </c>
      <c r="T43">
        <v>564.03888888888889</v>
      </c>
      <c r="U43" s="12">
        <f>+T43+BG43*S43*テーブル2[[#This Row],[Pw]]*R43/(N43*O43*K43)</f>
        <v>602.17963405336832</v>
      </c>
      <c r="V43">
        <v>0.03</v>
      </c>
      <c r="W43" s="8">
        <f t="shared" si="58"/>
        <v>1239878.3664814811</v>
      </c>
      <c r="X43">
        <v>1.6351058183422914E-2</v>
      </c>
      <c r="Y43">
        <f t="shared" si="61"/>
        <v>7.8203658043830551</v>
      </c>
      <c r="Z43">
        <f t="shared" si="59"/>
        <v>7.820365817122183</v>
      </c>
      <c r="AA43">
        <f t="shared" si="62"/>
        <v>-1.2739127974725761E-8</v>
      </c>
      <c r="AB43">
        <f t="shared" si="63"/>
        <v>1.5834039417207831E-5</v>
      </c>
      <c r="AC43">
        <v>648.7579728570206</v>
      </c>
      <c r="AD43">
        <f t="shared" si="60"/>
        <v>28027.026571256378</v>
      </c>
      <c r="AE43">
        <f t="shared" si="57"/>
        <v>605.8601056333805</v>
      </c>
      <c r="AF43" s="14">
        <f t="shared" si="64"/>
        <v>3.6804715800121812</v>
      </c>
      <c r="AG43">
        <v>1.5855750991692004E-5</v>
      </c>
      <c r="AH43">
        <f t="shared" si="65"/>
        <v>26.383738468335768</v>
      </c>
      <c r="AI43">
        <f t="shared" si="66"/>
        <v>0.21497335392275246</v>
      </c>
      <c r="AJ43">
        <f t="shared" si="67"/>
        <v>29.780956770148663</v>
      </c>
      <c r="AK43">
        <f t="array" ref="AK43">+S43*テーブル2[[#This Row],[F_form]]/(E43*CpFromTP((テーブル2[[#This Row],[Tin]]+テーブル2[[#This Row],[Tf]])/2,テーブル2[[#This Row],[P]])*AI43)</f>
        <v>1.314273744815746</v>
      </c>
      <c r="AL43">
        <f t="shared" si="68"/>
        <v>1.4803212935190788</v>
      </c>
      <c r="AM43">
        <f t="shared" si="69"/>
        <v>625.09450419851305</v>
      </c>
      <c r="AN43">
        <f t="shared" si="70"/>
        <v>-1.010519928584813</v>
      </c>
      <c r="AO43">
        <f t="shared" si="71"/>
        <v>2.1711574484172496E-8</v>
      </c>
      <c r="AP43">
        <v>2.4693410443103092</v>
      </c>
      <c r="AQ43">
        <f t="shared" si="72"/>
        <v>3.7226789842010873E-5</v>
      </c>
      <c r="AR43">
        <f t="shared" si="73"/>
        <v>7.938731283088088E-6</v>
      </c>
      <c r="AS43">
        <f t="shared" si="74"/>
        <v>14.910868193840367</v>
      </c>
      <c r="AT43">
        <f t="shared" si="75"/>
        <v>10.460451780222716</v>
      </c>
      <c r="AU43">
        <f t="shared" si="76"/>
        <v>2.2487184027417038</v>
      </c>
      <c r="AV43">
        <f t="shared" si="77"/>
        <v>0.22062264156860545</v>
      </c>
      <c r="AW43">
        <f t="shared" si="78"/>
        <v>1.1946363115015041E-2</v>
      </c>
      <c r="AX43">
        <f t="shared" si="79"/>
        <v>0.22062262853978842</v>
      </c>
      <c r="AY43">
        <f t="shared" si="80"/>
        <v>1.3028817025251271E-8</v>
      </c>
      <c r="AZ43">
        <f t="shared" si="81"/>
        <v>878623.26863463479</v>
      </c>
      <c r="BA43">
        <f t="shared" si="82"/>
        <v>1.5075596758004066E-5</v>
      </c>
      <c r="BB43" s="15">
        <f t="shared" si="83"/>
        <v>722414.70216766396</v>
      </c>
      <c r="BC43" s="20">
        <f t="shared" si="84"/>
        <v>7100.9326364139561</v>
      </c>
      <c r="BD43" s="19">
        <f t="shared" si="85"/>
        <v>0.99270179589402363</v>
      </c>
      <c r="BE43" s="15">
        <v>1068544.7294288995</v>
      </c>
      <c r="BF43" s="16">
        <f>テーブル2[[#This Row],[q_P]]/テーブル2[[#This Row],[q_M]]</f>
        <v>0.67607343171658318</v>
      </c>
      <c r="BG43">
        <v>1.2999931692195916</v>
      </c>
      <c r="BH43">
        <v>-0.23077825084822381</v>
      </c>
      <c r="BI43">
        <v>4.5999999999999999E-2</v>
      </c>
      <c r="BJ43">
        <v>5625</v>
      </c>
      <c r="BK43" s="21">
        <f>1+テーブル2[[#This Row],[A_corr]]*EXP(-テーブル2[[#This Row],[(Tsub-40)^2]]/テーブル2[[#This Row],[σ_corr]])</f>
        <v>1.042828734561708</v>
      </c>
      <c r="BL43">
        <f>テーブル2[[#This Row],[Ts]]-テーブル2[[#This Row],[Tin]]</f>
        <v>60.045095381039346</v>
      </c>
      <c r="BM43">
        <f>テーブル2[[#This Row],[q_P]]*0.000001</f>
        <v>0.7224147021676639</v>
      </c>
      <c r="BN43">
        <f>テーブル2[[#This Row],[Tsub]]</f>
        <v>60.045095381039346</v>
      </c>
      <c r="BO43">
        <f>テーブル2[[#This Row],[Fcorr]]</f>
        <v>1.042828734561708</v>
      </c>
      <c r="BP43">
        <f>(テーブル2[[#This Row],[Tsub]]-40)^2</f>
        <v>401.80584883496493</v>
      </c>
      <c r="BQ43" s="10">
        <v>0.95793758465456247</v>
      </c>
      <c r="BR43">
        <v>4.2670000000000003</v>
      </c>
    </row>
    <row r="44" spans="1:70" x14ac:dyDescent="0.15">
      <c r="A44" s="9" t="s">
        <v>128</v>
      </c>
      <c r="B44">
        <v>16547416.799999999</v>
      </c>
      <c r="C44" s="21" cm="1">
        <f t="array" ref="C44">TsatFromP(テーブル2[[#This Row],[P]])</f>
        <v>623.23870133313642</v>
      </c>
      <c r="D44">
        <f t="array" ref="D44">RhoGFromP(テーブル2[[#This Row],[P]])</f>
        <v>113.82300371015133</v>
      </c>
      <c r="E44">
        <f t="array" ref="E44">RhoFFromP(テーブル2[[#This Row],[P]])</f>
        <v>574.34988711113044</v>
      </c>
      <c r="F44">
        <f t="array" ref="F44">HgFromP(テーブル2[[#This Row],[P]])</f>
        <v>2563035.5779140079</v>
      </c>
      <c r="G44">
        <f t="array" ref="G44">HfFromP(テーブル2[[#This Row],[P]])</f>
        <v>1671616.2807993235</v>
      </c>
      <c r="H44">
        <f t="array" ref="H44">MuGFromP(テーブル2[[#This Row],[P]])</f>
        <v>2.3752482411014488E-5</v>
      </c>
      <c r="I44">
        <f t="array" ref="I44">MuFFromP(テーブル2[[#This Row],[P]])</f>
        <v>6.5759231557403181E-5</v>
      </c>
      <c r="J44">
        <f t="array" ref="J44">KfFromP(テーブル2[[#This Row],[P]])</f>
        <v>0.46027765484939753</v>
      </c>
      <c r="K44">
        <f t="array" ref="K44">CpFFromP(テーブル2[[#This Row],[P]])</f>
        <v>10140.600460117175</v>
      </c>
      <c r="L44">
        <f t="array" ref="L44">SigmaFromP(テーブル2[[#This Row],[P]])</f>
        <v>3.6380461586323874E-3</v>
      </c>
      <c r="M44">
        <v>326</v>
      </c>
      <c r="N44">
        <v>3383.22</v>
      </c>
      <c r="O44" s="8">
        <v>8.7843467213758383E-5</v>
      </c>
      <c r="P44" s="8">
        <v>2.9843873572041598E-2</v>
      </c>
      <c r="Q44">
        <v>1.1773735336561952E-2</v>
      </c>
      <c r="R44">
        <v>3.4036</v>
      </c>
      <c r="S44" s="15">
        <v>837925.56640625</v>
      </c>
      <c r="T44">
        <v>563.48333333333335</v>
      </c>
      <c r="U44" s="12">
        <f>+T44+BG44*S44*テーブル2[[#This Row],[Pw]]*R44/(N44*O44*K44)</f>
        <v>600.19776737688107</v>
      </c>
      <c r="V44">
        <v>0.03</v>
      </c>
      <c r="W44" s="8">
        <f t="shared" si="58"/>
        <v>1535425.3320047432</v>
      </c>
      <c r="X44">
        <v>1.5299986260567673E-2</v>
      </c>
      <c r="Y44">
        <f t="shared" si="61"/>
        <v>8.0845244645052716</v>
      </c>
      <c r="Z44">
        <f t="shared" si="59"/>
        <v>8.0845244854782194</v>
      </c>
      <c r="AA44">
        <f t="shared" si="62"/>
        <v>-2.0972947822883725E-8</v>
      </c>
      <c r="AB44">
        <f t="shared" si="63"/>
        <v>1.1454191989426209E-5</v>
      </c>
      <c r="AC44">
        <v>646.04556191015274</v>
      </c>
      <c r="AD44">
        <f t="shared" si="60"/>
        <v>33573.702109286634</v>
      </c>
      <c r="AE44">
        <f t="shared" si="57"/>
        <v>603.79821142788649</v>
      </c>
      <c r="AF44" s="14">
        <f t="shared" si="64"/>
        <v>3.600444051005411</v>
      </c>
      <c r="AG44">
        <v>1.1473210210857579E-5</v>
      </c>
      <c r="AH44">
        <f t="shared" si="65"/>
        <v>38.114040644586403</v>
      </c>
      <c r="AI44">
        <f t="shared" si="66"/>
        <v>0.2576049632996511</v>
      </c>
      <c r="AJ44">
        <f t="shared" si="67"/>
        <v>25.814218849755495</v>
      </c>
      <c r="AK44">
        <f t="array" ref="AK44">+S44*テーブル2[[#This Row],[F_form]]/(E44*CpFromTP((テーブル2[[#This Row],[Tin]]+テーブル2[[#This Row],[Tf]])/2,テーブル2[[#This Row],[P]])*AI44)</f>
        <v>1.286481548067866</v>
      </c>
      <c r="AL44">
        <f t="shared" si="68"/>
        <v>1.4487735538805233</v>
      </c>
      <c r="AM44">
        <f t="shared" si="69"/>
        <v>624.18113226408241</v>
      </c>
      <c r="AN44">
        <f t="shared" si="70"/>
        <v>-0.94243093094598862</v>
      </c>
      <c r="AO44">
        <f t="shared" si="71"/>
        <v>1.9018221431370242E-8</v>
      </c>
      <c r="AP44">
        <v>2.7531188659807935</v>
      </c>
      <c r="AQ44">
        <f t="shared" si="72"/>
        <v>3.1746008388070136E-5</v>
      </c>
      <c r="AR44">
        <f t="shared" si="73"/>
        <v>5.7461142161444748E-6</v>
      </c>
      <c r="AS44">
        <f t="shared" si="74"/>
        <v>12.928504506164495</v>
      </c>
      <c r="AT44">
        <f t="shared" si="75"/>
        <v>9.7471726265920076</v>
      </c>
      <c r="AU44">
        <f t="shared" si="76"/>
        <v>2.5109200467485979</v>
      </c>
      <c r="AV44">
        <f t="shared" si="77"/>
        <v>0.24219881923219555</v>
      </c>
      <c r="AW44">
        <f t="shared" si="78"/>
        <v>8.5051039946173763E-3</v>
      </c>
      <c r="AX44">
        <f t="shared" si="79"/>
        <v>0.24219881198592155</v>
      </c>
      <c r="AY44">
        <f t="shared" si="80"/>
        <v>7.2462739975076573E-9</v>
      </c>
      <c r="AZ44">
        <f t="shared" si="81"/>
        <v>891419.29711468448</v>
      </c>
      <c r="BA44">
        <f t="shared" si="82"/>
        <v>1.1530925446170549E-5</v>
      </c>
      <c r="BB44" s="15">
        <f t="shared" si="83"/>
        <v>844431.26913925027</v>
      </c>
      <c r="BC44" s="20">
        <f t="shared" si="84"/>
        <v>6505.7027330002747</v>
      </c>
      <c r="BD44" s="19">
        <f t="shared" si="85"/>
        <v>0.77640580426521155</v>
      </c>
      <c r="BE44" s="15">
        <v>1245163.6929708663</v>
      </c>
      <c r="BF44" s="16">
        <f>テーブル2[[#This Row],[q_P]]/テーブル2[[#This Row],[q_M]]</f>
        <v>0.6781688816548298</v>
      </c>
      <c r="BG44">
        <v>1.2999931692195916</v>
      </c>
      <c r="BH44">
        <v>-0.23592695825831414</v>
      </c>
      <c r="BI44">
        <v>4.5999999999999999E-2</v>
      </c>
      <c r="BJ44">
        <v>5625</v>
      </c>
      <c r="BK44" s="21">
        <f>1+テーブル2[[#This Row],[A_corr]]*EXP(-テーブル2[[#This Row],[(Tsub-40)^2]]/テーブル2[[#This Row],[σ_corr]])</f>
        <v>1.0429166237825809</v>
      </c>
      <c r="BL44">
        <f>テーブル2[[#This Row],[Ts]]-テーブル2[[#This Row],[Tin]]</f>
        <v>59.75536799980307</v>
      </c>
      <c r="BM44">
        <f>テーブル2[[#This Row],[q_P]]*0.000001</f>
        <v>0.84443126913925026</v>
      </c>
      <c r="BN44">
        <f>テーブル2[[#This Row],[Tsub]]</f>
        <v>59.75536799980307</v>
      </c>
      <c r="BO44">
        <f>テーブル2[[#This Row],[Fcorr]]</f>
        <v>1.0429166237825809</v>
      </c>
      <c r="BP44">
        <f>(テーブル2[[#This Row],[Tsub]]-40)^2</f>
        <v>390.27456480764317</v>
      </c>
      <c r="BQ44" s="10">
        <v>0.98823260572126292</v>
      </c>
      <c r="BR44">
        <v>4.2670000000000003</v>
      </c>
    </row>
    <row r="45" spans="1:70" x14ac:dyDescent="0.15">
      <c r="A45" s="9" t="s">
        <v>129</v>
      </c>
      <c r="B45">
        <v>16581890.584999999</v>
      </c>
      <c r="C45" s="21" cm="1">
        <f t="array" ref="C45">TsatFromP(テーブル2[[#This Row],[P]])</f>
        <v>623.40834329200698</v>
      </c>
      <c r="D45">
        <f t="array" ref="D45">RhoGFromP(テーブル2[[#This Row],[P]])</f>
        <v>114.24072089270538</v>
      </c>
      <c r="E45">
        <f t="array" ref="E45">RhoFFromP(テーブル2[[#This Row],[P]])</f>
        <v>573.66553119769708</v>
      </c>
      <c r="F45">
        <f t="array" ref="F45">HgFromP(テーブル2[[#This Row],[P]])</f>
        <v>2561880.926064556</v>
      </c>
      <c r="G45">
        <f t="array" ref="G45">HfFromP(テーブル2[[#This Row],[P]])</f>
        <v>1673008.4528857057</v>
      </c>
      <c r="H45">
        <f t="array" ref="H45">MuGFromP(テーブル2[[#This Row],[P]])</f>
        <v>2.3778054068935119E-5</v>
      </c>
      <c r="I45">
        <f t="array" ref="I45">MuFFromP(テーブル2[[#This Row],[P]])</f>
        <v>6.5676255486798709E-5</v>
      </c>
      <c r="J45">
        <f t="array" ref="J45">KfFromP(テーブル2[[#This Row],[P]])</f>
        <v>0.4599028461125329</v>
      </c>
      <c r="K45">
        <f t="array" ref="K45">CpFFromP(テーブル2[[#This Row],[P]])</f>
        <v>10188.161618072991</v>
      </c>
      <c r="L45">
        <f t="array" ref="L45">SigmaFromP(テーブル2[[#This Row],[P]])</f>
        <v>3.6065031383353337E-3</v>
      </c>
      <c r="M45" s="22">
        <v>327</v>
      </c>
      <c r="N45">
        <v>4040.88</v>
      </c>
      <c r="O45" s="8">
        <v>8.7843467213758383E-5</v>
      </c>
      <c r="P45" s="8">
        <v>2.9843873572041598E-2</v>
      </c>
      <c r="Q45">
        <v>1.1773735336561952E-2</v>
      </c>
      <c r="R45">
        <v>3.4036</v>
      </c>
      <c r="S45" s="15">
        <v>956114.66734375001</v>
      </c>
      <c r="T45">
        <v>564.26111111111106</v>
      </c>
      <c r="U45" s="12">
        <f>+T45+BG45*S45*テーブル2[[#This Row],[Pw]]*R45/(N45*O45*K45)</f>
        <v>599.17220916880467</v>
      </c>
      <c r="V45">
        <v>0.03</v>
      </c>
      <c r="W45" s="8">
        <f t="shared" si="58"/>
        <v>1836211.7472429869</v>
      </c>
      <c r="X45">
        <v>1.441578214700232E-2</v>
      </c>
      <c r="Y45">
        <f t="shared" si="61"/>
        <v>8.3287704901266437</v>
      </c>
      <c r="Z45">
        <f t="shared" si="59"/>
        <v>8.3287704957889623</v>
      </c>
      <c r="AA45">
        <f t="shared" si="62"/>
        <v>-5.6623186139859172E-9</v>
      </c>
      <c r="AB45">
        <f t="shared" si="63"/>
        <v>8.4377409085819746E-6</v>
      </c>
      <c r="AC45">
        <v>644.83712505122332</v>
      </c>
      <c r="AD45">
        <f t="shared" si="60"/>
        <v>38973.272817071345</v>
      </c>
      <c r="AE45">
        <f t="shared" si="57"/>
        <v>602.69281564506036</v>
      </c>
      <c r="AF45" s="14">
        <f t="shared" si="64"/>
        <v>3.5206064762556935</v>
      </c>
      <c r="AG45">
        <v>8.4552131746511215E-6</v>
      </c>
      <c r="AH45">
        <f t="shared" si="65"/>
        <v>51.291024610635041</v>
      </c>
      <c r="AI45">
        <f t="shared" si="66"/>
        <v>0.29901385313628526</v>
      </c>
      <c r="AJ45">
        <f t="shared" si="67"/>
        <v>22.083415478001662</v>
      </c>
      <c r="AK45">
        <f t="array" ref="AK45">+S45*テーブル2[[#This Row],[F_form]]/(E45*CpFromTP((テーブル2[[#This Row],[Tin]]+テーブル2[[#This Row],[Tf]])/2,テーブル2[[#This Row],[P]])*AI45)</f>
        <v>1.2670431276905867</v>
      </c>
      <c r="AL45">
        <f t="shared" si="68"/>
        <v>1.4549166438635874</v>
      </c>
      <c r="AM45">
        <f t="shared" si="69"/>
        <v>624.29943777576727</v>
      </c>
      <c r="AN45">
        <f t="shared" si="70"/>
        <v>-0.89109448376029832</v>
      </c>
      <c r="AO45">
        <f t="shared" si="71"/>
        <v>1.7472266069146924E-8</v>
      </c>
      <c r="AP45">
        <v>2.9436067304665547</v>
      </c>
      <c r="AQ45">
        <f t="shared" si="72"/>
        <v>2.7450873844139257E-5</v>
      </c>
      <c r="AR45">
        <f t="shared" si="73"/>
        <v>4.2363427203601342E-6</v>
      </c>
      <c r="AS45">
        <f t="shared" si="74"/>
        <v>11.064524863949492</v>
      </c>
      <c r="AT45">
        <f t="shared" si="75"/>
        <v>8.9687201606682159</v>
      </c>
      <c r="AU45">
        <f t="shared" si="76"/>
        <v>2.6817715729424867</v>
      </c>
      <c r="AV45">
        <f t="shared" si="77"/>
        <v>0.26183515752406805</v>
      </c>
      <c r="AW45">
        <f t="shared" si="78"/>
        <v>6.2850976500719233E-3</v>
      </c>
      <c r="AX45">
        <f t="shared" si="79"/>
        <v>0.26183515258106482</v>
      </c>
      <c r="AY45">
        <f t="shared" si="80"/>
        <v>4.9430032289521364E-9</v>
      </c>
      <c r="AZ45">
        <f t="shared" si="81"/>
        <v>888872.47317885025</v>
      </c>
      <c r="BA45">
        <f t="shared" si="82"/>
        <v>9.3255914793306506E-6</v>
      </c>
      <c r="BB45" s="15">
        <f t="shared" si="83"/>
        <v>955368.8149082259</v>
      </c>
      <c r="BC45" s="20">
        <f t="shared" si="84"/>
        <v>-745.85243552410975</v>
      </c>
      <c r="BD45" s="19">
        <f t="shared" si="85"/>
        <v>-7.8008680443760511E-2</v>
      </c>
      <c r="BE45" s="15">
        <v>1483599.293752522</v>
      </c>
      <c r="BF45" s="16">
        <f>テーブル2[[#This Row],[q_P]]/テーブル2[[#This Row],[q_M]]</f>
        <v>0.6439534036793565</v>
      </c>
      <c r="BG45">
        <v>1.2999931692195916</v>
      </c>
      <c r="BH45">
        <v>-0.23405491166652889</v>
      </c>
      <c r="BI45">
        <v>4.5999999999999999E-2</v>
      </c>
      <c r="BJ45">
        <v>5625</v>
      </c>
      <c r="BK45" s="21">
        <f>1+テーブル2[[#This Row],[A_corr]]*EXP(-テーブル2[[#This Row],[(Tsub-40)^2]]/テーブル2[[#This Row],[σ_corr]])</f>
        <v>1.0430975059906309</v>
      </c>
      <c r="BL45">
        <f>テーブル2[[#This Row],[Ts]]-テーブル2[[#This Row],[Tin]]</f>
        <v>59.147232180895912</v>
      </c>
      <c r="BM45">
        <f>テーブル2[[#This Row],[q_P]]*0.000001</f>
        <v>0.95536881490822589</v>
      </c>
      <c r="BN45">
        <f>テーブル2[[#This Row],[Tsub]]</f>
        <v>59.147232180895912</v>
      </c>
      <c r="BO45">
        <f>テーブル2[[#This Row],[Fcorr]]</f>
        <v>1.0430975059906309</v>
      </c>
      <c r="BP45">
        <f>(テーブル2[[#This Row],[Tsub]]-40)^2</f>
        <v>366.61650018913605</v>
      </c>
      <c r="BQ45" s="10">
        <v>0.99152204853823289</v>
      </c>
      <c r="BR45">
        <v>4.2670000000000003</v>
      </c>
    </row>
    <row r="46" spans="1:70" x14ac:dyDescent="0.15">
      <c r="A46" s="9" t="s">
        <v>130</v>
      </c>
      <c r="B46">
        <v>14547937.27</v>
      </c>
      <c r="C46" s="21" cm="1">
        <f t="array" ref="C46">TsatFromP(テーブル2[[#This Row],[P]])</f>
        <v>612.8617754030106</v>
      </c>
      <c r="D46">
        <f t="array" ref="D46">RhoGFromP(テーブル2[[#This Row],[P]])</f>
        <v>92.246204919594888</v>
      </c>
      <c r="E46">
        <f t="array" ref="E46">RhoFFromP(テーブル2[[#This Row],[P]])</f>
        <v>611.60316925921416</v>
      </c>
      <c r="F46">
        <f t="array" ref="F46">HgFromP(テーブル2[[#This Row],[P]])</f>
        <v>2623286.9751734058</v>
      </c>
      <c r="G46">
        <f t="array" ref="G46">HfFromP(テーブル2[[#This Row],[P]])</f>
        <v>1592460.3576735058</v>
      </c>
      <c r="H46">
        <f t="array" ref="H46">MuGFromP(テーブル2[[#This Row],[P]])</f>
        <v>2.2446211956304489E-5</v>
      </c>
      <c r="I46">
        <f t="array" ref="I46">MuFFromP(テーブル2[[#This Row],[P]])</f>
        <v>7.0453794027894906E-5</v>
      </c>
      <c r="J46">
        <f t="array" ref="J46">KfFromP(テーブル2[[#This Row],[P]])</f>
        <v>0.482528845552468</v>
      </c>
      <c r="K46">
        <f t="array" ref="K46">CpFFromP(テーブル2[[#This Row],[P]])</f>
        <v>8170.133161316754</v>
      </c>
      <c r="L46">
        <f t="array" ref="L46">SigmaFromP(テーブル2[[#This Row],[P]])</f>
        <v>5.6457194724596916E-3</v>
      </c>
      <c r="M46" s="22">
        <v>329</v>
      </c>
      <c r="N46">
        <v>2770.3080000000004</v>
      </c>
      <c r="O46" s="8">
        <v>8.7843467213758383E-5</v>
      </c>
      <c r="P46" s="8">
        <v>2.9843873572041598E-2</v>
      </c>
      <c r="Q46">
        <v>1.1773735336561952E-2</v>
      </c>
      <c r="R46">
        <v>3.4036</v>
      </c>
      <c r="S46" s="15">
        <v>543597.63421874994</v>
      </c>
      <c r="T46">
        <v>561.48333333333335</v>
      </c>
      <c r="U46" s="12">
        <f>+T46+BG46*S46*テーブル2[[#This Row],[Pw]]*R46/(N46*O46*K46)</f>
        <v>597.58653144256562</v>
      </c>
      <c r="V46">
        <v>0.03</v>
      </c>
      <c r="W46" s="8">
        <f t="shared" si="58"/>
        <v>1173488.5657808729</v>
      </c>
      <c r="X46">
        <v>1.7826663453641606E-2</v>
      </c>
      <c r="Y46">
        <f t="shared" si="61"/>
        <v>7.4897093958670071</v>
      </c>
      <c r="Z46">
        <f t="shared" si="59"/>
        <v>7.4897094000483806</v>
      </c>
      <c r="AA46">
        <f t="shared" si="62"/>
        <v>-4.1813734696916072E-9</v>
      </c>
      <c r="AB46">
        <f t="shared" si="63"/>
        <v>2.4228921185705779E-5</v>
      </c>
      <c r="AC46">
        <v>629.50988827819288</v>
      </c>
      <c r="AD46">
        <f t="shared" si="60"/>
        <v>27697.393805640302</v>
      </c>
      <c r="AE46">
        <f t="shared" si="57"/>
        <v>600.59477400597484</v>
      </c>
      <c r="AF46" s="14">
        <f t="shared" si="64"/>
        <v>3.008242563409226</v>
      </c>
      <c r="AG46">
        <v>2.4244421095286889E-5</v>
      </c>
      <c r="AH46">
        <f t="shared" si="65"/>
        <v>27.961886189751461</v>
      </c>
      <c r="AI46">
        <f t="shared" si="66"/>
        <v>0.21382002119158272</v>
      </c>
      <c r="AJ46">
        <f t="shared" si="67"/>
        <v>45.001348571253629</v>
      </c>
      <c r="AK46">
        <f t="array" ref="AK46">+S46*テーブル2[[#This Row],[F_form]]/(E46*CpFromTP((テーブル2[[#This Row],[Tin]]+テーブル2[[#This Row],[Tf]])/2,テーブル2[[#This Row],[P]])*AI46)</f>
        <v>0.95631764712311451</v>
      </c>
      <c r="AL46">
        <f t="shared" si="68"/>
        <v>1.1929170333202277</v>
      </c>
      <c r="AM46">
        <f t="shared" si="69"/>
        <v>613.55610661654873</v>
      </c>
      <c r="AN46">
        <f t="shared" si="70"/>
        <v>-0.69433121353813476</v>
      </c>
      <c r="AO46">
        <f t="shared" si="71"/>
        <v>1.5499909581110011E-8</v>
      </c>
      <c r="AP46">
        <v>2.914967070857275</v>
      </c>
      <c r="AQ46">
        <f t="shared" si="72"/>
        <v>5.2082683263124668E-5</v>
      </c>
      <c r="AR46">
        <f t="shared" si="73"/>
        <v>1.2129960502433999E-5</v>
      </c>
      <c r="AS46">
        <f t="shared" si="74"/>
        <v>22.515059385422372</v>
      </c>
      <c r="AT46">
        <f t="shared" si="75"/>
        <v>12.52092195671883</v>
      </c>
      <c r="AU46">
        <f t="shared" si="76"/>
        <v>2.6772237981237734</v>
      </c>
      <c r="AV46">
        <f t="shared" si="77"/>
        <v>0.2377432727335016</v>
      </c>
      <c r="AW46">
        <f t="shared" si="78"/>
        <v>1.5336603449944272E-2</v>
      </c>
      <c r="AX46">
        <f t="shared" si="79"/>
        <v>0.23774327066272274</v>
      </c>
      <c r="AY46">
        <f t="shared" si="80"/>
        <v>2.0707788539464644E-9</v>
      </c>
      <c r="AZ46">
        <f t="shared" si="81"/>
        <v>1030826.6174999001</v>
      </c>
      <c r="BA46">
        <f t="shared" si="82"/>
        <v>1.7867331601727993E-5</v>
      </c>
      <c r="BB46" s="15">
        <f t="shared" si="83"/>
        <v>546921.27616044122</v>
      </c>
      <c r="BC46" s="20">
        <f t="shared" si="84"/>
        <v>3323.6419416912831</v>
      </c>
      <c r="BD46" s="19">
        <f t="shared" si="85"/>
        <v>0.61141582164314778</v>
      </c>
      <c r="BE46" s="15">
        <v>965517.00069608551</v>
      </c>
      <c r="BF46" s="16">
        <f>テーブル2[[#This Row],[q_P]]/テーブル2[[#This Row],[q_M]]</f>
        <v>0.56645432008565422</v>
      </c>
      <c r="BG46">
        <v>1.2999931692195916</v>
      </c>
      <c r="BH46">
        <v>-0.10561999248083931</v>
      </c>
      <c r="BI46">
        <v>4.5999999999999999E-2</v>
      </c>
      <c r="BJ46">
        <v>5625</v>
      </c>
      <c r="BK46" s="21">
        <f>1+テーブル2[[#This Row],[A_corr]]*EXP(-テーブル2[[#This Row],[(Tsub-40)^2]]/テーブル2[[#This Row],[σ_corr]])</f>
        <v>1.0449533234753887</v>
      </c>
      <c r="BL46">
        <f>テーブル2[[#This Row],[Ts]]-テーブル2[[#This Row],[Tin]]</f>
        <v>51.378442069677249</v>
      </c>
      <c r="BM46">
        <f>テーブル2[[#This Row],[q_P]]*0.000001</f>
        <v>0.54692127616044117</v>
      </c>
      <c r="BN46">
        <f>テーブル2[[#This Row],[Tsub]]</f>
        <v>51.378442069677249</v>
      </c>
      <c r="BO46">
        <f>テーブル2[[#This Row],[Fcorr]]</f>
        <v>1.0449533234753887</v>
      </c>
      <c r="BP46">
        <f>(テーブル2[[#This Row],[Tsub]]-40)^2</f>
        <v>129.46894393300107</v>
      </c>
      <c r="BQ46" s="10">
        <v>0.97565557400218594</v>
      </c>
      <c r="BR46">
        <v>4.2670000000000003</v>
      </c>
    </row>
    <row r="47" spans="1:70" x14ac:dyDescent="0.15">
      <c r="A47" s="9" t="s">
        <v>131</v>
      </c>
      <c r="B47">
        <v>14513463.484999999</v>
      </c>
      <c r="C47" s="21" cm="1">
        <f t="array" ref="C47">TsatFromP(テーブル2[[#This Row],[P]])</f>
        <v>612.67292008461743</v>
      </c>
      <c r="D47">
        <f t="array" ref="D47">RhoGFromP(テーブル2[[#This Row],[P]])</f>
        <v>91.91255897533145</v>
      </c>
      <c r="E47">
        <f t="array" ref="E47">RhoFFromP(テーブル2[[#This Row],[P]])</f>
        <v>612.21368217827785</v>
      </c>
      <c r="F47">
        <f t="array" ref="F47">HgFromP(テーブル2[[#This Row],[P]])</f>
        <v>2624225.3455417412</v>
      </c>
      <c r="G47">
        <f t="array" ref="G47">HfFromP(テーブル2[[#This Row],[P]])</f>
        <v>1591108.2176913612</v>
      </c>
      <c r="H47">
        <f t="array" ref="H47">MuGFromP(テーブル2[[#This Row],[P]])</f>
        <v>2.2426155999369982E-5</v>
      </c>
      <c r="I47">
        <f t="array" ref="I47">MuFFromP(テーブル2[[#This Row],[P]])</f>
        <v>7.053398392243067E-5</v>
      </c>
      <c r="J47">
        <f t="array" ref="J47">KfFromP(テーブル2[[#This Row],[P]])</f>
        <v>0.48291804642989189</v>
      </c>
      <c r="K47">
        <f t="array" ref="K47">CpFFromP(テーブル2[[#This Row],[P]])</f>
        <v>8145.6939161944201</v>
      </c>
      <c r="L47">
        <f t="array" ref="L47">SigmaFromP(テーブル2[[#This Row],[P]])</f>
        <v>5.6835159172802328E-3</v>
      </c>
      <c r="M47">
        <v>330</v>
      </c>
      <c r="N47">
        <v>3388.6439999999998</v>
      </c>
      <c r="O47" s="8">
        <v>8.7843467213758383E-5</v>
      </c>
      <c r="P47" s="8">
        <v>2.9843873572041598E-2</v>
      </c>
      <c r="Q47">
        <v>1.1773735336561952E-2</v>
      </c>
      <c r="R47">
        <v>3.4036</v>
      </c>
      <c r="S47" s="15">
        <v>657159.61328125</v>
      </c>
      <c r="T47">
        <v>560.37222222222226</v>
      </c>
      <c r="U47" s="12">
        <f>+T47+BG47*S47*テーブル2[[#This Row],[Pw]]*R47/(N47*O47*K47)</f>
        <v>596.16061049297275</v>
      </c>
      <c r="V47">
        <v>0.03</v>
      </c>
      <c r="W47" s="8">
        <f t="shared" si="58"/>
        <v>1433780.6755375497</v>
      </c>
      <c r="X47">
        <v>1.6612978490425593E-2</v>
      </c>
      <c r="Y47">
        <f t="shared" si="61"/>
        <v>7.7584729199315809</v>
      </c>
      <c r="Z47">
        <f t="shared" si="59"/>
        <v>7.7584729328430893</v>
      </c>
      <c r="AA47">
        <f t="shared" si="62"/>
        <v>-1.2911508306956421E-8</v>
      </c>
      <c r="AB47">
        <f t="shared" si="63"/>
        <v>1.751023404007341E-5</v>
      </c>
      <c r="AC47">
        <v>629.39612748328932</v>
      </c>
      <c r="AD47">
        <f t="shared" si="60"/>
        <v>32668.672329907775</v>
      </c>
      <c r="AE47">
        <f t="shared" si="57"/>
        <v>599.21507898365667</v>
      </c>
      <c r="AF47" s="14">
        <f t="shared" si="64"/>
        <v>3.0544684906839166</v>
      </c>
      <c r="AG47">
        <v>1.7524282347169032E-5</v>
      </c>
      <c r="AH47">
        <f t="shared" si="65"/>
        <v>38.949902583413362</v>
      </c>
      <c r="AI47">
        <f t="shared" si="66"/>
        <v>0.2522328646447749</v>
      </c>
      <c r="AJ47">
        <f t="shared" si="67"/>
        <v>38.36600074279756</v>
      </c>
      <c r="AK47">
        <f t="array" ref="AK47">+S47*テーブル2[[#This Row],[F_form]]/(E47*CpFromTP((テーブル2[[#This Row],[Tin]]+テーブル2[[#This Row],[Tf]])/2,テーブル2[[#This Row],[P]])*AI47)</f>
        <v>0.98560949245776219</v>
      </c>
      <c r="AL47">
        <f t="shared" si="68"/>
        <v>1.1897427482145444</v>
      </c>
      <c r="AM47">
        <f t="shared" si="69"/>
        <v>613.37363348681777</v>
      </c>
      <c r="AN47">
        <f t="shared" si="70"/>
        <v>-0.70071340220033562</v>
      </c>
      <c r="AO47">
        <f t="shared" si="71"/>
        <v>1.4048307095621758E-8</v>
      </c>
      <c r="AP47">
        <v>3.2126070817731849</v>
      </c>
      <c r="AQ47">
        <f t="shared" si="72"/>
        <v>4.3296656996015764E-5</v>
      </c>
      <c r="AR47">
        <f t="shared" si="73"/>
        <v>8.7691653271323268E-6</v>
      </c>
      <c r="AS47">
        <f t="shared" si="74"/>
        <v>19.198378386594726</v>
      </c>
      <c r="AT47">
        <f t="shared" si="75"/>
        <v>11.724129082176733</v>
      </c>
      <c r="AU47">
        <f t="shared" si="76"/>
        <v>2.9572106638625528</v>
      </c>
      <c r="AV47">
        <f t="shared" si="77"/>
        <v>0.25539641791063206</v>
      </c>
      <c r="AW47">
        <f t="shared" si="78"/>
        <v>1.1056879359041134E-2</v>
      </c>
      <c r="AX47">
        <f t="shared" si="79"/>
        <v>0.25539641616703795</v>
      </c>
      <c r="AY47">
        <f t="shared" si="80"/>
        <v>1.7435941024324109E-9</v>
      </c>
      <c r="AZ47">
        <f t="shared" si="81"/>
        <v>1033117.12785038</v>
      </c>
      <c r="BA47">
        <f t="shared" si="82"/>
        <v>1.3477109367547792E-5</v>
      </c>
      <c r="BB47" s="15">
        <f t="shared" si="83"/>
        <v>659295.0766186564</v>
      </c>
      <c r="BC47" s="20">
        <f t="shared" si="84"/>
        <v>2135.4633374063997</v>
      </c>
      <c r="BD47" s="19">
        <f t="shared" si="85"/>
        <v>0.32495352639579633</v>
      </c>
      <c r="BE47" s="15">
        <v>1139192.3148456863</v>
      </c>
      <c r="BF47" s="16">
        <f>テーブル2[[#This Row],[q_P]]/テーブル2[[#This Row],[q_M]]</f>
        <v>0.57873904873380733</v>
      </c>
      <c r="BG47">
        <v>1.2999931692195916</v>
      </c>
      <c r="BH47">
        <v>-0.11832822227729516</v>
      </c>
      <c r="BI47">
        <v>4.5999999999999999E-2</v>
      </c>
      <c r="BJ47">
        <v>5625</v>
      </c>
      <c r="BK47" s="21">
        <f>1+テーブル2[[#This Row],[A_corr]]*EXP(-テーブル2[[#This Row],[(Tsub-40)^2]]/テーブル2[[#This Row],[σ_corr]])</f>
        <v>1.0447791372431134</v>
      </c>
      <c r="BL47">
        <f>テーブル2[[#This Row],[Ts]]-テーブル2[[#This Row],[Tin]]</f>
        <v>52.300697862395168</v>
      </c>
      <c r="BM47">
        <f>テーブル2[[#This Row],[q_P]]*0.000001</f>
        <v>0.65929507661865638</v>
      </c>
      <c r="BN47">
        <f>テーブル2[[#This Row],[Tsub]]</f>
        <v>52.300697862395168</v>
      </c>
      <c r="BO47">
        <f>テーブル2[[#This Row],[Fcorr]]</f>
        <v>1.0447791372431134</v>
      </c>
      <c r="BP47">
        <f>(テーブル2[[#This Row],[Tsub]]-40)^2</f>
        <v>151.30716790193307</v>
      </c>
      <c r="BQ47" s="10">
        <v>0.99934587905901207</v>
      </c>
      <c r="BR47">
        <v>4.2670000000000003</v>
      </c>
    </row>
    <row r="48" spans="1:70" x14ac:dyDescent="0.15">
      <c r="A48" s="9" t="s">
        <v>132</v>
      </c>
      <c r="B48">
        <v>14582411.055</v>
      </c>
      <c r="C48" s="21" cm="1">
        <f t="array" ref="C48">TsatFromP(テーブル2[[#This Row],[P]])</f>
        <v>613.05026988781367</v>
      </c>
      <c r="D48">
        <f t="array" ref="D48">RhoGFromP(テーブル2[[#This Row],[P]])</f>
        <v>92.580958140603215</v>
      </c>
      <c r="E48">
        <f t="array" ref="E48">RhoFFromP(テーブル2[[#This Row],[P]])</f>
        <v>610.99184656446221</v>
      </c>
      <c r="F48">
        <f t="array" ref="F48">HgFromP(テーブル2[[#This Row],[P]])</f>
        <v>2622345.5985878608</v>
      </c>
      <c r="G48">
        <f t="array" ref="G48">HfFromP(テーブル2[[#This Row],[P]])</f>
        <v>1593812.5192969192</v>
      </c>
      <c r="H48">
        <f t="array" ref="H48">MuGFromP(テーブル2[[#This Row],[P]])</f>
        <v>2.2466336042427335E-5</v>
      </c>
      <c r="I48">
        <f t="array" ref="I48">MuFFromP(テーブル2[[#This Row],[P]])</f>
        <v>7.0373614625891007E-5</v>
      </c>
      <c r="J48">
        <f t="array" ref="J48">KfFromP(テーブル2[[#This Row],[P]])</f>
        <v>0.48213977909987105</v>
      </c>
      <c r="K48">
        <f t="array" ref="K48">CpFFromP(テーブル2[[#This Row],[P]])</f>
        <v>8194.8014383951322</v>
      </c>
      <c r="L48">
        <f t="array" ref="L48">SigmaFromP(テーブル2[[#This Row],[P]])</f>
        <v>5.6080351609815058E-3</v>
      </c>
      <c r="M48" s="22">
        <v>331</v>
      </c>
      <c r="N48">
        <v>4065.288</v>
      </c>
      <c r="O48" s="8">
        <v>8.7843467213758383E-5</v>
      </c>
      <c r="P48" s="8">
        <v>2.9843873572041598E-2</v>
      </c>
      <c r="Q48">
        <v>1.1773735336561952E-2</v>
      </c>
      <c r="R48">
        <v>3.4036</v>
      </c>
      <c r="S48" s="15">
        <v>778800.47265625</v>
      </c>
      <c r="T48">
        <v>560.26111111111106</v>
      </c>
      <c r="U48" s="12">
        <f>+T48+BG48*S48*テーブル2[[#This Row],[Pw]]*R48/(N48*O48*K48)</f>
        <v>595.40272971598722</v>
      </c>
      <c r="V48">
        <v>0.03</v>
      </c>
      <c r="W48" s="8">
        <f t="shared" si="58"/>
        <v>1723997.5770876748</v>
      </c>
      <c r="X48">
        <v>1.5563670290763042E-2</v>
      </c>
      <c r="Y48">
        <f t="shared" si="61"/>
        <v>8.0157467765279247</v>
      </c>
      <c r="Z48">
        <f t="shared" si="59"/>
        <v>8.0157467977573926</v>
      </c>
      <c r="AA48">
        <f t="shared" si="62"/>
        <v>-2.1229467961347837E-8</v>
      </c>
      <c r="AB48">
        <f t="shared" si="63"/>
        <v>1.2788591577026091E-5</v>
      </c>
      <c r="AC48">
        <v>629.78897066492334</v>
      </c>
      <c r="AD48">
        <f t="shared" si="60"/>
        <v>38020.486783513152</v>
      </c>
      <c r="AE48">
        <f t="shared" si="57"/>
        <v>598.4791434895011</v>
      </c>
      <c r="AF48" s="14">
        <f t="shared" si="64"/>
        <v>3.0764137735138775</v>
      </c>
      <c r="AG48">
        <v>1.2801605046908434E-5</v>
      </c>
      <c r="AH48">
        <f t="shared" si="65"/>
        <v>52.622230936416727</v>
      </c>
      <c r="AI48">
        <f t="shared" si="66"/>
        <v>0.29347216821424105</v>
      </c>
      <c r="AJ48">
        <f t="shared" si="67"/>
        <v>32.617967926905472</v>
      </c>
      <c r="AK48">
        <f t="array" ref="AK48">+S48*テーブル2[[#This Row],[F_form]]/(E48*CpFromTP((テーブル2[[#This Row],[Tin]]+テーブル2[[#This Row],[Tf]])/2,テーブル2[[#This Row],[P]])*AI48)</f>
        <v>1.0081706844651568</v>
      </c>
      <c r="AL48">
        <f t="shared" si="68"/>
        <v>1.1961215883036658</v>
      </c>
      <c r="AM48">
        <f t="shared" si="69"/>
        <v>613.75355943858438</v>
      </c>
      <c r="AN48">
        <f t="shared" si="70"/>
        <v>-0.70328955077070532</v>
      </c>
      <c r="AO48">
        <f t="shared" si="71"/>
        <v>1.3013469882342541E-8</v>
      </c>
      <c r="AP48">
        <v>3.4755389185917505</v>
      </c>
      <c r="AQ48">
        <f t="shared" si="72"/>
        <v>3.6282586769760441E-5</v>
      </c>
      <c r="AR48">
        <f t="shared" si="73"/>
        <v>6.4073092583953882E-6</v>
      </c>
      <c r="AS48">
        <f t="shared" si="74"/>
        <v>16.325562858899229</v>
      </c>
      <c r="AT48">
        <f t="shared" si="75"/>
        <v>10.913660764540262</v>
      </c>
      <c r="AU48">
        <f t="shared" si="76"/>
        <v>3.2028556877243224</v>
      </c>
      <c r="AV48">
        <f t="shared" si="77"/>
        <v>0.27268323086742807</v>
      </c>
      <c r="AW48">
        <f t="shared" si="78"/>
        <v>8.1147695318668136E-3</v>
      </c>
      <c r="AX48">
        <f t="shared" si="79"/>
        <v>0.27268321884874652</v>
      </c>
      <c r="AY48">
        <f t="shared" si="80"/>
        <v>1.2018681549985644E-8</v>
      </c>
      <c r="AZ48">
        <f t="shared" si="81"/>
        <v>1028533.0792909416</v>
      </c>
      <c r="BA48">
        <f t="shared" si="82"/>
        <v>1.043941317292506E-5</v>
      </c>
      <c r="BB48" s="15">
        <f t="shared" si="83"/>
        <v>783376.79613979929</v>
      </c>
      <c r="BC48" s="20">
        <f t="shared" si="84"/>
        <v>4576.3234835492913</v>
      </c>
      <c r="BD48" s="19">
        <f t="shared" si="85"/>
        <v>0.58761180099709653</v>
      </c>
      <c r="BE48" s="15">
        <v>1357022.3698807789</v>
      </c>
      <c r="BF48" s="16">
        <f>テーブル2[[#This Row],[q_P]]/テーブル2[[#This Row],[q_M]]</f>
        <v>0.57727625831888296</v>
      </c>
      <c r="BG48">
        <v>1.2999931692195916</v>
      </c>
      <c r="BH48">
        <v>-0.12475207352738613</v>
      </c>
      <c r="BI48">
        <v>4.5999999999999999E-2</v>
      </c>
      <c r="BJ48">
        <v>5625</v>
      </c>
      <c r="BK48" s="21">
        <f>1+テーブル2[[#This Row],[A_corr]]*EXP(-テーブル2[[#This Row],[(Tsub-40)^2]]/テーブル2[[#This Row],[σ_corr]])</f>
        <v>1.0446816813353066</v>
      </c>
      <c r="BL48">
        <f>テーブル2[[#This Row],[Ts]]-テーブル2[[#This Row],[Tin]]</f>
        <v>52.789158776702607</v>
      </c>
      <c r="BM48">
        <f>テーブル2[[#This Row],[q_P]]*0.000001</f>
        <v>0.78337679613979927</v>
      </c>
      <c r="BN48">
        <f>テーブル2[[#This Row],[Tsub]]</f>
        <v>52.789158776702607</v>
      </c>
      <c r="BO48">
        <f>テーブル2[[#This Row],[Fcorr]]</f>
        <v>1.0446816813353066</v>
      </c>
      <c r="BP48">
        <f>(テーブル2[[#This Row],[Tsub]]-40)^2</f>
        <v>163.56258221570931</v>
      </c>
      <c r="BQ48" s="10">
        <v>1.0026263254038306</v>
      </c>
      <c r="BR48">
        <v>4.2670000000000003</v>
      </c>
    </row>
    <row r="49" spans="1:70" x14ac:dyDescent="0.15">
      <c r="A49" s="9" t="s">
        <v>133</v>
      </c>
      <c r="B49">
        <v>16547416.799999999</v>
      </c>
      <c r="C49" s="21" cm="1">
        <f t="array" ref="C49">TsatFromP(テーブル2[[#This Row],[P]])</f>
        <v>623.23870133313642</v>
      </c>
      <c r="D49">
        <f t="array" ref="D49">RhoGFromP(テーブル2[[#This Row],[P]])</f>
        <v>113.82300371015133</v>
      </c>
      <c r="E49">
        <f t="array" ref="E49">RhoFFromP(テーブル2[[#This Row],[P]])</f>
        <v>574.34988711113044</v>
      </c>
      <c r="F49">
        <f t="array" ref="F49">HgFromP(テーブル2[[#This Row],[P]])</f>
        <v>2563035.5779140079</v>
      </c>
      <c r="G49">
        <f t="array" ref="G49">HfFromP(テーブル2[[#This Row],[P]])</f>
        <v>1671616.2807993235</v>
      </c>
      <c r="H49">
        <f t="array" ref="H49">MuGFromP(テーブル2[[#This Row],[P]])</f>
        <v>2.3752482411014488E-5</v>
      </c>
      <c r="I49">
        <f t="array" ref="I49">MuFFromP(テーブル2[[#This Row],[P]])</f>
        <v>6.5759231557403181E-5</v>
      </c>
      <c r="J49">
        <f t="array" ref="J49">KfFromP(テーブル2[[#This Row],[P]])</f>
        <v>0.46027765484939753</v>
      </c>
      <c r="K49">
        <f t="array" ref="K49">CpFFromP(テーブル2[[#This Row],[P]])</f>
        <v>10140.600460117175</v>
      </c>
      <c r="L49">
        <f t="array" ref="L49">SigmaFromP(テーブル2[[#This Row],[P]])</f>
        <v>3.6380461586323874E-3</v>
      </c>
      <c r="M49">
        <v>334</v>
      </c>
      <c r="N49">
        <v>2703.864</v>
      </c>
      <c r="O49" s="8">
        <v>8.7843467213758383E-5</v>
      </c>
      <c r="P49" s="8">
        <v>2.9843873572041598E-2</v>
      </c>
      <c r="Q49">
        <v>1.1773735336561952E-2</v>
      </c>
      <c r="R49">
        <v>3.4036</v>
      </c>
      <c r="S49" s="15">
        <v>435280.12703125004</v>
      </c>
      <c r="T49">
        <v>587.59444444444443</v>
      </c>
      <c r="U49" s="12">
        <f>+T49+BG49*S49*テーブル2[[#This Row],[Pw]]*R49/(N49*O49*K49)</f>
        <v>611.45857585818771</v>
      </c>
      <c r="V49">
        <v>0.03</v>
      </c>
      <c r="W49" s="8">
        <f t="shared" si="58"/>
        <v>1227109.4637344524</v>
      </c>
      <c r="X49">
        <v>1.6508472429758583E-2</v>
      </c>
      <c r="Y49">
        <f t="shared" si="61"/>
        <v>7.7829914905227708</v>
      </c>
      <c r="Z49">
        <f t="shared" si="59"/>
        <v>7.7829915049323635</v>
      </c>
      <c r="AA49">
        <f t="shared" si="62"/>
        <v>-1.4409592630215684E-8</v>
      </c>
      <c r="AB49">
        <f t="shared" si="63"/>
        <v>1.6620320805582792E-5</v>
      </c>
      <c r="AC49">
        <v>636.34219801929817</v>
      </c>
      <c r="AD49">
        <f t="shared" si="60"/>
        <v>27871.591023882043</v>
      </c>
      <c r="AE49">
        <f t="shared" si="57"/>
        <v>613.57472744805</v>
      </c>
      <c r="AF49" s="14">
        <f t="shared" si="64"/>
        <v>2.1161515898622838</v>
      </c>
      <c r="AG49">
        <v>1.6633302218592499E-5</v>
      </c>
      <c r="AH49">
        <f t="shared" si="65"/>
        <v>26.266974274602656</v>
      </c>
      <c r="AI49">
        <f t="shared" si="66"/>
        <v>0.21385369297191797</v>
      </c>
      <c r="AJ49">
        <f t="shared" si="67"/>
        <v>31.068124966696516</v>
      </c>
      <c r="AK49">
        <f t="array" ref="AK49">+S49*テーブル2[[#This Row],[F_form]]/(E49*CpFromTP((テーブル2[[#This Row],[Tin]]+テーブル2[[#This Row],[Tf]])/2,テーブル2[[#This Row],[P]])*AI49)</f>
        <v>0.70327273206878327</v>
      </c>
      <c r="AL49">
        <f t="shared" si="68"/>
        <v>1.4487735538805233</v>
      </c>
      <c r="AM49">
        <f t="shared" si="69"/>
        <v>623.76861104051261</v>
      </c>
      <c r="AN49">
        <f t="shared" si="70"/>
        <v>-0.52990970737619136</v>
      </c>
      <c r="AO49">
        <f t="shared" si="71"/>
        <v>1.2981413009706936E-8</v>
      </c>
      <c r="AP49">
        <v>2.5027954858917578</v>
      </c>
      <c r="AQ49">
        <f t="shared" si="72"/>
        <v>3.8413893289746731E-5</v>
      </c>
      <c r="AR49">
        <f t="shared" si="73"/>
        <v>8.3231418158011032E-6</v>
      </c>
      <c r="AS49">
        <f t="shared" si="74"/>
        <v>15.546185997859377</v>
      </c>
      <c r="AT49">
        <f t="shared" si="75"/>
        <v>10.669076675456168</v>
      </c>
      <c r="AU49">
        <f t="shared" si="76"/>
        <v>2.2816214476468546</v>
      </c>
      <c r="AV49">
        <f t="shared" si="77"/>
        <v>0.22117403824490323</v>
      </c>
      <c r="AW49">
        <f t="shared" si="78"/>
        <v>1.2341119915387914E-2</v>
      </c>
      <c r="AX49">
        <f t="shared" si="79"/>
        <v>0.22117403241424913</v>
      </c>
      <c r="AY49">
        <f t="shared" si="80"/>
        <v>5.8306540984265354E-9</v>
      </c>
      <c r="AZ49">
        <f t="shared" si="81"/>
        <v>891419.29711468448</v>
      </c>
      <c r="BA49">
        <f t="shared" si="82"/>
        <v>1.5348394827418223E-5</v>
      </c>
      <c r="BB49" s="15">
        <f t="shared" si="83"/>
        <v>433029.59234116756</v>
      </c>
      <c r="BC49" s="20">
        <f t="shared" si="84"/>
        <v>-2250.5346900824807</v>
      </c>
      <c r="BD49" s="19">
        <f t="shared" si="85"/>
        <v>-0.51703134379964655</v>
      </c>
      <c r="BE49" s="15">
        <v>835996.42743197642</v>
      </c>
      <c r="BF49" s="16">
        <f>テーブル2[[#This Row],[q_P]]/テーブル2[[#This Row],[q_M]]</f>
        <v>0.51798019480938806</v>
      </c>
      <c r="BG49">
        <v>1.2999931692195916</v>
      </c>
      <c r="BH49">
        <v>-8.5063307902018923E-2</v>
      </c>
      <c r="BI49">
        <v>4.5999999999999999E-2</v>
      </c>
      <c r="BJ49">
        <v>5625</v>
      </c>
      <c r="BK49" s="21">
        <f>1+テーブル2[[#This Row],[A_corr]]*EXP(-テーブル2[[#This Row],[(Tsub-40)^2]]/テーブル2[[#This Row],[σ_corr]])</f>
        <v>1.045845108489786</v>
      </c>
      <c r="BL49">
        <f>テーブル2[[#This Row],[Ts]]-テーブル2[[#This Row],[Tin]]</f>
        <v>35.644256888691984</v>
      </c>
      <c r="BM49">
        <f>テーブル2[[#This Row],[q_P]]*0.000001</f>
        <v>0.43302959234116756</v>
      </c>
      <c r="BN49">
        <f>テーブル2[[#This Row],[Tsub]]</f>
        <v>35.644256888691984</v>
      </c>
      <c r="BO49">
        <f>テーブル2[[#This Row],[Fcorr]]</f>
        <v>1.045845108489786</v>
      </c>
      <c r="BP49">
        <f>(テーブル2[[#This Row],[Tsub]]-40)^2</f>
        <v>18.97249805170723</v>
      </c>
      <c r="BQ49" s="10">
        <v>0.9742323718113659</v>
      </c>
      <c r="BR49">
        <v>4.2670000000000003</v>
      </c>
    </row>
    <row r="50" spans="1:70" x14ac:dyDescent="0.15">
      <c r="A50" s="9" t="s">
        <v>134</v>
      </c>
      <c r="B50">
        <v>16581890.584999999</v>
      </c>
      <c r="C50" s="21" cm="1">
        <f t="array" ref="C50">TsatFromP(テーブル2[[#This Row],[P]])</f>
        <v>623.40834329200698</v>
      </c>
      <c r="D50">
        <f t="array" ref="D50">RhoGFromP(テーブル2[[#This Row],[P]])</f>
        <v>114.24072089270538</v>
      </c>
      <c r="E50">
        <f t="array" ref="E50">RhoFFromP(テーブル2[[#This Row],[P]])</f>
        <v>573.66553119769708</v>
      </c>
      <c r="F50">
        <f t="array" ref="F50">HgFromP(テーブル2[[#This Row],[P]])</f>
        <v>2561880.926064556</v>
      </c>
      <c r="G50">
        <f t="array" ref="G50">HfFromP(テーブル2[[#This Row],[P]])</f>
        <v>1673008.4528857057</v>
      </c>
      <c r="H50">
        <f t="array" ref="H50">MuGFromP(テーブル2[[#This Row],[P]])</f>
        <v>2.3778054068935119E-5</v>
      </c>
      <c r="I50">
        <f t="array" ref="I50">MuFFromP(テーブル2[[#This Row],[P]])</f>
        <v>6.5676255486798709E-5</v>
      </c>
      <c r="J50">
        <f t="array" ref="J50">KfFromP(テーブル2[[#This Row],[P]])</f>
        <v>0.4599028461125329</v>
      </c>
      <c r="K50">
        <f t="array" ref="K50">CpFFromP(テーブル2[[#This Row],[P]])</f>
        <v>10188.161618072991</v>
      </c>
      <c r="L50">
        <f t="array" ref="L50">SigmaFromP(テーブル2[[#This Row],[P]])</f>
        <v>3.6065031383353337E-3</v>
      </c>
      <c r="M50" s="22">
        <v>335</v>
      </c>
      <c r="N50">
        <v>3330.3359999999998</v>
      </c>
      <c r="O50" s="8">
        <v>8.7843467213758383E-5</v>
      </c>
      <c r="P50" s="8">
        <v>2.9843873572041598E-2</v>
      </c>
      <c r="Q50">
        <v>1.1773735336561952E-2</v>
      </c>
      <c r="R50">
        <v>3.4036</v>
      </c>
      <c r="S50" s="15">
        <v>460135.25390625</v>
      </c>
      <c r="T50">
        <v>592.03888888888889</v>
      </c>
      <c r="U50" s="12">
        <f>+T50+BG50*S50*テーブル2[[#This Row],[Pw]]*R50/(N50*O50*K50)</f>
        <v>612.42465036967928</v>
      </c>
      <c r="V50">
        <v>0.03</v>
      </c>
      <c r="W50" s="8">
        <f t="shared" si="58"/>
        <v>1513334.2453787837</v>
      </c>
      <c r="X50">
        <v>1.5356531069890664E-2</v>
      </c>
      <c r="Y50">
        <f t="shared" si="61"/>
        <v>8.0696265855658424</v>
      </c>
      <c r="Z50">
        <f t="shared" si="59"/>
        <v>8.0696265975257386</v>
      </c>
      <c r="AA50">
        <f t="shared" si="62"/>
        <v>-1.1959896184521313E-8</v>
      </c>
      <c r="AB50">
        <f t="shared" si="63"/>
        <v>1.1661302913555442E-5</v>
      </c>
      <c r="AC50">
        <v>634.21422815080246</v>
      </c>
      <c r="AD50">
        <f t="shared" si="60"/>
        <v>33151.747970074437</v>
      </c>
      <c r="AE50">
        <f t="shared" si="57"/>
        <v>614.25724956554882</v>
      </c>
      <c r="AF50" s="14">
        <f t="shared" si="64"/>
        <v>1.832599195869534</v>
      </c>
      <c r="AG50">
        <v>1.167189025148475E-5</v>
      </c>
      <c r="AH50">
        <f t="shared" si="65"/>
        <v>37.112523343953569</v>
      </c>
      <c r="AI50">
        <f t="shared" si="66"/>
        <v>0.25434948574277533</v>
      </c>
      <c r="AJ50">
        <f t="shared" si="67"/>
        <v>25.931189060798626</v>
      </c>
      <c r="AK50">
        <f t="array" ref="AK50">+S50*テーブル2[[#This Row],[F_form]]/(E50*CpFromTP((テーブル2[[#This Row],[Tin]]+テーブル2[[#This Row],[Tf]])/2,テーブル2[[#This Row],[P]])*AI50)</f>
        <v>0.60738701802215067</v>
      </c>
      <c r="AL50">
        <f t="shared" si="68"/>
        <v>1.4549166438635874</v>
      </c>
      <c r="AM50">
        <f t="shared" si="69"/>
        <v>623.84707191382108</v>
      </c>
      <c r="AN50">
        <f t="shared" si="70"/>
        <v>-0.4387286218141071</v>
      </c>
      <c r="AO50">
        <f t="shared" si="71"/>
        <v>1.0587337929307447E-8</v>
      </c>
      <c r="AP50">
        <v>2.7246107874411893</v>
      </c>
      <c r="AQ50">
        <f t="shared" si="72"/>
        <v>3.2041054810349944E-5</v>
      </c>
      <c r="AR50">
        <f t="shared" si="73"/>
        <v>5.8412387947070286E-6</v>
      </c>
      <c r="AS50">
        <f t="shared" si="74"/>
        <v>12.977355361574903</v>
      </c>
      <c r="AT50">
        <f t="shared" si="75"/>
        <v>9.766029716672282</v>
      </c>
      <c r="AU50">
        <f t="shared" si="76"/>
        <v>2.4839846361842568</v>
      </c>
      <c r="AV50">
        <f t="shared" si="77"/>
        <v>0.24062615125693254</v>
      </c>
      <c r="AW50">
        <f t="shared" si="78"/>
        <v>8.6862619192560053E-3</v>
      </c>
      <c r="AX50">
        <f t="shared" si="79"/>
        <v>0.24062614983920508</v>
      </c>
      <c r="AY50">
        <f t="shared" si="80"/>
        <v>1.4177274632043435E-9</v>
      </c>
      <c r="AZ50">
        <f t="shared" si="81"/>
        <v>888872.47317885025</v>
      </c>
      <c r="BA50">
        <f t="shared" si="82"/>
        <v>1.1759864916501051E-5</v>
      </c>
      <c r="BB50" s="15">
        <f t="shared" si="83"/>
        <v>459073.95593893586</v>
      </c>
      <c r="BC50" s="20">
        <f t="shared" si="84"/>
        <v>-1061.2979673141381</v>
      </c>
      <c r="BD50" s="19">
        <f t="shared" si="85"/>
        <v>-0.23064913159867809</v>
      </c>
      <c r="BE50" s="15">
        <v>959629.70191135327</v>
      </c>
      <c r="BF50" s="16">
        <f>テーブル2[[#This Row],[q_P]]/テーブル2[[#This Row],[q_M]]</f>
        <v>0.47838656413465541</v>
      </c>
      <c r="BG50">
        <v>1.2999931692195916</v>
      </c>
      <c r="BH50">
        <v>-6.6745540728911701E-2</v>
      </c>
      <c r="BI50">
        <v>4.5999999999999999E-2</v>
      </c>
      <c r="BJ50">
        <v>5625</v>
      </c>
      <c r="BK50" s="21">
        <f>1+テーブル2[[#This Row],[A_corr]]*EXP(-テーブル2[[#This Row],[(Tsub-40)^2]]/テーブル2[[#This Row],[σ_corr]])</f>
        <v>1.0453948827766861</v>
      </c>
      <c r="BL50">
        <f>テーブル2[[#This Row],[Ts]]-テーブル2[[#This Row],[Tin]]</f>
        <v>31.369454403118084</v>
      </c>
      <c r="BM50">
        <f>テーブル2[[#This Row],[q_P]]*0.000001</f>
        <v>0.45907395593893585</v>
      </c>
      <c r="BN50">
        <f>テーブル2[[#This Row],[Tsub]]</f>
        <v>31.369454403118084</v>
      </c>
      <c r="BO50">
        <f>テーブル2[[#This Row],[Fcorr]]</f>
        <v>1.0453948827766861</v>
      </c>
      <c r="BP50">
        <f>(テーブル2[[#This Row],[Tsub]]-40)^2</f>
        <v>74.486317299857831</v>
      </c>
      <c r="BQ50" s="10">
        <v>0.98033521825462788</v>
      </c>
      <c r="BR50">
        <v>4.2670000000000003</v>
      </c>
    </row>
    <row r="51" spans="1:70" x14ac:dyDescent="0.15">
      <c r="A51" s="9" t="s">
        <v>135</v>
      </c>
      <c r="B51">
        <v>16547416.799999999</v>
      </c>
      <c r="C51" s="21" cm="1">
        <f t="array" ref="C51">TsatFromP(テーブル2[[#This Row],[P]])</f>
        <v>623.23870133313642</v>
      </c>
      <c r="D51">
        <f t="array" ref="D51">RhoGFromP(テーブル2[[#This Row],[P]])</f>
        <v>113.82300371015133</v>
      </c>
      <c r="E51">
        <f t="array" ref="E51">RhoFFromP(テーブル2[[#This Row],[P]])</f>
        <v>574.34988711113044</v>
      </c>
      <c r="F51">
        <f t="array" ref="F51">HgFromP(テーブル2[[#This Row],[P]])</f>
        <v>2563035.5779140079</v>
      </c>
      <c r="G51">
        <f t="array" ref="G51">HfFromP(テーブル2[[#This Row],[P]])</f>
        <v>1671616.2807993235</v>
      </c>
      <c r="H51">
        <f t="array" ref="H51">MuGFromP(テーブル2[[#This Row],[P]])</f>
        <v>2.3752482411014488E-5</v>
      </c>
      <c r="I51">
        <f t="array" ref="I51">MuFFromP(テーブル2[[#This Row],[P]])</f>
        <v>6.5759231557403181E-5</v>
      </c>
      <c r="J51">
        <f t="array" ref="J51">KfFromP(テーブル2[[#This Row],[P]])</f>
        <v>0.46027765484939753</v>
      </c>
      <c r="K51">
        <f t="array" ref="K51">CpFFromP(テーブル2[[#This Row],[P]])</f>
        <v>10140.600460117175</v>
      </c>
      <c r="L51">
        <f t="array" ref="L51">SigmaFromP(テーブル2[[#This Row],[P]])</f>
        <v>3.6380461586323874E-3</v>
      </c>
      <c r="M51">
        <v>336</v>
      </c>
      <c r="N51">
        <v>4016.4720000000002</v>
      </c>
      <c r="O51" s="8">
        <v>8.7843467213758383E-5</v>
      </c>
      <c r="P51" s="8">
        <v>2.9843873572041598E-2</v>
      </c>
      <c r="Q51">
        <v>1.1773735336561952E-2</v>
      </c>
      <c r="R51">
        <v>3.4036</v>
      </c>
      <c r="S51" s="15">
        <v>539712.12578125007</v>
      </c>
      <c r="T51">
        <v>591.48333333333335</v>
      </c>
      <c r="U51" s="12">
        <f>+T51+BG51*S51*テーブル2[[#This Row],[Pw]]*R51/(N51*O51*K51)</f>
        <v>611.40286244009155</v>
      </c>
      <c r="V51">
        <v>0.03</v>
      </c>
      <c r="W51" s="8">
        <f t="shared" si="58"/>
        <v>1822817.5684962124</v>
      </c>
      <c r="X51">
        <v>1.4465325434657367E-2</v>
      </c>
      <c r="Y51">
        <f t="shared" si="61"/>
        <v>8.3144953673293447</v>
      </c>
      <c r="Z51">
        <f t="shared" si="59"/>
        <v>8.3144953753275956</v>
      </c>
      <c r="AA51">
        <f t="shared" si="62"/>
        <v>-7.9982509504361587E-9</v>
      </c>
      <c r="AB51">
        <f t="shared" si="63"/>
        <v>8.5960371149621762E-6</v>
      </c>
      <c r="AC51">
        <v>633.63058953791869</v>
      </c>
      <c r="AD51">
        <f t="shared" si="60"/>
        <v>38755.408675020262</v>
      </c>
      <c r="AE51">
        <f t="shared" si="57"/>
        <v>613.23995359603646</v>
      </c>
      <c r="AF51" s="14">
        <f t="shared" si="64"/>
        <v>1.8370911559449041</v>
      </c>
      <c r="AG51">
        <v>8.6060556858412601E-6</v>
      </c>
      <c r="AH51">
        <f t="shared" si="65"/>
        <v>50.786837376028174</v>
      </c>
      <c r="AI51">
        <f t="shared" si="66"/>
        <v>0.29736326357140308</v>
      </c>
      <c r="AJ51">
        <f t="shared" si="67"/>
        <v>22.351736907049435</v>
      </c>
      <c r="AK51">
        <f t="array" ref="AK51">+S51*テーブル2[[#This Row],[F_form]]/(E51*CpFromTP((テーブル2[[#This Row],[Tin]]+テーブル2[[#This Row],[Tf]])/2,テーブル2[[#This Row],[P]])*AI51)</f>
        <v>0.61420154255573078</v>
      </c>
      <c r="AL51">
        <f t="shared" si="68"/>
        <v>1.4487735538805233</v>
      </c>
      <c r="AM51">
        <f t="shared" si="69"/>
        <v>623.66471823335905</v>
      </c>
      <c r="AN51">
        <f t="shared" si="70"/>
        <v>-0.42601690022263483</v>
      </c>
      <c r="AO51">
        <f t="shared" si="71"/>
        <v>1.0018570879083966E-8</v>
      </c>
      <c r="AP51">
        <v>2.9449525693283487</v>
      </c>
      <c r="AQ51">
        <f t="shared" si="72"/>
        <v>2.7744853919353139E-5</v>
      </c>
      <c r="AR51">
        <f t="shared" si="73"/>
        <v>4.3080371283601721E-6</v>
      </c>
      <c r="AS51">
        <f t="shared" si="74"/>
        <v>11.188878621518539</v>
      </c>
      <c r="AT51">
        <f t="shared" si="75"/>
        <v>9.0246015237401185</v>
      </c>
      <c r="AU51">
        <f t="shared" si="76"/>
        <v>2.6835849615308187</v>
      </c>
      <c r="AV51">
        <f t="shared" si="77"/>
        <v>0.26136760779752999</v>
      </c>
      <c r="AW51">
        <f t="shared" si="78"/>
        <v>6.3828325622474957E-3</v>
      </c>
      <c r="AX51">
        <f t="shared" si="79"/>
        <v>0.26136760279197441</v>
      </c>
      <c r="AY51">
        <f t="shared" si="80"/>
        <v>5.0055555811390207E-9</v>
      </c>
      <c r="AZ51">
        <f t="shared" si="81"/>
        <v>891419.29711468448</v>
      </c>
      <c r="BA51">
        <f t="shared" si="82"/>
        <v>9.4211547609681433E-6</v>
      </c>
      <c r="BB51" s="15">
        <f t="shared" si="83"/>
        <v>544452.76588063582</v>
      </c>
      <c r="BC51" s="20">
        <f t="shared" si="84"/>
        <v>4740.6400993857533</v>
      </c>
      <c r="BD51" s="19">
        <f t="shared" si="85"/>
        <v>0.87836457120979616</v>
      </c>
      <c r="BE51" s="15">
        <v>1097981.2233525608</v>
      </c>
      <c r="BF51" s="16">
        <f>テーブル2[[#This Row],[q_P]]/テーブル2[[#This Row],[q_M]]</f>
        <v>0.49586710073074952</v>
      </c>
      <c r="BG51">
        <v>1.2999931692195916</v>
      </c>
      <c r="BH51">
        <v>-8.0044111975005328E-2</v>
      </c>
      <c r="BI51">
        <v>4.5999999999999999E-2</v>
      </c>
      <c r="BJ51">
        <v>5625</v>
      </c>
      <c r="BK51" s="21">
        <f>1+テーブル2[[#This Row],[A_corr]]*EXP(-テーブル2[[#This Row],[(Tsub-40)^2]]/テーブル2[[#This Row],[σ_corr]])</f>
        <v>1.0454474692724571</v>
      </c>
      <c r="BL51">
        <f>テーブル2[[#This Row],[Ts]]-テーブル2[[#This Row],[Tin]]</f>
        <v>31.75536799980307</v>
      </c>
      <c r="BM51">
        <f>テーブル2[[#This Row],[q_P]]*0.000001</f>
        <v>0.54445276588063585</v>
      </c>
      <c r="BN51">
        <f>テーブル2[[#This Row],[Tsub]]</f>
        <v>31.75536799980307</v>
      </c>
      <c r="BO51">
        <f>テーブル2[[#This Row],[Fcorr]]</f>
        <v>1.0454474692724571</v>
      </c>
      <c r="BP51">
        <f>(テーブル2[[#This Row],[Tsub]]-40)^2</f>
        <v>67.973956818671226</v>
      </c>
      <c r="BQ51" s="10">
        <v>0.98831413185070449</v>
      </c>
      <c r="BR51">
        <v>4.2670000000000003</v>
      </c>
    </row>
    <row r="52" spans="1:70" x14ac:dyDescent="0.15">
      <c r="A52" s="9" t="s">
        <v>136</v>
      </c>
      <c r="B52">
        <v>14478989.699999999</v>
      </c>
      <c r="C52" s="21" cm="1">
        <f t="array" ref="C52">TsatFromP(テーブル2[[#This Row],[P]])</f>
        <v>612.48370255129544</v>
      </c>
      <c r="D52">
        <f t="array" ref="D52">RhoGFromP(テーブル2[[#This Row],[P]])</f>
        <v>91.580011978832957</v>
      </c>
      <c r="E52">
        <f t="array" ref="E52">RhoFFromP(テーブル2[[#This Row],[P]])</f>
        <v>612.82339669043313</v>
      </c>
      <c r="F52">
        <f t="array" ref="F52">HgFromP(テーブル2[[#This Row],[P]])</f>
        <v>2625160.7264840975</v>
      </c>
      <c r="G52">
        <f t="array" ref="G52">HfFromP(テーブル2[[#This Row],[P]])</f>
        <v>1589756.0808983105</v>
      </c>
      <c r="H52">
        <f t="array" ref="H52">MuGFromP(テーブル2[[#This Row],[P]])</f>
        <v>2.2406167499944594E-5</v>
      </c>
      <c r="I52">
        <f t="array" ref="I52">MuFFromP(テーブル2[[#This Row],[P]])</f>
        <v>7.0614185977515193E-5</v>
      </c>
      <c r="J52">
        <f t="array" ref="J52">KfFromP(テーブル2[[#This Row],[P]])</f>
        <v>0.48330738078477459</v>
      </c>
      <c r="K52">
        <f t="array" ref="K52">CpFFromP(テーブル2[[#This Row],[P]])</f>
        <v>8121.4802011854335</v>
      </c>
      <c r="L52">
        <f t="array" ref="L52">SigmaFromP(テーブル2[[#This Row],[P]])</f>
        <v>5.7214247636284644E-3</v>
      </c>
      <c r="M52">
        <v>338</v>
      </c>
      <c r="N52">
        <v>2674.0320000000002</v>
      </c>
      <c r="O52" s="8">
        <v>8.7843467213758383E-5</v>
      </c>
      <c r="P52" s="8">
        <v>2.9843873572041598E-2</v>
      </c>
      <c r="Q52">
        <v>1.1773735336561952E-2</v>
      </c>
      <c r="R52">
        <v>3.4036</v>
      </c>
      <c r="S52" s="15">
        <v>209799.63603124997</v>
      </c>
      <c r="T52">
        <v>592.70555555555552</v>
      </c>
      <c r="U52" s="12">
        <f>+T52+BG52*S52*テーブル2[[#This Row],[Pw]]*R52/(N52*O52*K52)</f>
        <v>607.22761626521253</v>
      </c>
      <c r="V52">
        <v>0.03</v>
      </c>
      <c r="W52" s="8">
        <f t="shared" si="58"/>
        <v>1130133.7235694311</v>
      </c>
      <c r="X52">
        <v>1.8106595159717832E-2</v>
      </c>
      <c r="Y52">
        <f t="shared" si="61"/>
        <v>7.4315876491124939</v>
      </c>
      <c r="Z52">
        <f t="shared" si="59"/>
        <v>7.4315876495924504</v>
      </c>
      <c r="AA52">
        <f t="shared" si="62"/>
        <v>-4.7995651897281277E-10</v>
      </c>
      <c r="AB52">
        <f t="shared" si="63"/>
        <v>2.5998049742769597E-5</v>
      </c>
      <c r="AC52">
        <v>618.1760838330058</v>
      </c>
      <c r="AD52">
        <f t="shared" si="60"/>
        <v>26882.722014285268</v>
      </c>
      <c r="AE52">
        <f t="shared" si="57"/>
        <v>608.36768601876031</v>
      </c>
      <c r="AF52" s="14">
        <f t="shared" si="64"/>
        <v>1.1400697535477775</v>
      </c>
      <c r="AG52">
        <v>2.6004348542125629E-5</v>
      </c>
      <c r="AH52">
        <f t="shared" si="65"/>
        <v>26.408556735158957</v>
      </c>
      <c r="AI52">
        <f t="shared" si="66"/>
        <v>0.20758915672262077</v>
      </c>
      <c r="AJ52">
        <f t="shared" si="67"/>
        <v>46.84832023115456</v>
      </c>
      <c r="AK52">
        <f t="array" ref="AK52">+S52*テーブル2[[#This Row],[F_form]]/(E52*CpFromTP((テーブル2[[#This Row],[Tin]]+テーブル2[[#This Row],[Tf]])/2,テーブル2[[#This Row],[P]])*AI52)</f>
        <v>0.32578616787431181</v>
      </c>
      <c r="AL52">
        <f t="shared" si="68"/>
        <v>1.186598293632519</v>
      </c>
      <c r="AM52">
        <f t="shared" si="69"/>
        <v>612.7260908080583</v>
      </c>
      <c r="AN52">
        <f t="shared" si="70"/>
        <v>-0.24238825676286524</v>
      </c>
      <c r="AO52">
        <f t="shared" si="71"/>
        <v>6.2987993560323341E-9</v>
      </c>
      <c r="AP52">
        <v>2.8761767223724051</v>
      </c>
      <c r="AQ52">
        <f t="shared" si="72"/>
        <v>5.4542914499975469E-5</v>
      </c>
      <c r="AR52">
        <f t="shared" si="73"/>
        <v>1.3005323670740831E-5</v>
      </c>
      <c r="AS52">
        <f t="shared" si="74"/>
        <v>23.429833939107702</v>
      </c>
      <c r="AT52">
        <f t="shared" si="75"/>
        <v>12.720050824809196</v>
      </c>
      <c r="AU52">
        <f t="shared" si="76"/>
        <v>2.6405446241910178</v>
      </c>
      <c r="AV52">
        <f t="shared" si="77"/>
        <v>0.23563209818138731</v>
      </c>
      <c r="AW52">
        <f t="shared" si="78"/>
        <v>1.6376863588983871E-2</v>
      </c>
      <c r="AX52">
        <f t="shared" si="79"/>
        <v>0.2356320976970161</v>
      </c>
      <c r="AY52">
        <f t="shared" si="80"/>
        <v>4.8437120980793225E-10</v>
      </c>
      <c r="AZ52">
        <f t="shared" si="81"/>
        <v>1035404.645585787</v>
      </c>
      <c r="BA52">
        <f t="shared" si="82"/>
        <v>1.8963686784512295E-5</v>
      </c>
      <c r="BB52" s="15">
        <f t="shared" si="83"/>
        <v>210756.24277459134</v>
      </c>
      <c r="BC52" s="20">
        <f t="shared" si="84"/>
        <v>956.60674334137002</v>
      </c>
      <c r="BD52" s="19">
        <f t="shared" si="85"/>
        <v>0.45596206048655008</v>
      </c>
      <c r="BE52" s="15">
        <v>762405.19262282364</v>
      </c>
      <c r="BF52" s="16">
        <f>テーブル2[[#This Row],[q_P]]/テーブル2[[#This Row],[q_M]]</f>
        <v>0.27643600124173928</v>
      </c>
      <c r="BG52">
        <v>1.2999931692195916</v>
      </c>
      <c r="BH52">
        <v>4.9337707216532509E-2</v>
      </c>
      <c r="BI52">
        <v>4.5999999999999999E-2</v>
      </c>
      <c r="BJ52">
        <v>5625</v>
      </c>
      <c r="BK52" s="21">
        <f>1+テーブル2[[#This Row],[A_corr]]*EXP(-テーブル2[[#This Row],[(Tsub-40)^2]]/テーブル2[[#This Row],[σ_corr]])</f>
        <v>1.0427745762830058</v>
      </c>
      <c r="BL52">
        <f>テーブル2[[#This Row],[Ts]]-テーブル2[[#This Row],[Tin]]</f>
        <v>19.778146995739917</v>
      </c>
      <c r="BM52">
        <f>テーブル2[[#This Row],[q_P]]*0.000001</f>
        <v>0.21075624277459135</v>
      </c>
      <c r="BN52">
        <f>テーブル2[[#This Row],[Tsub]]</f>
        <v>19.778146995739917</v>
      </c>
      <c r="BO52">
        <f>テーブル2[[#This Row],[Fcorr]]</f>
        <v>1.0427745762830058</v>
      </c>
      <c r="BP52">
        <f>(テーブル2[[#This Row],[Tsub]]-40)^2</f>
        <v>408.92333892590256</v>
      </c>
      <c r="BQ52" s="10">
        <v>0.98822371252465069</v>
      </c>
      <c r="BR52">
        <v>4.2670000000000003</v>
      </c>
    </row>
    <row r="53" spans="1:70" x14ac:dyDescent="0.15">
      <c r="A53" s="9" t="s">
        <v>136</v>
      </c>
      <c r="B53">
        <v>14478989.699999999</v>
      </c>
      <c r="C53" s="21" cm="1">
        <f t="array" ref="C53">TsatFromP(テーブル2[[#This Row],[P]])</f>
        <v>612.48370255129544</v>
      </c>
      <c r="D53">
        <f t="array" ref="D53">RhoGFromP(テーブル2[[#This Row],[P]])</f>
        <v>91.580011978832957</v>
      </c>
      <c r="E53">
        <f t="array" ref="E53">RhoFFromP(テーブル2[[#This Row],[P]])</f>
        <v>612.82339669043313</v>
      </c>
      <c r="F53">
        <f t="array" ref="F53">HgFromP(テーブル2[[#This Row],[P]])</f>
        <v>2625160.7264840975</v>
      </c>
      <c r="G53">
        <f t="array" ref="G53">HfFromP(テーブル2[[#This Row],[P]])</f>
        <v>1589756.0808983105</v>
      </c>
      <c r="H53">
        <f t="array" ref="H53">MuGFromP(テーブル2[[#This Row],[P]])</f>
        <v>2.2406167499944594E-5</v>
      </c>
      <c r="I53">
        <f t="array" ref="I53">MuFFromP(テーブル2[[#This Row],[P]])</f>
        <v>7.0614185977515193E-5</v>
      </c>
      <c r="J53">
        <f t="array" ref="J53">KfFromP(テーブル2[[#This Row],[P]])</f>
        <v>0.48330738078477459</v>
      </c>
      <c r="K53">
        <f t="array" ref="K53">CpFFromP(テーブル2[[#This Row],[P]])</f>
        <v>8121.4802011854335</v>
      </c>
      <c r="L53">
        <f t="array" ref="L53">SigmaFromP(テーブル2[[#This Row],[P]])</f>
        <v>5.7214247636284644E-3</v>
      </c>
      <c r="M53" s="22">
        <v>339</v>
      </c>
      <c r="N53">
        <v>2674.0320000000002</v>
      </c>
      <c r="O53" s="8">
        <v>8.7843467213758383E-5</v>
      </c>
      <c r="P53" s="8">
        <v>2.9843873572041598E-2</v>
      </c>
      <c r="Q53">
        <v>1.1773735336561952E-2</v>
      </c>
      <c r="R53">
        <v>2.8447999999999998</v>
      </c>
      <c r="S53" s="15">
        <v>322499.9140625</v>
      </c>
      <c r="T53">
        <v>592.70555555555552</v>
      </c>
      <c r="U53" s="12">
        <f>+T53+BG53*S53*テーブル2[[#This Row],[Pw]]*R53/(N53*O53*K53)</f>
        <v>605.30187917322212</v>
      </c>
      <c r="V53">
        <v>0.03</v>
      </c>
      <c r="W53" s="8">
        <f t="shared" si="58"/>
        <v>1130133.7235694311</v>
      </c>
      <c r="X53">
        <v>1.8106595159717832E-2</v>
      </c>
      <c r="Y53">
        <f t="shared" si="61"/>
        <v>7.4315876491124939</v>
      </c>
      <c r="Z53">
        <f t="shared" si="59"/>
        <v>7.4315876495924504</v>
      </c>
      <c r="AA53">
        <f t="shared" si="62"/>
        <v>-4.7995651897281277E-10</v>
      </c>
      <c r="AB53">
        <f t="shared" si="63"/>
        <v>2.5998049742769597E-5</v>
      </c>
      <c r="AC53">
        <v>619.017350565774</v>
      </c>
      <c r="AD53">
        <f t="shared" si="60"/>
        <v>26882.722014285268</v>
      </c>
      <c r="AE53">
        <f t="shared" si="57"/>
        <v>608.73612070223726</v>
      </c>
      <c r="AF53" s="14">
        <f t="shared" si="64"/>
        <v>3.4342415290151393</v>
      </c>
      <c r="AG53">
        <v>2.6007667842924642E-5</v>
      </c>
      <c r="AH53">
        <f t="shared" si="65"/>
        <v>26.408556735158957</v>
      </c>
      <c r="AI53">
        <f t="shared" si="66"/>
        <v>0.20758915672262077</v>
      </c>
      <c r="AJ53">
        <f t="shared" si="67"/>
        <v>46.854300141265512</v>
      </c>
      <c r="AK53">
        <f t="array" ref="AK53">+S53*テーブル2[[#This Row],[F_form]]/(E53*CpFromTP((テーブル2[[#This Row],[Tin]]+テーブル2[[#This Row],[Tf]])/2,テーブル2[[#This Row],[P]])*AI53)</f>
        <v>0.34149129569478009</v>
      </c>
      <c r="AL53">
        <f t="shared" si="68"/>
        <v>1.186598293632519</v>
      </c>
      <c r="AM53">
        <f t="shared" si="69"/>
        <v>613.30452152977421</v>
      </c>
      <c r="AN53">
        <f t="shared" si="70"/>
        <v>-0.82081897847876917</v>
      </c>
      <c r="AO53">
        <f t="shared" si="71"/>
        <v>9.6181001550458797E-9</v>
      </c>
      <c r="AP53">
        <v>2.8764215442194829</v>
      </c>
      <c r="AQ53">
        <f t="shared" si="72"/>
        <v>5.4533630235763311E-5</v>
      </c>
      <c r="AR53">
        <f t="shared" si="73"/>
        <v>1.3008642971539844E-5</v>
      </c>
      <c r="AS53">
        <f t="shared" si="74"/>
        <v>23.435813849218651</v>
      </c>
      <c r="AT53">
        <f t="shared" si="75"/>
        <v>12.721326793546554</v>
      </c>
      <c r="AU53">
        <f t="shared" si="76"/>
        <v>2.6408095014652102</v>
      </c>
      <c r="AV53">
        <f t="shared" si="77"/>
        <v>0.23561204275427272</v>
      </c>
      <c r="AW53">
        <f t="shared" si="78"/>
        <v>1.6376863588983871E-2</v>
      </c>
      <c r="AX53">
        <f t="shared" si="79"/>
        <v>0.23561204226198953</v>
      </c>
      <c r="AY53">
        <f t="shared" si="80"/>
        <v>4.9228318643734781E-10</v>
      </c>
      <c r="AZ53">
        <f t="shared" si="81"/>
        <v>1035404.645585787</v>
      </c>
      <c r="BA53">
        <f t="shared" si="82"/>
        <v>1.8958845008429047E-5</v>
      </c>
      <c r="BB53" s="15">
        <f t="shared" si="83"/>
        <v>321901.40026808676</v>
      </c>
      <c r="BC53" s="20">
        <f t="shared" si="84"/>
        <v>-598.51379441324389</v>
      </c>
      <c r="BD53" s="19">
        <f t="shared" si="85"/>
        <v>-0.18558572213983685</v>
      </c>
      <c r="BE53" s="15">
        <v>1138098.2303985937</v>
      </c>
      <c r="BF53" s="16">
        <f>テーブル2[[#This Row],[q_P]]/テーブル2[[#This Row],[q_M]]</f>
        <v>0.28284149089252858</v>
      </c>
      <c r="BG53">
        <v>0.87764429672520372</v>
      </c>
      <c r="BH53">
        <v>9.5434411906638122E-2</v>
      </c>
      <c r="BI53">
        <v>4.5999999999999999E-2</v>
      </c>
      <c r="BJ53">
        <v>5625</v>
      </c>
      <c r="BK53" s="21">
        <f>1+テーブル2[[#This Row],[A_corr]]*EXP(-テーブル2[[#This Row],[(Tsub-40)^2]]/テーブル2[[#This Row],[σ_corr]])</f>
        <v>1.0427745762830058</v>
      </c>
      <c r="BL53">
        <f>テーブル2[[#This Row],[Ts]]-テーブル2[[#This Row],[Tin]]</f>
        <v>19.778146995739917</v>
      </c>
      <c r="BM53">
        <f>テーブル2[[#This Row],[q_P]]*0.000001</f>
        <v>0.32190140026808672</v>
      </c>
      <c r="BN53">
        <f>テーブル2[[#This Row],[Tsub]]</f>
        <v>19.778146995739917</v>
      </c>
      <c r="BO53">
        <f>テーブル2[[#This Row],[Fcorr]]</f>
        <v>1.0427745762830058</v>
      </c>
      <c r="BP53">
        <f>(テーブル2[[#This Row],[Tsub]]-40)^2</f>
        <v>408.92333892590256</v>
      </c>
      <c r="BQ53" s="10">
        <v>0.98822371252465069</v>
      </c>
      <c r="BR53">
        <v>4.2670000000000003</v>
      </c>
    </row>
    <row r="54" spans="1:70" x14ac:dyDescent="0.15">
      <c r="A54" s="9" t="s">
        <v>137</v>
      </c>
      <c r="B54">
        <v>14444515.914999999</v>
      </c>
      <c r="C54" s="21" cm="1">
        <f t="array" ref="C54">TsatFromP(テーブル2[[#This Row],[P]])</f>
        <v>612.29412141213845</v>
      </c>
      <c r="D54">
        <f t="array" ref="D54">RhoGFromP(テーブル2[[#This Row],[P]])</f>
        <v>91.248555698911844</v>
      </c>
      <c r="E54">
        <f t="array" ref="E54">RhoFFromP(テーブル2[[#This Row],[P]])</f>
        <v>613.43232402419449</v>
      </c>
      <c r="F54">
        <f t="array" ref="F54">HgFromP(テーブル2[[#This Row],[P]])</f>
        <v>2626093.1345668421</v>
      </c>
      <c r="G54">
        <f t="array" ref="G54">HfFromP(テーブル2[[#This Row],[P]])</f>
        <v>1588403.9289842495</v>
      </c>
      <c r="H54">
        <f t="array" ref="H54">MuGFromP(テーブル2[[#This Row],[P]])</f>
        <v>2.2386245793773059E-5</v>
      </c>
      <c r="I54">
        <f t="array" ref="I54">MuFFromP(テーブル2[[#This Row],[P]])</f>
        <v>7.0694401850615891E-5</v>
      </c>
      <c r="J54">
        <f t="array" ref="J54">KfFromP(テーブル2[[#This Row],[P]])</f>
        <v>0.48369684775438243</v>
      </c>
      <c r="K54">
        <f t="array" ref="K54">CpFFromP(テーブル2[[#This Row],[P]])</f>
        <v>8097.4885849811244</v>
      </c>
      <c r="L54">
        <f t="array" ref="L54">SigmaFromP(テーブル2[[#This Row],[P]])</f>
        <v>5.7594462826100956E-3</v>
      </c>
      <c r="M54">
        <v>340</v>
      </c>
      <c r="N54">
        <v>3380.5079999999998</v>
      </c>
      <c r="O54" s="8">
        <v>8.7843467213758383E-5</v>
      </c>
      <c r="P54" s="8">
        <v>2.9843873572041598E-2</v>
      </c>
      <c r="Q54">
        <v>1.1773735336561952E-2</v>
      </c>
      <c r="R54">
        <v>3.4036</v>
      </c>
      <c r="S54" s="15">
        <v>323175.62921875005</v>
      </c>
      <c r="T54">
        <v>587.26111111111106</v>
      </c>
      <c r="U54" s="12">
        <f>+T54+BG54*S54*テーブル2[[#This Row],[Pw]]*R54/(N54*O54*K54)</f>
        <v>605.00838281234712</v>
      </c>
      <c r="V54">
        <v>0.03</v>
      </c>
      <c r="W54" s="8">
        <f t="shared" si="58"/>
        <v>1427092.5380267045</v>
      </c>
      <c r="X54">
        <v>1.6669843355385523E-2</v>
      </c>
      <c r="Y54">
        <f t="shared" si="61"/>
        <v>7.7452286021736381</v>
      </c>
      <c r="Z54">
        <f t="shared" si="59"/>
        <v>7.7452286128938992</v>
      </c>
      <c r="AA54">
        <f t="shared" si="62"/>
        <v>-1.0720261123253749E-8</v>
      </c>
      <c r="AB54">
        <f t="shared" si="63"/>
        <v>1.7804228812400651E-5</v>
      </c>
      <c r="AC54">
        <v>619.5769336148652</v>
      </c>
      <c r="AD54">
        <f t="shared" si="60"/>
        <v>32571.88595880197</v>
      </c>
      <c r="AE54">
        <f t="shared" si="57"/>
        <v>606.45040809127943</v>
      </c>
      <c r="AF54" s="14">
        <f t="shared" si="64"/>
        <v>1.4420252789323058</v>
      </c>
      <c r="AG54">
        <v>1.7811130840146734E-5</v>
      </c>
      <c r="AH54">
        <f t="shared" si="65"/>
        <v>38.818505490776253</v>
      </c>
      <c r="AI54">
        <f t="shared" si="66"/>
        <v>0.2515568090321792</v>
      </c>
      <c r="AJ54">
        <f t="shared" si="67"/>
        <v>38.878473407423243</v>
      </c>
      <c r="AK54">
        <f t="array" ref="AK54">+S54*テーブル2[[#This Row],[F_form]]/(E54*CpFromTP((テーブル2[[#This Row],[Tin]]+テーブル2[[#This Row],[Tf]])/2,テーブル2[[#This Row],[P]])*AI54)</f>
        <v>0.42952690251378145</v>
      </c>
      <c r="AL54">
        <f t="shared" si="68"/>
        <v>1.1834832388614511</v>
      </c>
      <c r="AM54">
        <f t="shared" si="69"/>
        <v>612.60324817154196</v>
      </c>
      <c r="AN54">
        <f t="shared" si="70"/>
        <v>-0.30912675940351164</v>
      </c>
      <c r="AO54">
        <f t="shared" si="71"/>
        <v>6.9020277460824322E-9</v>
      </c>
      <c r="AP54">
        <v>3.2213233821575775</v>
      </c>
      <c r="AQ54">
        <f t="shared" si="72"/>
        <v>4.390275584158973E-5</v>
      </c>
      <c r="AR54">
        <f t="shared" si="73"/>
        <v>8.9090164339464081E-6</v>
      </c>
      <c r="AS54">
        <f t="shared" si="74"/>
        <v>19.446769642091322</v>
      </c>
      <c r="AT54">
        <f t="shared" si="75"/>
        <v>11.788404855156269</v>
      </c>
      <c r="AU54">
        <f t="shared" si="76"/>
        <v>2.9654535089425598</v>
      </c>
      <c r="AV54">
        <f t="shared" si="77"/>
        <v>0.25586987321501775</v>
      </c>
      <c r="AW54">
        <f t="shared" si="78"/>
        <v>1.1188355668573437E-2</v>
      </c>
      <c r="AX54">
        <f t="shared" si="79"/>
        <v>0.25586987123342742</v>
      </c>
      <c r="AY54">
        <f t="shared" si="80"/>
        <v>1.9815903362641052E-9</v>
      </c>
      <c r="AZ54">
        <f t="shared" si="81"/>
        <v>1037689.2055825926</v>
      </c>
      <c r="BA54">
        <f t="shared" si="82"/>
        <v>1.3628794949541685E-5</v>
      </c>
      <c r="BB54" s="15">
        <f t="shared" si="83"/>
        <v>322368.94598261738</v>
      </c>
      <c r="BC54" s="20">
        <f t="shared" si="84"/>
        <v>-806.68323613266693</v>
      </c>
      <c r="BD54" s="19">
        <f t="shared" si="85"/>
        <v>-0.24961140729663187</v>
      </c>
      <c r="BE54" s="15">
        <v>941967.80555715668</v>
      </c>
      <c r="BF54" s="16">
        <f>テーブル2[[#This Row],[q_P]]/テーブル2[[#This Row],[q_M]]</f>
        <v>0.34222926100106155</v>
      </c>
      <c r="BG54">
        <v>1.2999931692195916</v>
      </c>
      <c r="BH54">
        <v>1.2025339245325124E-2</v>
      </c>
      <c r="BI54">
        <v>4.5999999999999999E-2</v>
      </c>
      <c r="BJ54">
        <v>5625</v>
      </c>
      <c r="BK54" s="21">
        <f>1+テーブル2[[#This Row],[A_corr]]*EXP(-テーブル2[[#This Row],[(Tsub-40)^2]]/テーブル2[[#This Row],[σ_corr]])</f>
        <v>1.0442040873021237</v>
      </c>
      <c r="BL54">
        <f>テーブル2[[#This Row],[Ts]]-テーブル2[[#This Row],[Tin]]</f>
        <v>25.033010301027389</v>
      </c>
      <c r="BM54">
        <f>テーブル2[[#This Row],[q_P]]*0.000001</f>
        <v>0.32236894598261739</v>
      </c>
      <c r="BN54">
        <f>テーブル2[[#This Row],[Tsub]]</f>
        <v>25.033010301027389</v>
      </c>
      <c r="BO54">
        <f>テーブル2[[#This Row],[Fcorr]]</f>
        <v>1.0442040873021237</v>
      </c>
      <c r="BP54">
        <f>(テーブル2[[#This Row],[Tsub]]-40)^2</f>
        <v>224.01078064915225</v>
      </c>
      <c r="BQ54" s="10">
        <v>0.9941011311494754</v>
      </c>
      <c r="BR54">
        <v>4.2670000000000003</v>
      </c>
    </row>
    <row r="55" spans="1:70" x14ac:dyDescent="0.15">
      <c r="A55" s="9" t="s">
        <v>138</v>
      </c>
      <c r="B55">
        <v>14547937.27</v>
      </c>
      <c r="C55" s="21" cm="1">
        <f t="array" ref="C55">TsatFromP(テーブル2[[#This Row],[P]])</f>
        <v>612.8617754030106</v>
      </c>
      <c r="D55">
        <f t="array" ref="D55">RhoGFromP(テーブル2[[#This Row],[P]])</f>
        <v>92.246204919594888</v>
      </c>
      <c r="E55">
        <f t="array" ref="E55">RhoFFromP(テーブル2[[#This Row],[P]])</f>
        <v>611.60316925921416</v>
      </c>
      <c r="F55">
        <f t="array" ref="F55">HgFromP(テーブル2[[#This Row],[P]])</f>
        <v>2623286.9751734058</v>
      </c>
      <c r="G55">
        <f t="array" ref="G55">HfFromP(テーブル2[[#This Row],[P]])</f>
        <v>1592460.3576735058</v>
      </c>
      <c r="H55">
        <f t="array" ref="H55">MuGFromP(テーブル2[[#This Row],[P]])</f>
        <v>2.2446211956304489E-5</v>
      </c>
      <c r="I55">
        <f t="array" ref="I55">MuFFromP(テーブル2[[#This Row],[P]])</f>
        <v>7.0453794027894906E-5</v>
      </c>
      <c r="J55">
        <f t="array" ref="J55">KfFromP(テーブル2[[#This Row],[P]])</f>
        <v>0.482528845552468</v>
      </c>
      <c r="K55">
        <f t="array" ref="K55">CpFFromP(テーブル2[[#This Row],[P]])</f>
        <v>8170.133161316754</v>
      </c>
      <c r="L55">
        <f t="array" ref="L55">SigmaFromP(テーブル2[[#This Row],[P]])</f>
        <v>5.6457194724596916E-3</v>
      </c>
      <c r="M55" s="22">
        <v>341</v>
      </c>
      <c r="N55">
        <v>4031.3879999999999</v>
      </c>
      <c r="O55" s="8">
        <v>8.7843467213758383E-5</v>
      </c>
      <c r="P55" s="8">
        <v>2.9843873572041598E-2</v>
      </c>
      <c r="Q55">
        <v>1.1773735336561952E-2</v>
      </c>
      <c r="R55">
        <v>3.4036</v>
      </c>
      <c r="S55" s="15">
        <v>323795.57810625003</v>
      </c>
      <c r="T55">
        <v>591.65</v>
      </c>
      <c r="U55" s="12">
        <f>+T55+BG55*S55*テーブル2[[#This Row],[Pw]]*R55/(N55*O55*K55)</f>
        <v>606.4278919709518</v>
      </c>
      <c r="V55">
        <v>0.03</v>
      </c>
      <c r="W55" s="8">
        <f t="shared" si="58"/>
        <v>1707675.7249469089</v>
      </c>
      <c r="X55">
        <v>1.5627386106411484E-2</v>
      </c>
      <c r="Y55">
        <f t="shared" si="61"/>
        <v>7.9993892267115339</v>
      </c>
      <c r="Z55">
        <f t="shared" si="59"/>
        <v>7.9993892316620592</v>
      </c>
      <c r="AA55">
        <f t="shared" si="62"/>
        <v>-4.9505253230108792E-9</v>
      </c>
      <c r="AB55">
        <f t="shared" si="63"/>
        <v>1.3051628850669111E-5</v>
      </c>
      <c r="AC55">
        <v>618.88514308890558</v>
      </c>
      <c r="AD55">
        <f t="shared" si="60"/>
        <v>37737.540046979542</v>
      </c>
      <c r="AE55">
        <f t="shared" si="57"/>
        <v>607.6450197765347</v>
      </c>
      <c r="AF55" s="14">
        <f t="shared" si="64"/>
        <v>1.2171278055828907</v>
      </c>
      <c r="AG55">
        <v>1.3057128021756862E-5</v>
      </c>
      <c r="AH55">
        <f t="shared" si="65"/>
        <v>51.908182836537719</v>
      </c>
      <c r="AI55">
        <f t="shared" si="66"/>
        <v>0.2913285513137408</v>
      </c>
      <c r="AJ55">
        <f t="shared" si="67"/>
        <v>33.021443441658441</v>
      </c>
      <c r="AK55">
        <f t="array" ref="AK55">+S55*テーブル2[[#This Row],[F_form]]/(E55*CpFromTP((テーブル2[[#This Row],[Tin]]+テーブル2[[#This Row],[Tf]])/2,テーブル2[[#This Row],[P]])*AI55)</f>
        <v>0.36246909445582604</v>
      </c>
      <c r="AL55">
        <f t="shared" si="68"/>
        <v>1.1929170333202277</v>
      </c>
      <c r="AM55">
        <f t="shared" si="69"/>
        <v>613.11874013275542</v>
      </c>
      <c r="AN55">
        <f t="shared" si="70"/>
        <v>-0.25696472974482276</v>
      </c>
      <c r="AO55">
        <f t="shared" si="71"/>
        <v>5.4991710877507605E-9</v>
      </c>
      <c r="AP55">
        <v>3.4687145603177365</v>
      </c>
      <c r="AQ55">
        <f t="shared" si="72"/>
        <v>3.6780999793282123E-5</v>
      </c>
      <c r="AR55">
        <f t="shared" si="73"/>
        <v>6.5313135964223063E-6</v>
      </c>
      <c r="AS55">
        <f t="shared" si="74"/>
        <v>16.517675415651986</v>
      </c>
      <c r="AT55">
        <f t="shared" si="75"/>
        <v>10.97215522426762</v>
      </c>
      <c r="AU55">
        <f t="shared" si="76"/>
        <v>3.1965020862753786</v>
      </c>
      <c r="AV55">
        <f t="shared" si="77"/>
        <v>0.27221247404235793</v>
      </c>
      <c r="AW55">
        <f t="shared" si="78"/>
        <v>8.2615174866578888E-3</v>
      </c>
      <c r="AX55">
        <f t="shared" si="79"/>
        <v>0.27221246218092249</v>
      </c>
      <c r="AY55">
        <f t="shared" si="80"/>
        <v>1.1861435444959767E-8</v>
      </c>
      <c r="AZ55">
        <f t="shared" si="81"/>
        <v>1030826.6174999001</v>
      </c>
      <c r="BA55">
        <f t="shared" si="82"/>
        <v>1.0603639807685115E-5</v>
      </c>
      <c r="BB55" s="15">
        <f t="shared" si="83"/>
        <v>326962.2519910293</v>
      </c>
      <c r="BC55" s="20">
        <f t="shared" si="84"/>
        <v>3166.6738847792731</v>
      </c>
      <c r="BD55" s="19">
        <f t="shared" si="85"/>
        <v>0.97798552509576375</v>
      </c>
      <c r="BE55" s="15">
        <v>1024389.9885434078</v>
      </c>
      <c r="BF55" s="16">
        <f>テーブル2[[#This Row],[q_P]]/テーブル2[[#This Row],[q_M]]</f>
        <v>0.31917751603170275</v>
      </c>
      <c r="BG55">
        <v>1.2999931692195916</v>
      </c>
      <c r="BH55">
        <v>1.9365652581519007E-2</v>
      </c>
      <c r="BI55">
        <v>4.5999999999999999E-2</v>
      </c>
      <c r="BJ55">
        <v>5625</v>
      </c>
      <c r="BK55" s="21">
        <f>1+テーブル2[[#This Row],[A_corr]]*EXP(-テーブル2[[#This Row],[(Tsub-40)^2]]/テーブル2[[#This Row],[σ_corr]])</f>
        <v>1.0432019790735241</v>
      </c>
      <c r="BL55">
        <f>テーブル2[[#This Row],[Ts]]-テーブル2[[#This Row],[Tin]]</f>
        <v>21.21177540301062</v>
      </c>
      <c r="BM55">
        <f>テーブル2[[#This Row],[q_P]]*0.000001</f>
        <v>0.3269622519910293</v>
      </c>
      <c r="BN55">
        <f>テーブル2[[#This Row],[Tsub]]</f>
        <v>21.21177540301062</v>
      </c>
      <c r="BO55">
        <f>テーブル2[[#This Row],[Fcorr]]</f>
        <v>1.0432019790735241</v>
      </c>
      <c r="BP55">
        <f>(テーブル2[[#This Row],[Tsub]]-40)^2</f>
        <v>352.99738350691678</v>
      </c>
      <c r="BQ55" s="10">
        <v>0.99037230949849897</v>
      </c>
      <c r="BR55">
        <v>4.2670000000000003</v>
      </c>
    </row>
    <row r="56" spans="1:70" x14ac:dyDescent="0.15">
      <c r="A56" s="9" t="s">
        <v>139</v>
      </c>
      <c r="B56">
        <v>14513463.484999999</v>
      </c>
      <c r="C56" s="21" cm="1">
        <f t="array" ref="C56">TsatFromP(テーブル2[[#This Row],[P]])</f>
        <v>612.67292008461743</v>
      </c>
      <c r="D56">
        <f t="array" ref="D56">RhoGFromP(テーブル2[[#This Row],[P]])</f>
        <v>91.91255897533145</v>
      </c>
      <c r="E56">
        <f t="array" ref="E56">RhoFFromP(テーブル2[[#This Row],[P]])</f>
        <v>612.21368217827785</v>
      </c>
      <c r="F56">
        <f t="array" ref="F56">HgFromP(テーブル2[[#This Row],[P]])</f>
        <v>2624225.3455417412</v>
      </c>
      <c r="G56">
        <f t="array" ref="G56">HfFromP(テーブル2[[#This Row],[P]])</f>
        <v>1591108.2176913612</v>
      </c>
      <c r="H56">
        <f t="array" ref="H56">MuGFromP(テーブル2[[#This Row],[P]])</f>
        <v>2.2426155999369982E-5</v>
      </c>
      <c r="I56">
        <f t="array" ref="I56">MuFFromP(テーブル2[[#This Row],[P]])</f>
        <v>7.053398392243067E-5</v>
      </c>
      <c r="J56">
        <f t="array" ref="J56">KfFromP(テーブル2[[#This Row],[P]])</f>
        <v>0.48291804642989189</v>
      </c>
      <c r="K56">
        <f t="array" ref="K56">CpFFromP(テーブル2[[#This Row],[P]])</f>
        <v>8145.6939161944201</v>
      </c>
      <c r="L56">
        <f t="array" ref="L56">SigmaFromP(テーブル2[[#This Row],[P]])</f>
        <v>5.6835159172802328E-3</v>
      </c>
      <c r="M56">
        <v>360</v>
      </c>
      <c r="N56">
        <v>3998.8440000000001</v>
      </c>
      <c r="O56" s="8">
        <v>8.7843467213758383E-5</v>
      </c>
      <c r="P56" s="8">
        <v>2.9843873572041598E-2</v>
      </c>
      <c r="Q56">
        <v>1.1773735336561952E-2</v>
      </c>
      <c r="R56">
        <v>3.4036</v>
      </c>
      <c r="S56" s="15">
        <v>826592.95225375018</v>
      </c>
      <c r="T56">
        <v>555.37222222222226</v>
      </c>
      <c r="U56" s="12">
        <f>+T56+BG56*S56*テーブル2[[#This Row],[Pw]]*R56/(N56*O56*K56)</f>
        <v>593.51870111645064</v>
      </c>
      <c r="V56">
        <v>0.03</v>
      </c>
      <c r="W56" s="8">
        <f t="shared" si="58"/>
        <v>1691964.4706523549</v>
      </c>
      <c r="X56">
        <v>1.5690019581589582E-2</v>
      </c>
      <c r="Y56">
        <f t="shared" si="61"/>
        <v>7.9834067557107096</v>
      </c>
      <c r="Z56">
        <f t="shared" si="59"/>
        <v>7.9834067631711267</v>
      </c>
      <c r="AA56">
        <f t="shared" si="62"/>
        <v>-7.460417172922007E-9</v>
      </c>
      <c r="AB56">
        <f t="shared" si="63"/>
        <v>1.3313705165212129E-5</v>
      </c>
      <c r="AC56">
        <v>630.97258534774949</v>
      </c>
      <c r="AD56">
        <f t="shared" si="60"/>
        <v>37465.194600950781</v>
      </c>
      <c r="AE56">
        <f t="shared" si="57"/>
        <v>596.864126835344</v>
      </c>
      <c r="AF56" s="14">
        <f t="shared" si="64"/>
        <v>3.3454257188933525</v>
      </c>
      <c r="AG56">
        <v>1.3327856807672183E-5</v>
      </c>
      <c r="AH56">
        <f t="shared" si="65"/>
        <v>51.227055249481417</v>
      </c>
      <c r="AI56">
        <f t="shared" si="66"/>
        <v>0.2892665261459203</v>
      </c>
      <c r="AJ56">
        <f t="shared" si="67"/>
        <v>33.462864511048522</v>
      </c>
      <c r="AK56">
        <f t="array" ref="AK56">+S56*テーブル2[[#This Row],[F_form]]/(E56*CpFromTP((テーブル2[[#This Row],[Tin]]+テーブル2[[#This Row],[Tf]])/2,テーブル2[[#This Row],[P]])*AI56)</f>
        <v>1.1015348445331263</v>
      </c>
      <c r="AL56">
        <f t="shared" si="68"/>
        <v>1.1897427482145444</v>
      </c>
      <c r="AM56">
        <f t="shared" si="69"/>
        <v>613.44210564374976</v>
      </c>
      <c r="AN56">
        <f t="shared" si="70"/>
        <v>-0.76918555913232467</v>
      </c>
      <c r="AO56">
        <f t="shared" si="71"/>
        <v>1.4151642460053589E-8</v>
      </c>
      <c r="AP56">
        <v>3.4655277763025674</v>
      </c>
      <c r="AQ56">
        <f t="shared" si="72"/>
        <v>3.7207528377677323E-5</v>
      </c>
      <c r="AR56">
        <f t="shared" si="73"/>
        <v>6.6710042250661183E-6</v>
      </c>
      <c r="AS56">
        <f t="shared" si="74"/>
        <v>16.749197846087068</v>
      </c>
      <c r="AT56">
        <f t="shared" si="75"/>
        <v>11.041751836692381</v>
      </c>
      <c r="AU56">
        <f t="shared" si="76"/>
        <v>3.1940091963653399</v>
      </c>
      <c r="AV56">
        <f t="shared" si="77"/>
        <v>0.2715185799372275</v>
      </c>
      <c r="AW56">
        <f t="shared" si="78"/>
        <v>8.4069711173875416E-3</v>
      </c>
      <c r="AX56">
        <f t="shared" si="79"/>
        <v>0.27151856824983073</v>
      </c>
      <c r="AY56">
        <f t="shared" si="80"/>
        <v>1.1687396772597225E-8</v>
      </c>
      <c r="AZ56">
        <f t="shared" si="81"/>
        <v>1033117.12785038</v>
      </c>
      <c r="BA56">
        <f t="shared" si="82"/>
        <v>1.0736468087805862E-5</v>
      </c>
      <c r="BB56" s="15">
        <f t="shared" si="83"/>
        <v>833677.3511940313</v>
      </c>
      <c r="BC56" s="20">
        <f t="shared" si="84"/>
        <v>7084.3989402811276</v>
      </c>
      <c r="BD56" s="19">
        <f t="shared" si="85"/>
        <v>0.85706016739740321</v>
      </c>
      <c r="BE56" s="15">
        <v>1339360.4735265824</v>
      </c>
      <c r="BF56" s="16">
        <f>テーブル2[[#This Row],[q_P]]/テーブル2[[#This Row],[q_M]]</f>
        <v>0.6224443439031242</v>
      </c>
      <c r="BG56">
        <v>1.2999931692195916</v>
      </c>
      <c r="BH56">
        <v>-0.14908507284211994</v>
      </c>
      <c r="BI56">
        <v>4.5999999999999999E-2</v>
      </c>
      <c r="BJ56">
        <v>5625</v>
      </c>
      <c r="BK56" s="21">
        <f>1+テーブル2[[#This Row],[A_corr]]*EXP(-テーブル2[[#This Row],[(Tsub-40)^2]]/テーブル2[[#This Row],[σ_corr]])</f>
        <v>1.0436162589554223</v>
      </c>
      <c r="BL56">
        <f>テーブル2[[#This Row],[Ts]]-テーブル2[[#This Row],[Tin]]</f>
        <v>57.300697862395168</v>
      </c>
      <c r="BM56">
        <f>テーブル2[[#This Row],[q_P]]*0.000001</f>
        <v>0.8336773511940313</v>
      </c>
      <c r="BN56">
        <f>テーブル2[[#This Row],[Tsub]]</f>
        <v>57.300697862395168</v>
      </c>
      <c r="BO56">
        <f>テーブル2[[#This Row],[Fcorr]]</f>
        <v>1.0436162589554223</v>
      </c>
      <c r="BP56">
        <f>(テーブル2[[#This Row],[Tsub]]-40)^2</f>
        <v>299.31414652588472</v>
      </c>
      <c r="BQ56" s="10">
        <v>1.0031176864628686</v>
      </c>
      <c r="BR56">
        <v>4.2670000000000003</v>
      </c>
    </row>
    <row r="57" spans="1:70" x14ac:dyDescent="0.15">
      <c r="A57" s="9" t="s">
        <v>140</v>
      </c>
      <c r="B57">
        <v>16581890.584999999</v>
      </c>
      <c r="C57" s="21" cm="1">
        <f t="array" ref="C57">TsatFromP(テーブル2[[#This Row],[P]])</f>
        <v>623.40834329200698</v>
      </c>
      <c r="D57">
        <f t="array" ref="D57">RhoGFromP(テーブル2[[#This Row],[P]])</f>
        <v>114.24072089270538</v>
      </c>
      <c r="E57">
        <f t="array" ref="E57">RhoFFromP(テーブル2[[#This Row],[P]])</f>
        <v>573.66553119769708</v>
      </c>
      <c r="F57">
        <f t="array" ref="F57">HgFromP(テーブル2[[#This Row],[P]])</f>
        <v>2561880.926064556</v>
      </c>
      <c r="G57">
        <f t="array" ref="G57">HfFromP(テーブル2[[#This Row],[P]])</f>
        <v>1673008.4528857057</v>
      </c>
      <c r="H57">
        <f t="array" ref="H57">MuGFromP(テーブル2[[#This Row],[P]])</f>
        <v>2.3778054068935119E-5</v>
      </c>
      <c r="I57">
        <f t="array" ref="I57">MuFFromP(テーブル2[[#This Row],[P]])</f>
        <v>6.5676255486798709E-5</v>
      </c>
      <c r="J57">
        <f t="array" ref="J57">KfFromP(テーブル2[[#This Row],[P]])</f>
        <v>0.4599028461125329</v>
      </c>
      <c r="K57">
        <f t="array" ref="K57">CpFFromP(テーブル2[[#This Row],[P]])</f>
        <v>10188.161618072991</v>
      </c>
      <c r="L57">
        <f t="array" ref="L57">SigmaFromP(テーブル2[[#This Row],[P]])</f>
        <v>3.6065031383353337E-3</v>
      </c>
      <c r="M57" s="22">
        <v>371</v>
      </c>
      <c r="N57">
        <v>2615.7240000000002</v>
      </c>
      <c r="O57" s="8">
        <v>8.7843467213758383E-5</v>
      </c>
      <c r="P57" s="8">
        <v>2.9843873572041598E-2</v>
      </c>
      <c r="Q57">
        <v>1.1773735336561952E-2</v>
      </c>
      <c r="R57">
        <v>3.4036</v>
      </c>
      <c r="S57" s="15">
        <v>1206347.48046875</v>
      </c>
      <c r="T57">
        <v>512.59444444444443</v>
      </c>
      <c r="U57" s="12">
        <f>+T57+BG57*S57*テーブル2[[#This Row],[Pw]]*R57/(N57*O57*K57)</f>
        <v>580.64160161369</v>
      </c>
      <c r="V57">
        <v>0.03</v>
      </c>
      <c r="W57" s="8">
        <f t="shared" si="58"/>
        <v>1188608.2081985644</v>
      </c>
      <c r="X57">
        <v>1.6672181447234841E-2</v>
      </c>
      <c r="Y57">
        <f t="shared" si="61"/>
        <v>7.7446854911576279</v>
      </c>
      <c r="Z57">
        <f t="shared" si="59"/>
        <v>7.7446855018271785</v>
      </c>
      <c r="AA57">
        <f t="shared" si="62"/>
        <v>-1.0669550576380971E-8</v>
      </c>
      <c r="AB57">
        <f t="shared" si="63"/>
        <v>1.741165450435356E-5</v>
      </c>
      <c r="AC57">
        <v>672.77591545644179</v>
      </c>
      <c r="AD57">
        <f t="shared" si="60"/>
        <v>27130.634457357668</v>
      </c>
      <c r="AE57">
        <f t="shared" si="57"/>
        <v>587.66590696951789</v>
      </c>
      <c r="AF57" s="14">
        <f t="shared" si="64"/>
        <v>7.0243053558278916</v>
      </c>
      <c r="AG57">
        <v>1.7449485073210859E-5</v>
      </c>
      <c r="AH57">
        <f t="shared" si="65"/>
        <v>24.855787052978158</v>
      </c>
      <c r="AI57">
        <f t="shared" si="66"/>
        <v>0.20815381826422133</v>
      </c>
      <c r="AJ57">
        <f t="shared" si="67"/>
        <v>31.726149747123245</v>
      </c>
      <c r="AK57">
        <f t="array" ref="AK57">+S57*テーブル2[[#This Row],[F_form]]/(E57*CpFromTP((テーブル2[[#This Row],[Tin]]+テーブル2[[#This Row],[Tf]])/2,テーブル2[[#This Row],[P]])*AI57)</f>
        <v>2.6304684074660041</v>
      </c>
      <c r="AL57">
        <f t="shared" si="68"/>
        <v>1.4549166438635874</v>
      </c>
      <c r="AM57">
        <f t="shared" si="69"/>
        <v>625.47907900040423</v>
      </c>
      <c r="AN57">
        <f t="shared" si="70"/>
        <v>-2.0707357083972511</v>
      </c>
      <c r="AO57">
        <f t="shared" si="71"/>
        <v>3.7830568857298786E-8</v>
      </c>
      <c r="AP57">
        <v>2.4619929099752005</v>
      </c>
      <c r="AQ57">
        <f t="shared" si="72"/>
        <v>3.9241188515814462E-5</v>
      </c>
      <c r="AR57">
        <f t="shared" si="73"/>
        <v>8.7436578210340787E-6</v>
      </c>
      <c r="AS57">
        <f t="shared" si="74"/>
        <v>15.897466097358482</v>
      </c>
      <c r="AT57">
        <f t="shared" si="75"/>
        <v>10.78079865790118</v>
      </c>
      <c r="AU57">
        <f t="shared" si="76"/>
        <v>2.2440644045799232</v>
      </c>
      <c r="AV57">
        <f t="shared" si="77"/>
        <v>0.21792850539527731</v>
      </c>
      <c r="AW57">
        <f t="shared" si="78"/>
        <v>1.2969579179407153E-2</v>
      </c>
      <c r="AX57">
        <f t="shared" si="79"/>
        <v>0.21792849210018753</v>
      </c>
      <c r="AY57">
        <f t="shared" si="80"/>
        <v>1.3295089779097324E-8</v>
      </c>
      <c r="AZ57">
        <f t="shared" si="81"/>
        <v>888872.47317885025</v>
      </c>
      <c r="BA57">
        <f t="shared" si="82"/>
        <v>1.5938790220240618E-5</v>
      </c>
      <c r="BB57" s="15">
        <f t="shared" si="83"/>
        <v>1210279.6478545109</v>
      </c>
      <c r="BC57" s="20">
        <f t="shared" si="84"/>
        <v>3932.1673857609276</v>
      </c>
      <c r="BD57" s="19">
        <f t="shared" si="85"/>
        <v>0.32595644699593573</v>
      </c>
      <c r="BE57" s="15">
        <v>1474768.3455754232</v>
      </c>
      <c r="BF57" s="16">
        <f>テーブル2[[#This Row],[q_P]]/テーブル2[[#This Row],[q_M]]</f>
        <v>0.82065746222826985</v>
      </c>
      <c r="BG57">
        <v>1.2999931692195916</v>
      </c>
      <c r="BH57">
        <v>-0.49547366238389035</v>
      </c>
      <c r="BI57">
        <v>4.5999999999999999E-2</v>
      </c>
      <c r="BJ57">
        <v>5625</v>
      </c>
      <c r="BK57" s="21">
        <f>1+テーブル2[[#This Row],[A_corr]]*EXP(-テーブル2[[#This Row],[(Tsub-40)^2]]/テーブル2[[#This Row],[σ_corr]])</f>
        <v>1.01886211629783</v>
      </c>
      <c r="BL57">
        <f>テーブル2[[#This Row],[Ts]]-テーブル2[[#This Row],[Tin]]</f>
        <v>110.81389884756254</v>
      </c>
      <c r="BM57">
        <f>テーブル2[[#This Row],[q_P]]*0.000001</f>
        <v>1.2102796478545108</v>
      </c>
      <c r="BN57">
        <f>テーブル2[[#This Row],[Tsub]]</f>
        <v>110.81389884756254</v>
      </c>
      <c r="BO57">
        <f>テーブル2[[#This Row],[Fcorr]]</f>
        <v>1.01886211629783</v>
      </c>
      <c r="BP57">
        <f>(テーブル2[[#This Row],[Tsub]]-40)^2</f>
        <v>5014.6082699928193</v>
      </c>
      <c r="BQ57" s="10">
        <v>0.84144793974330867</v>
      </c>
      <c r="BR57">
        <v>4.2670000000000003</v>
      </c>
    </row>
    <row r="58" spans="1:70" x14ac:dyDescent="0.15">
      <c r="A58" s="9" t="s">
        <v>141</v>
      </c>
      <c r="B58">
        <v>14547937.27</v>
      </c>
      <c r="C58" s="21" cm="1">
        <f t="array" ref="C58">TsatFromP(テーブル2[[#This Row],[P]])</f>
        <v>612.8617754030106</v>
      </c>
      <c r="D58">
        <f t="array" ref="D58">RhoGFromP(テーブル2[[#This Row],[P]])</f>
        <v>92.246204919594888</v>
      </c>
      <c r="E58">
        <f t="array" ref="E58">RhoFFromP(テーブル2[[#This Row],[P]])</f>
        <v>611.60316925921416</v>
      </c>
      <c r="F58">
        <f t="array" ref="F58">HgFromP(テーブル2[[#This Row],[P]])</f>
        <v>2623286.9751734058</v>
      </c>
      <c r="G58">
        <f t="array" ref="G58">HfFromP(テーブル2[[#This Row],[P]])</f>
        <v>1592460.3576735058</v>
      </c>
      <c r="H58">
        <f t="array" ref="H58">MuGFromP(テーブル2[[#This Row],[P]])</f>
        <v>2.2446211956304489E-5</v>
      </c>
      <c r="I58">
        <f t="array" ref="I58">MuFFromP(テーブル2[[#This Row],[P]])</f>
        <v>7.0453794027894906E-5</v>
      </c>
      <c r="J58">
        <f t="array" ref="J58">KfFromP(テーブル2[[#This Row],[P]])</f>
        <v>0.482528845552468</v>
      </c>
      <c r="K58">
        <f t="array" ref="K58">CpFFromP(テーブル2[[#This Row],[P]])</f>
        <v>8170.133161316754</v>
      </c>
      <c r="L58">
        <f t="array" ref="L58">SigmaFromP(テーブル2[[#This Row],[P]])</f>
        <v>5.6457194724596916E-3</v>
      </c>
      <c r="M58">
        <v>380</v>
      </c>
      <c r="N58">
        <v>4008.3359999999998</v>
      </c>
      <c r="O58" s="8">
        <v>8.7843467213758383E-5</v>
      </c>
      <c r="P58" s="8">
        <v>2.9843873572041598E-2</v>
      </c>
      <c r="Q58">
        <v>1.1773735336561952E-2</v>
      </c>
      <c r="R58">
        <v>3.4036</v>
      </c>
      <c r="S58" s="15">
        <v>908048.90802375018</v>
      </c>
      <c r="T58">
        <v>549.81666666666661</v>
      </c>
      <c r="U58" s="12">
        <f>+T58+BG58*S58*テーブル2[[#This Row],[Pw]]*R58/(N58*O58*K58)</f>
        <v>591.49797032954109</v>
      </c>
      <c r="V58">
        <v>0.03</v>
      </c>
      <c r="W58" s="8">
        <f t="shared" ref="W58:W59" si="86">+N58*P58/I58</f>
        <v>1697911.0134352716</v>
      </c>
      <c r="X58">
        <v>1.5657845583178065E-2</v>
      </c>
      <c r="Y58">
        <f t="shared" si="61"/>
        <v>7.991604764218172</v>
      </c>
      <c r="Z58">
        <f t="shared" ref="Z58:Z59" si="87">IF(X58&gt;0,1.14-2*LOG((0.72*L58*E58)/(X58*P58*N58^2)+9.35/(W58*X58^0.5)),0)</f>
        <v>7.9916047703163455</v>
      </c>
      <c r="AA58">
        <f t="shared" si="62"/>
        <v>-6.0981735217069399E-9</v>
      </c>
      <c r="AB58">
        <f t="shared" si="63"/>
        <v>1.3176498316423431E-5</v>
      </c>
      <c r="AC58">
        <v>633.2921207901104</v>
      </c>
      <c r="AD58">
        <f t="shared" ref="AD58:AD59" si="88">+P58/2*AI58/I58*E58</f>
        <v>37558.301081999904</v>
      </c>
      <c r="AE58">
        <f t="shared" si="57"/>
        <v>595.19000516743006</v>
      </c>
      <c r="AF58" s="14">
        <f t="shared" si="64"/>
        <v>3.6920348378889685</v>
      </c>
      <c r="AG58">
        <v>1.3191928085213481E-5</v>
      </c>
      <c r="AH58">
        <f t="shared" si="65"/>
        <v>51.416265568123777</v>
      </c>
      <c r="AI58">
        <f t="shared" si="66"/>
        <v>0.28994485147688109</v>
      </c>
      <c r="AJ58">
        <f t="shared" si="67"/>
        <v>33.203893970433001</v>
      </c>
      <c r="AK58">
        <f t="array" ref="AK58">+S58*テーブル2[[#This Row],[F_form]]/(E58*CpFromTP((テーブル2[[#This Row],[Tin]]+テーブル2[[#This Row],[Tf]])/2,テーブル2[[#This Row],[P]])*AI58)</f>
        <v>1.2291810357557758</v>
      </c>
      <c r="AL58">
        <f t="shared" si="68"/>
        <v>1.1929170333202277</v>
      </c>
      <c r="AM58">
        <f t="shared" si="69"/>
        <v>613.72054741083264</v>
      </c>
      <c r="AN58">
        <f t="shared" si="70"/>
        <v>-0.85877200782204</v>
      </c>
      <c r="AO58">
        <f t="shared" si="71"/>
        <v>1.5429768790049949E-8</v>
      </c>
      <c r="AP58">
        <v>3.4618489840405307</v>
      </c>
      <c r="AQ58">
        <f t="shared" si="72"/>
        <v>3.6927033409265643E-5</v>
      </c>
      <c r="AR58">
        <f t="shared" si="73"/>
        <v>6.6036789270017655E-6</v>
      </c>
      <c r="AS58">
        <f t="shared" si="74"/>
        <v>16.621365238696345</v>
      </c>
      <c r="AT58">
        <f t="shared" si="75"/>
        <v>11.003444651897675</v>
      </c>
      <c r="AU58">
        <f t="shared" si="76"/>
        <v>3.190392125328553</v>
      </c>
      <c r="AV58">
        <f t="shared" si="77"/>
        <v>0.27145685871197767</v>
      </c>
      <c r="AW58">
        <f t="shared" si="78"/>
        <v>8.3405582934937394E-3</v>
      </c>
      <c r="AX58">
        <f t="shared" si="79"/>
        <v>0.27145684708740847</v>
      </c>
      <c r="AY58">
        <f t="shared" si="80"/>
        <v>1.1624569196122536E-8</v>
      </c>
      <c r="AZ58">
        <f t="shared" si="81"/>
        <v>1030826.6174999001</v>
      </c>
      <c r="BA58">
        <f t="shared" si="82"/>
        <v>1.0666852765531644E-5</v>
      </c>
      <c r="BB58" s="15">
        <f t="shared" si="83"/>
        <v>911965.6260853759</v>
      </c>
      <c r="BC58" s="20">
        <f t="shared" si="84"/>
        <v>3916.7180616257247</v>
      </c>
      <c r="BD58" s="19">
        <f t="shared" si="85"/>
        <v>0.43133338160715923</v>
      </c>
      <c r="BE58" s="15">
        <v>1527754.0346380137</v>
      </c>
      <c r="BF58" s="16">
        <f>テーブル2[[#This Row],[q_P]]/テーブル2[[#This Row],[q_M]]</f>
        <v>0.59693223215833768</v>
      </c>
      <c r="BG58">
        <v>1.2999931692195916</v>
      </c>
      <c r="BH58">
        <v>-0.15423248870421483</v>
      </c>
      <c r="BI58">
        <v>4.5999999999999999E-2</v>
      </c>
      <c r="BJ58">
        <v>5625</v>
      </c>
      <c r="BK58" s="21">
        <f>1+テーブル2[[#This Row],[A_corr]]*EXP(-テーブル2[[#This Row],[(Tsub-40)^2]]/テーブル2[[#This Row],[σ_corr]])</f>
        <v>1.0418556879749954</v>
      </c>
      <c r="BL58">
        <f>テーブル2[[#This Row],[Ts]]-テーブル2[[#This Row],[Tin]]</f>
        <v>63.045108736343991</v>
      </c>
      <c r="BM58">
        <f>テーブル2[[#This Row],[q_P]]*0.000001</f>
        <v>0.9119656260853759</v>
      </c>
      <c r="BN58">
        <f>テーブル2[[#This Row],[Tsub]]</f>
        <v>63.045108736343991</v>
      </c>
      <c r="BO58">
        <f>テーブル2[[#This Row],[Fcorr]]</f>
        <v>1.0418556879749954</v>
      </c>
      <c r="BP58">
        <f>(テーブル2[[#This Row],[Tsub]]-40)^2</f>
        <v>531.07703666991813</v>
      </c>
      <c r="BQ58" s="10">
        <v>0.99973876398184058</v>
      </c>
      <c r="BR58">
        <v>4.2670000000000003</v>
      </c>
    </row>
    <row r="59" spans="1:70" x14ac:dyDescent="0.15">
      <c r="A59" s="9" t="s">
        <v>142</v>
      </c>
      <c r="B59">
        <v>14513463.484999999</v>
      </c>
      <c r="C59" s="21" cm="1">
        <f t="array" ref="C59">TsatFromP(テーブル2[[#This Row],[P]])</f>
        <v>612.67292008461743</v>
      </c>
      <c r="D59">
        <f t="array" ref="D59">RhoGFromP(テーブル2[[#This Row],[P]])</f>
        <v>91.91255897533145</v>
      </c>
      <c r="E59">
        <f t="array" ref="E59">RhoFFromP(テーブル2[[#This Row],[P]])</f>
        <v>612.21368217827785</v>
      </c>
      <c r="F59">
        <f t="array" ref="F59">HgFromP(テーブル2[[#This Row],[P]])</f>
        <v>2624225.3455417412</v>
      </c>
      <c r="G59">
        <f t="array" ref="G59">HfFromP(テーブル2[[#This Row],[P]])</f>
        <v>1591108.2176913612</v>
      </c>
      <c r="H59">
        <f t="array" ref="H59">MuGFromP(テーブル2[[#This Row],[P]])</f>
        <v>2.2426155999369982E-5</v>
      </c>
      <c r="I59">
        <f t="array" ref="I59">MuFFromP(テーブル2[[#This Row],[P]])</f>
        <v>7.053398392243067E-5</v>
      </c>
      <c r="J59">
        <f t="array" ref="J59">KfFromP(テーブル2[[#This Row],[P]])</f>
        <v>0.48291804642989189</v>
      </c>
      <c r="K59">
        <f t="array" ref="K59">CpFFromP(テーブル2[[#This Row],[P]])</f>
        <v>8145.6939161944201</v>
      </c>
      <c r="L59">
        <f t="array" ref="L59">SigmaFromP(テーブル2[[#This Row],[P]])</f>
        <v>5.6835159172802328E-3</v>
      </c>
      <c r="M59" s="22">
        <v>381</v>
      </c>
      <c r="N59">
        <v>2743.1880000000001</v>
      </c>
      <c r="O59" s="8">
        <v>8.7843467213758383E-5</v>
      </c>
      <c r="P59" s="8">
        <v>2.9843873572041598E-2</v>
      </c>
      <c r="Q59">
        <v>1.1773735336561952E-2</v>
      </c>
      <c r="R59">
        <v>3.4036</v>
      </c>
      <c r="S59" s="15">
        <v>780623.66789375001</v>
      </c>
      <c r="T59">
        <v>536.65</v>
      </c>
      <c r="U59" s="12">
        <f>+T59+BG59*S59*テーブル2[[#This Row],[Pw]]*R59/(N59*O59*K59)</f>
        <v>589.16499917321494</v>
      </c>
      <c r="V59">
        <v>0.03</v>
      </c>
      <c r="W59" s="8">
        <f t="shared" si="86"/>
        <v>1160679.5944827786</v>
      </c>
      <c r="X59">
        <v>1.7914606230257365E-2</v>
      </c>
      <c r="Y59">
        <f t="shared" si="61"/>
        <v>7.4713032927839338</v>
      </c>
      <c r="Z59">
        <f t="shared" si="87"/>
        <v>7.4713033004926528</v>
      </c>
      <c r="AA59">
        <f t="shared" si="62"/>
        <v>-7.7087189964686331E-9</v>
      </c>
      <c r="AB59">
        <f t="shared" si="63"/>
        <v>2.4778381409831509E-5</v>
      </c>
      <c r="AC59">
        <v>638.59647756584832</v>
      </c>
      <c r="AD59">
        <f t="shared" si="88"/>
        <v>27462.558401166487</v>
      </c>
      <c r="AE59">
        <f t="shared" si="57"/>
        <v>593.66778839019901</v>
      </c>
      <c r="AF59" s="14">
        <f t="shared" si="64"/>
        <v>4.5027892169840698</v>
      </c>
      <c r="AG59">
        <v>2.4800742986918205E-5</v>
      </c>
      <c r="AH59">
        <f t="shared" si="65"/>
        <v>27.52487738375909</v>
      </c>
      <c r="AI59">
        <f t="shared" si="66"/>
        <v>0.21203677045850144</v>
      </c>
      <c r="AJ59">
        <f t="shared" si="67"/>
        <v>45.643662913022339</v>
      </c>
      <c r="AK59">
        <f t="array" ref="AK59">+S59*テーブル2[[#This Row],[F_form]]/(E59*CpFromTP((テーブル2[[#This Row],[Tin]]+テーブル2[[#This Row],[Tf]])/2,テーブル2[[#This Row],[P]])*AI59)</f>
        <v>1.4883305012322801</v>
      </c>
      <c r="AL59">
        <f t="shared" si="68"/>
        <v>1.1897427482145444</v>
      </c>
      <c r="AM59">
        <f t="shared" si="69"/>
        <v>613.75525164283454</v>
      </c>
      <c r="AN59">
        <f t="shared" si="70"/>
        <v>-1.0823315582171062</v>
      </c>
      <c r="AO59">
        <f t="shared" si="71"/>
        <v>2.2361577086696204E-8</v>
      </c>
      <c r="AP59">
        <v>2.907430637604469</v>
      </c>
      <c r="AQ59">
        <f t="shared" si="72"/>
        <v>5.2862885427664229E-5</v>
      </c>
      <c r="AR59">
        <f t="shared" si="73"/>
        <v>1.2411552282002451E-5</v>
      </c>
      <c r="AS59">
        <f t="shared" si="74"/>
        <v>22.842408749040008</v>
      </c>
      <c r="AT59">
        <f t="shared" si="75"/>
        <v>12.593094205469992</v>
      </c>
      <c r="AU59">
        <f t="shared" si="76"/>
        <v>2.6701990254075252</v>
      </c>
      <c r="AV59">
        <f t="shared" si="77"/>
        <v>0.23723161219694378</v>
      </c>
      <c r="AW59">
        <f t="shared" si="78"/>
        <v>1.5646368479930721E-2</v>
      </c>
      <c r="AX59">
        <f t="shared" si="79"/>
        <v>0.23723161047988731</v>
      </c>
      <c r="AY59">
        <f t="shared" si="80"/>
        <v>1.7170564692303714E-9</v>
      </c>
      <c r="AZ59">
        <f t="shared" si="81"/>
        <v>1033117.12785038</v>
      </c>
      <c r="BA59">
        <f t="shared" si="82"/>
        <v>1.8181993662699984E-5</v>
      </c>
      <c r="BB59" s="15">
        <f t="shared" si="83"/>
        <v>777881.63891220221</v>
      </c>
      <c r="BC59" s="20">
        <f t="shared" si="84"/>
        <v>-2742.0289815478027</v>
      </c>
      <c r="BD59" s="19">
        <f t="shared" si="85"/>
        <v>-0.3512613176264876</v>
      </c>
      <c r="BE59" s="15">
        <v>1183347.055731178</v>
      </c>
      <c r="BF59" s="16">
        <f>テーブル2[[#This Row],[q_P]]/テーブル2[[#This Row],[q_M]]</f>
        <v>0.65735714230645304</v>
      </c>
      <c r="BG59">
        <v>1.2999931692195916</v>
      </c>
      <c r="BH59">
        <v>-0.19698048897518766</v>
      </c>
      <c r="BI59">
        <v>4.5999999999999999E-2</v>
      </c>
      <c r="BJ59">
        <v>5625</v>
      </c>
      <c r="BK59" s="21">
        <f>1+テーブル2[[#This Row],[A_corr]]*EXP(-テーブル2[[#This Row],[(Tsub-40)^2]]/テーブル2[[#This Row],[σ_corr]])</f>
        <v>1.0365232091638805</v>
      </c>
      <c r="BL59">
        <f>テーブル2[[#This Row],[Ts]]-テーブル2[[#This Row],[Tin]]</f>
        <v>76.022920084617454</v>
      </c>
      <c r="BM59">
        <f>テーブル2[[#This Row],[q_P]]*0.000001</f>
        <v>0.77788163891220219</v>
      </c>
      <c r="BN59">
        <f>テーブル2[[#This Row],[Tsub]]</f>
        <v>76.022920084617454</v>
      </c>
      <c r="BO59">
        <f>テーブル2[[#This Row],[Fcorr]]</f>
        <v>1.0365232091638805</v>
      </c>
      <c r="BP59">
        <f>(テーブル2[[#This Row],[Tsub]]-40)^2</f>
        <v>1297.6507714227355</v>
      </c>
      <c r="BQ59" s="10">
        <v>0.9592297620789777</v>
      </c>
      <c r="BR59">
        <v>4.2670000000000003</v>
      </c>
    </row>
  </sheetData>
  <phoneticPr fontId="1"/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1307-0BAE-420C-A7CB-852E8F63448B}">
  <sheetPr codeName="ws_Log"/>
  <dimension ref="A1:H1561"/>
  <sheetViews>
    <sheetView workbookViewId="0">
      <selection activeCell="J25" sqref="J25"/>
    </sheetView>
  </sheetViews>
  <sheetFormatPr defaultRowHeight="13.5" x14ac:dyDescent="0.15"/>
  <sheetData>
    <row r="1" spans="1:8" x14ac:dyDescent="0.15">
      <c r="A1" t="s">
        <v>83</v>
      </c>
      <c r="B1" t="s">
        <v>54</v>
      </c>
      <c r="C1" t="s">
        <v>56</v>
      </c>
      <c r="D1" t="s">
        <v>67</v>
      </c>
      <c r="E1" t="s">
        <v>58</v>
      </c>
      <c r="F1" t="s">
        <v>84</v>
      </c>
      <c r="G1" t="s">
        <v>30</v>
      </c>
      <c r="H1" t="s">
        <v>85</v>
      </c>
    </row>
    <row r="2" spans="1:8" x14ac:dyDescent="0.15">
      <c r="A2">
        <v>2</v>
      </c>
      <c r="B2">
        <v>1</v>
      </c>
      <c r="C2">
        <v>6050000</v>
      </c>
      <c r="D2">
        <v>1564553699495019</v>
      </c>
      <c r="E2">
        <v>0.81461064686979112</v>
      </c>
      <c r="F2">
        <v>1.5632156766143268E-5</v>
      </c>
      <c r="G2">
        <v>0.81459501471302498</v>
      </c>
      <c r="H2" t="b">
        <v>0</v>
      </c>
    </row>
    <row r="3" spans="1:8" x14ac:dyDescent="0.15">
      <c r="A3">
        <v>2</v>
      </c>
      <c r="B3">
        <v>2</v>
      </c>
      <c r="C3">
        <v>3075000</v>
      </c>
      <c r="D3">
        <v>7662093918595.124</v>
      </c>
      <c r="E3">
        <v>9.9057863932614284E-3</v>
      </c>
      <c r="F3">
        <v>1.5632156766115513E-5</v>
      </c>
      <c r="G3">
        <v>9.8901542364953129E-3</v>
      </c>
      <c r="H3" t="b">
        <v>0</v>
      </c>
    </row>
    <row r="4" spans="1:8" x14ac:dyDescent="0.15">
      <c r="A4">
        <v>2</v>
      </c>
      <c r="B4">
        <v>3</v>
      </c>
      <c r="C4">
        <v>1587500</v>
      </c>
      <c r="D4">
        <v>437517964.09108323</v>
      </c>
      <c r="E4">
        <v>2.0913543751888975E-5</v>
      </c>
      <c r="F4">
        <v>1.5632156766116078E-5</v>
      </c>
      <c r="G4">
        <v>5.2813869857728969E-6</v>
      </c>
      <c r="H4" t="b">
        <v>0</v>
      </c>
    </row>
    <row r="5" spans="1:8" x14ac:dyDescent="0.15">
      <c r="A5">
        <v>2</v>
      </c>
      <c r="B5">
        <v>4</v>
      </c>
      <c r="C5">
        <v>843750</v>
      </c>
      <c r="D5">
        <v>-51623.668734816179</v>
      </c>
      <c r="E5">
        <v>-3.4651463654325713E-6</v>
      </c>
      <c r="F5">
        <v>1.5632156766116078E-5</v>
      </c>
      <c r="G5">
        <v>-1.9097303131548651E-5</v>
      </c>
      <c r="H5" t="b">
        <v>1</v>
      </c>
    </row>
    <row r="6" spans="1:8" x14ac:dyDescent="0.15">
      <c r="A6">
        <v>2</v>
      </c>
      <c r="B6">
        <v>5</v>
      </c>
      <c r="C6">
        <v>1215625</v>
      </c>
      <c r="D6">
        <v>-343268.62812293181</v>
      </c>
      <c r="E6">
        <v>2.9332977232675009E-6</v>
      </c>
      <c r="F6">
        <v>1.5632156766116078E-5</v>
      </c>
      <c r="G6">
        <v>-1.2698859042848577E-5</v>
      </c>
      <c r="H6" t="b">
        <v>1</v>
      </c>
    </row>
    <row r="7" spans="1:8" x14ac:dyDescent="0.15">
      <c r="A7">
        <v>2</v>
      </c>
      <c r="B7">
        <v>6</v>
      </c>
      <c r="C7">
        <v>1401562.5</v>
      </c>
      <c r="D7">
        <v>-7308630.8513279324</v>
      </c>
      <c r="E7">
        <v>7.6220727844942054E-6</v>
      </c>
      <c r="F7">
        <v>1.5632156766116078E-5</v>
      </c>
      <c r="G7">
        <v>-8.0100839816218729E-6</v>
      </c>
      <c r="H7" t="b">
        <v>1</v>
      </c>
    </row>
    <row r="8" spans="1:8" x14ac:dyDescent="0.15">
      <c r="A8">
        <v>2</v>
      </c>
      <c r="B8">
        <v>7</v>
      </c>
      <c r="C8">
        <v>1494531.25</v>
      </c>
      <c r="D8">
        <v>-75496786.022342727</v>
      </c>
      <c r="E8">
        <v>1.1492829629251622E-5</v>
      </c>
      <c r="F8">
        <v>1.5632156766116078E-5</v>
      </c>
      <c r="G8">
        <v>-4.1393271368644561E-6</v>
      </c>
      <c r="H8" t="b">
        <v>1</v>
      </c>
    </row>
    <row r="9" spans="1:8" x14ac:dyDescent="0.15">
      <c r="A9">
        <v>2</v>
      </c>
      <c r="B9">
        <v>8</v>
      </c>
      <c r="C9">
        <v>1541015.625</v>
      </c>
      <c r="D9">
        <v>-47127728.308773823</v>
      </c>
      <c r="E9">
        <v>1.4450071607433732E-5</v>
      </c>
      <c r="F9">
        <v>1.5632156766116078E-5</v>
      </c>
      <c r="G9">
        <v>-1.1820851586823467E-6</v>
      </c>
      <c r="H9" t="b">
        <v>1</v>
      </c>
    </row>
    <row r="10" spans="1:8" x14ac:dyDescent="0.15">
      <c r="A10">
        <v>2</v>
      </c>
      <c r="B10">
        <v>9</v>
      </c>
      <c r="C10">
        <v>1564257.8125</v>
      </c>
      <c r="D10">
        <v>108858298.79494283</v>
      </c>
      <c r="E10">
        <v>1.7429945303520779E-5</v>
      </c>
      <c r="F10">
        <v>1.5632156766116078E-5</v>
      </c>
      <c r="G10">
        <v>1.7977885374047007E-6</v>
      </c>
      <c r="H10" t="b">
        <v>0</v>
      </c>
    </row>
    <row r="11" spans="1:8" x14ac:dyDescent="0.15">
      <c r="A11">
        <v>2</v>
      </c>
      <c r="B11">
        <v>10</v>
      </c>
      <c r="C11">
        <v>1552636.71875</v>
      </c>
      <c r="D11">
        <v>12436051.333238835</v>
      </c>
      <c r="E11">
        <v>1.588094298466313E-5</v>
      </c>
      <c r="F11">
        <v>1.5632156766116078E-5</v>
      </c>
      <c r="G11">
        <v>2.4878621854705182E-7</v>
      </c>
      <c r="H11" t="b">
        <v>0</v>
      </c>
    </row>
    <row r="12" spans="1:8" x14ac:dyDescent="0.15">
      <c r="A12">
        <v>2</v>
      </c>
      <c r="B12">
        <v>11</v>
      </c>
      <c r="C12">
        <v>1546826.171875</v>
      </c>
      <c r="D12">
        <v>-21579255.776341487</v>
      </c>
      <c r="E12">
        <v>1.5151206981878468E-5</v>
      </c>
      <c r="F12">
        <v>1.5632156766116078E-5</v>
      </c>
      <c r="G12">
        <v>-4.8094978423761062E-7</v>
      </c>
      <c r="H12" t="b">
        <v>1</v>
      </c>
    </row>
    <row r="13" spans="1:8" x14ac:dyDescent="0.15">
      <c r="A13">
        <v>2</v>
      </c>
      <c r="B13">
        <v>12</v>
      </c>
      <c r="C13">
        <v>1549731.4453125</v>
      </c>
      <c r="D13">
        <v>-5676060.5113719562</v>
      </c>
      <c r="E13">
        <v>1.551244173787471E-5</v>
      </c>
      <c r="F13">
        <v>1.5632156766116078E-5</v>
      </c>
      <c r="G13">
        <v>-1.1971502824136858E-7</v>
      </c>
      <c r="H13" t="b">
        <v>1</v>
      </c>
    </row>
    <row r="14" spans="1:8" x14ac:dyDescent="0.15">
      <c r="A14">
        <v>2</v>
      </c>
      <c r="B14">
        <v>13</v>
      </c>
      <c r="C14">
        <v>1551184.08203125</v>
      </c>
      <c r="D14">
        <v>3098125.4380270629</v>
      </c>
      <c r="E14">
        <v>1.5695777901033175E-5</v>
      </c>
      <c r="F14">
        <v>1.5632156766116078E-5</v>
      </c>
      <c r="G14">
        <v>6.3621134917096463E-8</v>
      </c>
      <c r="H14" t="b">
        <v>0</v>
      </c>
    </row>
    <row r="15" spans="1:8" x14ac:dyDescent="0.15">
      <c r="A15">
        <v>2</v>
      </c>
      <c r="B15">
        <v>14</v>
      </c>
      <c r="C15">
        <v>1549984.08203125</v>
      </c>
      <c r="D15">
        <v>-4190008.9570736727</v>
      </c>
      <c r="E15">
        <v>1.5544197520938444E-5</v>
      </c>
      <c r="F15">
        <v>1.5632156766116078E-5</v>
      </c>
      <c r="G15">
        <v>-8.7959245177634789E-8</v>
      </c>
      <c r="H15" t="b">
        <v>1</v>
      </c>
    </row>
    <row r="16" spans="1:8" x14ac:dyDescent="0.15">
      <c r="A16">
        <v>2</v>
      </c>
      <c r="B16">
        <v>15</v>
      </c>
      <c r="C16">
        <v>1550584.08203125</v>
      </c>
      <c r="D16">
        <v>-593627.92047654162</v>
      </c>
      <c r="E16">
        <v>1.561983202142726E-5</v>
      </c>
      <c r="F16">
        <v>1.5632156766116078E-5</v>
      </c>
      <c r="G16">
        <v>-1.2324744688818043E-8</v>
      </c>
      <c r="H16" t="b">
        <v>1</v>
      </c>
    </row>
    <row r="17" spans="1:8" x14ac:dyDescent="0.15">
      <c r="A17">
        <v>2</v>
      </c>
      <c r="B17">
        <v>16</v>
      </c>
      <c r="C17">
        <v>1551184.08203125</v>
      </c>
      <c r="D17">
        <v>3098125.4380270629</v>
      </c>
      <c r="E17">
        <v>1.5695777901033175E-5</v>
      </c>
      <c r="F17">
        <v>1.5632156766116078E-5</v>
      </c>
      <c r="G17">
        <v>6.3621134917096463E-8</v>
      </c>
      <c r="H17" t="b">
        <v>0</v>
      </c>
    </row>
    <row r="18" spans="1:8" x14ac:dyDescent="0.15">
      <c r="A18">
        <v>2</v>
      </c>
      <c r="B18">
        <v>17</v>
      </c>
      <c r="C18">
        <v>1550884.08203125</v>
      </c>
      <c r="D18">
        <v>1240276.423154776</v>
      </c>
      <c r="E18">
        <v>1.5657765984831257E-5</v>
      </c>
      <c r="F18">
        <v>1.5632156766116078E-5</v>
      </c>
      <c r="G18">
        <v>2.5609218715179138E-8</v>
      </c>
      <c r="H18" t="b">
        <v>0</v>
      </c>
    </row>
    <row r="19" spans="1:8" x14ac:dyDescent="0.15">
      <c r="A19">
        <v>2</v>
      </c>
      <c r="B19">
        <v>18</v>
      </c>
      <c r="C19">
        <v>1551034.08203125</v>
      </c>
      <c r="D19">
        <v>2166109.0915645147</v>
      </c>
      <c r="E19">
        <v>1.5676760301520374E-5</v>
      </c>
      <c r="F19">
        <v>1.5632156766116078E-5</v>
      </c>
      <c r="G19">
        <v>4.4603535404295788E-8</v>
      </c>
      <c r="H19" t="b">
        <v>0</v>
      </c>
    </row>
    <row r="20" spans="1:8" x14ac:dyDescent="0.15">
      <c r="A20">
        <v>2</v>
      </c>
      <c r="B20">
        <v>19</v>
      </c>
      <c r="C20">
        <v>1550959.08203125</v>
      </c>
      <c r="D20">
        <v>1702489.8539372757</v>
      </c>
      <c r="E20">
        <v>1.5667261650780389E-5</v>
      </c>
      <c r="F20">
        <v>1.5632156766116078E-5</v>
      </c>
      <c r="G20">
        <v>3.510488466431039E-8</v>
      </c>
      <c r="H20" t="b">
        <v>0</v>
      </c>
    </row>
    <row r="21" spans="1:8" x14ac:dyDescent="0.15">
      <c r="A21">
        <v>2</v>
      </c>
      <c r="B21">
        <v>20</v>
      </c>
      <c r="C21">
        <v>1550869.08203125</v>
      </c>
      <c r="D21">
        <v>1147921.7146985303</v>
      </c>
      <c r="E21">
        <v>1.5655865549725936E-5</v>
      </c>
      <c r="F21">
        <v>1.5632156766116078E-5</v>
      </c>
      <c r="G21">
        <v>2.3708783609857446E-8</v>
      </c>
      <c r="H21" t="b">
        <v>0</v>
      </c>
    </row>
    <row r="22" spans="1:8" x14ac:dyDescent="0.15">
      <c r="A22">
        <v>2</v>
      </c>
      <c r="B22">
        <v>21</v>
      </c>
      <c r="C22">
        <v>1550914.08203125</v>
      </c>
      <c r="D22">
        <v>1424890.2768409033</v>
      </c>
      <c r="E22">
        <v>1.5661561779106451E-5</v>
      </c>
      <c r="F22">
        <v>1.5632156766116078E-5</v>
      </c>
      <c r="G22">
        <v>2.9405012990372159E-8</v>
      </c>
      <c r="H22" t="b">
        <v>0</v>
      </c>
    </row>
    <row r="23" spans="1:8" x14ac:dyDescent="0.15">
      <c r="A23">
        <v>2</v>
      </c>
      <c r="B23">
        <v>22</v>
      </c>
      <c r="C23">
        <v>1550968.08203125</v>
      </c>
      <c r="D23">
        <v>1757964.0429473822</v>
      </c>
      <c r="E23">
        <v>1.5668399569979046E-5</v>
      </c>
      <c r="F23">
        <v>1.5632156766116078E-5</v>
      </c>
      <c r="G23">
        <v>3.6242803862967453E-8</v>
      </c>
      <c r="H23" t="b">
        <v>0</v>
      </c>
    </row>
    <row r="24" spans="1:8" x14ac:dyDescent="0.15">
      <c r="A24">
        <v>2</v>
      </c>
      <c r="B24">
        <v>23</v>
      </c>
      <c r="C24">
        <v>1550941.08203125</v>
      </c>
      <c r="D24">
        <v>1591330.105066299</v>
      </c>
      <c r="E24">
        <v>1.5664980358735409E-5</v>
      </c>
      <c r="F24">
        <v>1.5632156766116078E-5</v>
      </c>
      <c r="G24">
        <v>3.2823592619330962E-8</v>
      </c>
      <c r="H24" t="b">
        <v>0</v>
      </c>
    </row>
    <row r="25" spans="1:8" x14ac:dyDescent="0.15">
      <c r="A25">
        <v>2</v>
      </c>
      <c r="B25">
        <v>24</v>
      </c>
      <c r="C25">
        <v>1550908.6820312501</v>
      </c>
      <c r="D25">
        <v>1391625.5976408415</v>
      </c>
      <c r="E25">
        <v>1.5660878138963545E-5</v>
      </c>
      <c r="F25">
        <v>1.5632156766116078E-5</v>
      </c>
      <c r="G25">
        <v>2.8721372847466902E-8</v>
      </c>
      <c r="H25" t="b">
        <v>0</v>
      </c>
    </row>
    <row r="26" spans="1:8" x14ac:dyDescent="0.15">
      <c r="A26">
        <v>2</v>
      </c>
      <c r="B26">
        <v>25</v>
      </c>
      <c r="C26">
        <v>1550924.88203125</v>
      </c>
      <c r="D26">
        <v>1491534.8081366869</v>
      </c>
      <c r="E26">
        <v>1.5662931022690082E-5</v>
      </c>
      <c r="F26">
        <v>1.5632156766116078E-5</v>
      </c>
      <c r="G26">
        <v>3.0774256574003295E-8</v>
      </c>
      <c r="H26" t="b">
        <v>0</v>
      </c>
    </row>
    <row r="27" spans="1:8" x14ac:dyDescent="0.15">
      <c r="A27">
        <v>2</v>
      </c>
      <c r="B27">
        <v>26</v>
      </c>
      <c r="C27">
        <v>1550944.32203125</v>
      </c>
      <c r="D27">
        <v>1611407.895610803</v>
      </c>
      <c r="E27">
        <v>1.5665392518564567E-5</v>
      </c>
      <c r="F27">
        <v>1.5632156766116078E-5</v>
      </c>
      <c r="G27">
        <v>3.3235752448488746E-8</v>
      </c>
      <c r="H27" t="b">
        <v>0</v>
      </c>
    </row>
    <row r="28" spans="1:8" x14ac:dyDescent="0.15">
      <c r="A28">
        <v>2</v>
      </c>
      <c r="B28">
        <v>27</v>
      </c>
      <c r="C28">
        <v>1550934.60203125</v>
      </c>
      <c r="D28">
        <v>1551366.8462386318</v>
      </c>
      <c r="E28">
        <v>1.5664159842023211E-5</v>
      </c>
      <c r="F28">
        <v>1.5632156766116078E-5</v>
      </c>
      <c r="G28">
        <v>3.2003075907132588E-8</v>
      </c>
      <c r="H28" t="b">
        <v>0</v>
      </c>
    </row>
    <row r="29" spans="1:8" x14ac:dyDescent="0.15">
      <c r="A29">
        <v>3</v>
      </c>
      <c r="B29">
        <v>1</v>
      </c>
      <c r="C29">
        <v>6050000</v>
      </c>
      <c r="D29">
        <v>507070902649772.56</v>
      </c>
      <c r="E29">
        <v>0.34907385026528714</v>
      </c>
      <c r="F29">
        <v>1.7206182179041463E-5</v>
      </c>
      <c r="G29">
        <v>0.3490566440831081</v>
      </c>
      <c r="H29" t="b">
        <v>0</v>
      </c>
    </row>
    <row r="30" spans="1:8" x14ac:dyDescent="0.15">
      <c r="A30">
        <v>3</v>
      </c>
      <c r="B30">
        <v>2</v>
      </c>
      <c r="C30">
        <v>3075000</v>
      </c>
      <c r="D30">
        <v>1726247349689.2227</v>
      </c>
      <c r="E30">
        <v>3.3341340105014572E-3</v>
      </c>
      <c r="F30">
        <v>1.7206182179051004E-5</v>
      </c>
      <c r="G30">
        <v>3.3169278283224062E-3</v>
      </c>
      <c r="H30" t="b">
        <v>0</v>
      </c>
    </row>
    <row r="31" spans="1:8" x14ac:dyDescent="0.15">
      <c r="A31">
        <v>3</v>
      </c>
      <c r="B31">
        <v>3</v>
      </c>
      <c r="C31">
        <v>1587500</v>
      </c>
      <c r="D31">
        <v>-2273284.1613605134</v>
      </c>
      <c r="E31">
        <v>6.8130918350195819E-6</v>
      </c>
      <c r="F31">
        <v>1.7206182179050892E-5</v>
      </c>
      <c r="G31">
        <v>-1.039309034403131E-5</v>
      </c>
      <c r="H31" t="b">
        <v>1</v>
      </c>
    </row>
    <row r="32" spans="1:8" x14ac:dyDescent="0.15">
      <c r="A32">
        <v>3</v>
      </c>
      <c r="B32">
        <v>4</v>
      </c>
      <c r="C32">
        <v>2331250</v>
      </c>
      <c r="D32">
        <v>70458651004.898849</v>
      </c>
      <c r="E32">
        <v>2.9502442170887161E-4</v>
      </c>
      <c r="F32">
        <v>1.7206182179050895E-5</v>
      </c>
      <c r="G32">
        <v>2.7781823952982072E-4</v>
      </c>
      <c r="H32" t="b">
        <v>0</v>
      </c>
    </row>
    <row r="33" spans="1:8" x14ac:dyDescent="0.15">
      <c r="A33">
        <v>3</v>
      </c>
      <c r="B33">
        <v>5</v>
      </c>
      <c r="C33">
        <v>1959375</v>
      </c>
      <c r="D33">
        <v>3522109398.6252856</v>
      </c>
      <c r="E33">
        <v>4.6526843207924939E-5</v>
      </c>
      <c r="F33">
        <v>1.7206182179050892E-5</v>
      </c>
      <c r="G33">
        <v>2.9320661028874047E-5</v>
      </c>
      <c r="H33" t="b">
        <v>0</v>
      </c>
    </row>
    <row r="34" spans="1:8" x14ac:dyDescent="0.15">
      <c r="A34">
        <v>3</v>
      </c>
      <c r="B34">
        <v>6</v>
      </c>
      <c r="C34">
        <v>1773437.5</v>
      </c>
      <c r="D34">
        <v>-86833103.557441443</v>
      </c>
      <c r="E34">
        <v>1.4001723945239953E-5</v>
      </c>
      <c r="F34">
        <v>1.7206182179050892E-5</v>
      </c>
      <c r="G34">
        <v>-3.2044582338109392E-6</v>
      </c>
      <c r="H34" t="b">
        <v>1</v>
      </c>
    </row>
    <row r="35" spans="1:8" x14ac:dyDescent="0.15">
      <c r="A35">
        <v>3</v>
      </c>
      <c r="B35">
        <v>7</v>
      </c>
      <c r="C35">
        <v>1866406.25</v>
      </c>
      <c r="D35">
        <v>779671047.1165694</v>
      </c>
      <c r="E35">
        <v>2.6271340961081414E-5</v>
      </c>
      <c r="F35">
        <v>1.7206182179050892E-5</v>
      </c>
      <c r="G35">
        <v>9.0651587820305218E-6</v>
      </c>
      <c r="H35" t="b">
        <v>0</v>
      </c>
    </row>
    <row r="36" spans="1:8" x14ac:dyDescent="0.15">
      <c r="A36">
        <v>3</v>
      </c>
      <c r="B36">
        <v>8</v>
      </c>
      <c r="C36">
        <v>1819921.875</v>
      </c>
      <c r="D36">
        <v>126394688.79599072</v>
      </c>
      <c r="E36">
        <v>1.9331230461494704E-5</v>
      </c>
      <c r="F36">
        <v>1.7206182179050892E-5</v>
      </c>
      <c r="G36">
        <v>2.1250482824438127E-6</v>
      </c>
      <c r="H36" t="b">
        <v>0</v>
      </c>
    </row>
    <row r="37" spans="1:8" x14ac:dyDescent="0.15">
      <c r="A37">
        <v>3</v>
      </c>
      <c r="B37">
        <v>9</v>
      </c>
      <c r="C37">
        <v>1796679.6875</v>
      </c>
      <c r="D37">
        <v>-30771122.245963719</v>
      </c>
      <c r="E37">
        <v>1.648532676622634E-5</v>
      </c>
      <c r="F37">
        <v>1.7206182179050892E-5</v>
      </c>
      <c r="G37">
        <v>-7.2085541282455162E-7</v>
      </c>
      <c r="H37" t="b">
        <v>1</v>
      </c>
    </row>
    <row r="38" spans="1:8" x14ac:dyDescent="0.15">
      <c r="A38">
        <v>3</v>
      </c>
      <c r="B38">
        <v>10</v>
      </c>
      <c r="C38">
        <v>1808300.78125</v>
      </c>
      <c r="D38">
        <v>33343942.972977284</v>
      </c>
      <c r="E38">
        <v>1.7860602807613896E-5</v>
      </c>
      <c r="F38">
        <v>1.7206182179050892E-5</v>
      </c>
      <c r="G38">
        <v>6.5442062856300407E-7</v>
      </c>
      <c r="H38" t="b">
        <v>0</v>
      </c>
    </row>
    <row r="39" spans="1:8" x14ac:dyDescent="0.15">
      <c r="A39">
        <v>3</v>
      </c>
      <c r="B39">
        <v>11</v>
      </c>
      <c r="C39">
        <v>1802490.234375</v>
      </c>
      <c r="D39">
        <v>-2098516.6172909848</v>
      </c>
      <c r="E39">
        <v>1.7161327420086012E-5</v>
      </c>
      <c r="F39">
        <v>1.7206182179050892E-5</v>
      </c>
      <c r="G39">
        <v>-4.4854758964879565E-8</v>
      </c>
      <c r="H39" t="b">
        <v>1</v>
      </c>
    </row>
    <row r="40" spans="1:8" x14ac:dyDescent="0.15">
      <c r="A40">
        <v>3</v>
      </c>
      <c r="B40">
        <v>12</v>
      </c>
      <c r="C40">
        <v>1805395.5078125</v>
      </c>
      <c r="D40">
        <v>14747580.289250763</v>
      </c>
      <c r="E40">
        <v>1.7508016502664435E-5</v>
      </c>
      <c r="F40">
        <v>1.7206182179050892E-5</v>
      </c>
      <c r="G40">
        <v>3.0183432361354271E-7</v>
      </c>
      <c r="H40" t="b">
        <v>0</v>
      </c>
    </row>
    <row r="41" spans="1:8" x14ac:dyDescent="0.15">
      <c r="A41">
        <v>3</v>
      </c>
      <c r="B41">
        <v>13</v>
      </c>
      <c r="C41">
        <v>1803942.87109375</v>
      </c>
      <c r="D41">
        <v>6109473.5650750715</v>
      </c>
      <c r="E41">
        <v>1.7333941568823345E-5</v>
      </c>
      <c r="F41">
        <v>1.7206182179050892E-5</v>
      </c>
      <c r="G41">
        <v>1.2775938977245321E-7</v>
      </c>
      <c r="H41" t="b">
        <v>0</v>
      </c>
    </row>
    <row r="42" spans="1:8" x14ac:dyDescent="0.15">
      <c r="A42">
        <v>3</v>
      </c>
      <c r="B42">
        <v>14</v>
      </c>
      <c r="C42">
        <v>1802742.87109375</v>
      </c>
      <c r="D42">
        <v>-701540.73424679588</v>
      </c>
      <c r="E42">
        <v>1.7191244492786431E-5</v>
      </c>
      <c r="F42">
        <v>1.7206182179050892E-5</v>
      </c>
      <c r="G42">
        <v>-1.4937686264460809E-8</v>
      </c>
      <c r="H42" t="b">
        <v>1</v>
      </c>
    </row>
    <row r="43" spans="1:8" x14ac:dyDescent="0.15">
      <c r="A43">
        <v>3</v>
      </c>
      <c r="B43">
        <v>15</v>
      </c>
      <c r="C43">
        <v>1803342.87109375</v>
      </c>
      <c r="D43">
        <v>2667516.9268583497</v>
      </c>
      <c r="E43">
        <v>1.726246846395868E-5</v>
      </c>
      <c r="F43">
        <v>1.7206182179050892E-5</v>
      </c>
      <c r="G43">
        <v>5.6286284907788506E-8</v>
      </c>
      <c r="H43" t="b">
        <v>0</v>
      </c>
    </row>
    <row r="44" spans="1:8" x14ac:dyDescent="0.15">
      <c r="A44">
        <v>3</v>
      </c>
      <c r="B44">
        <v>16</v>
      </c>
      <c r="C44">
        <v>1803042.87109375</v>
      </c>
      <c r="D44">
        <v>973822.59398237336</v>
      </c>
      <c r="E44">
        <v>1.7226823584072763E-5</v>
      </c>
      <c r="F44">
        <v>1.7206182179050892E-5</v>
      </c>
      <c r="G44">
        <v>2.0641405021871681E-8</v>
      </c>
      <c r="H44" t="b">
        <v>0</v>
      </c>
    </row>
    <row r="45" spans="1:8" x14ac:dyDescent="0.15">
      <c r="A45">
        <v>3</v>
      </c>
      <c r="B45">
        <v>17</v>
      </c>
      <c r="C45">
        <v>1803192.87109375</v>
      </c>
      <c r="D45">
        <v>1818438.1300952577</v>
      </c>
      <c r="E45">
        <v>1.724463914211775E-5</v>
      </c>
      <c r="F45">
        <v>1.7206182179050892E-5</v>
      </c>
      <c r="G45">
        <v>3.8456963066858411E-8</v>
      </c>
      <c r="H45" t="b">
        <v>0</v>
      </c>
    </row>
    <row r="46" spans="1:8" x14ac:dyDescent="0.15">
      <c r="A46">
        <v>4</v>
      </c>
      <c r="B46">
        <v>1</v>
      </c>
      <c r="C46">
        <v>6050000</v>
      </c>
      <c r="D46">
        <v>38841878591492.641</v>
      </c>
      <c r="E46">
        <v>2.7698253311886682E-2</v>
      </c>
      <c r="F46">
        <v>1.1112385813586562E-5</v>
      </c>
      <c r="G46">
        <v>2.7687140926073096E-2</v>
      </c>
      <c r="H46" t="b">
        <v>0</v>
      </c>
    </row>
    <row r="47" spans="1:8" x14ac:dyDescent="0.15">
      <c r="A47">
        <v>4</v>
      </c>
      <c r="B47">
        <v>2</v>
      </c>
      <c r="C47">
        <v>3075000</v>
      </c>
      <c r="D47">
        <v>132481557407.18254</v>
      </c>
      <c r="E47">
        <v>3.2464679179538999E-4</v>
      </c>
      <c r="F47">
        <v>1.1112385813588134E-5</v>
      </c>
      <c r="G47">
        <v>3.1353440598180186E-4</v>
      </c>
      <c r="H47" t="b">
        <v>0</v>
      </c>
    </row>
    <row r="48" spans="1:8" x14ac:dyDescent="0.15">
      <c r="A48">
        <v>4</v>
      </c>
      <c r="B48">
        <v>3</v>
      </c>
      <c r="C48">
        <v>1587500</v>
      </c>
      <c r="D48">
        <v>-481346.86073245067</v>
      </c>
      <c r="E48">
        <v>2.1719244563471083E-6</v>
      </c>
      <c r="F48">
        <v>1.1112385813588113E-5</v>
      </c>
      <c r="G48">
        <v>-8.9404613572410043E-6</v>
      </c>
      <c r="H48" t="b">
        <v>1</v>
      </c>
    </row>
    <row r="49" spans="1:8" x14ac:dyDescent="0.15">
      <c r="A49">
        <v>4</v>
      </c>
      <c r="B49">
        <v>4</v>
      </c>
      <c r="C49">
        <v>2331250</v>
      </c>
      <c r="D49">
        <v>1876492156.3936067</v>
      </c>
      <c r="E49">
        <v>2.444823646821679E-5</v>
      </c>
      <c r="F49">
        <v>1.1112385813588112E-5</v>
      </c>
      <c r="G49">
        <v>1.3335850654628678E-5</v>
      </c>
      <c r="H49" t="b">
        <v>0</v>
      </c>
    </row>
    <row r="50" spans="1:8" x14ac:dyDescent="0.15">
      <c r="A50">
        <v>4</v>
      </c>
      <c r="B50">
        <v>5</v>
      </c>
      <c r="C50">
        <v>1959375</v>
      </c>
      <c r="D50">
        <v>-21282151.718386475</v>
      </c>
      <c r="E50">
        <v>6.9911655021556301E-6</v>
      </c>
      <c r="F50">
        <v>1.1112385813588112E-5</v>
      </c>
      <c r="G50">
        <v>-4.1212203114324816E-6</v>
      </c>
      <c r="H50" t="b">
        <v>1</v>
      </c>
    </row>
    <row r="51" spans="1:8" x14ac:dyDescent="0.15">
      <c r="A51">
        <v>4</v>
      </c>
      <c r="B51">
        <v>6</v>
      </c>
      <c r="C51">
        <v>2145312.5</v>
      </c>
      <c r="D51">
        <v>18998358.631646939</v>
      </c>
      <c r="E51">
        <v>1.1507274206725351E-5</v>
      </c>
      <c r="F51">
        <v>1.1112385813588112E-5</v>
      </c>
      <c r="G51">
        <v>3.9488839313723962E-7</v>
      </c>
      <c r="H51" t="b">
        <v>0</v>
      </c>
    </row>
    <row r="52" spans="1:8" x14ac:dyDescent="0.15">
      <c r="A52">
        <v>4</v>
      </c>
      <c r="B52">
        <v>7</v>
      </c>
      <c r="C52">
        <v>2052343.75</v>
      </c>
      <c r="D52">
        <v>-46828319.425305642</v>
      </c>
      <c r="E52">
        <v>9.0441655491282086E-6</v>
      </c>
      <c r="F52">
        <v>1.1112385813588112E-5</v>
      </c>
      <c r="G52">
        <v>-2.0682202644599031E-6</v>
      </c>
      <c r="H52" t="b">
        <v>1</v>
      </c>
    </row>
    <row r="53" spans="1:8" x14ac:dyDescent="0.15">
      <c r="A53">
        <v>4</v>
      </c>
      <c r="B53">
        <v>8</v>
      </c>
      <c r="C53">
        <v>2098828.125</v>
      </c>
      <c r="D53">
        <v>-30954999.514966495</v>
      </c>
      <c r="E53">
        <v>1.0222504144589895E-5</v>
      </c>
      <c r="F53">
        <v>1.1112385813588112E-5</v>
      </c>
      <c r="G53">
        <v>-8.8988166899821704E-7</v>
      </c>
      <c r="H53" t="b">
        <v>1</v>
      </c>
    </row>
    <row r="54" spans="1:8" x14ac:dyDescent="0.15">
      <c r="A54">
        <v>4</v>
      </c>
      <c r="B54">
        <v>9</v>
      </c>
      <c r="C54">
        <v>2122070.3125</v>
      </c>
      <c r="D54">
        <v>-10786256.614568757</v>
      </c>
      <c r="E54">
        <v>1.0851359788251058E-5</v>
      </c>
      <c r="F54">
        <v>1.1112385813588112E-5</v>
      </c>
      <c r="G54">
        <v>-2.6102602533705345E-7</v>
      </c>
      <c r="H54" t="b">
        <v>1</v>
      </c>
    </row>
    <row r="55" spans="1:8" x14ac:dyDescent="0.15">
      <c r="A55">
        <v>4</v>
      </c>
      <c r="B55">
        <v>10</v>
      </c>
      <c r="C55">
        <v>2133691.40625</v>
      </c>
      <c r="D55">
        <v>2838609.006013508</v>
      </c>
      <c r="E55">
        <v>1.1175907233332222E-5</v>
      </c>
      <c r="F55">
        <v>1.1112385813588112E-5</v>
      </c>
      <c r="G55">
        <v>6.3521419744110174E-8</v>
      </c>
      <c r="H55" t="b">
        <v>0</v>
      </c>
    </row>
    <row r="56" spans="1:8" x14ac:dyDescent="0.15">
      <c r="A56">
        <v>4</v>
      </c>
      <c r="B56">
        <v>11</v>
      </c>
      <c r="C56">
        <v>2127880.859375</v>
      </c>
      <c r="D56">
        <v>-4282571.7519949237</v>
      </c>
      <c r="E56">
        <v>1.1012785182988252E-5</v>
      </c>
      <c r="F56">
        <v>1.1112385813588112E-5</v>
      </c>
      <c r="G56">
        <v>-9.9600630599859231E-8</v>
      </c>
      <c r="H56" t="b">
        <v>1</v>
      </c>
    </row>
    <row r="57" spans="1:8" x14ac:dyDescent="0.15">
      <c r="A57">
        <v>4</v>
      </c>
      <c r="B57">
        <v>12</v>
      </c>
      <c r="C57">
        <v>2130786.1328125</v>
      </c>
      <c r="D57">
        <v>-800175.65748043824</v>
      </c>
      <c r="E57">
        <v>1.1094133873758424E-5</v>
      </c>
      <c r="F57">
        <v>1.1112385813588112E-5</v>
      </c>
      <c r="G57">
        <v>-1.8251939829687976E-8</v>
      </c>
      <c r="H57" t="b">
        <v>1</v>
      </c>
    </row>
    <row r="58" spans="1:8" x14ac:dyDescent="0.15">
      <c r="A58">
        <v>4</v>
      </c>
      <c r="B58">
        <v>13</v>
      </c>
      <c r="C58">
        <v>2132238.76953125</v>
      </c>
      <c r="D58">
        <v>999523.67968119064</v>
      </c>
      <c r="E58">
        <v>1.1134967008053048E-5</v>
      </c>
      <c r="F58">
        <v>1.1112385813588112E-5</v>
      </c>
      <c r="G58">
        <v>2.2581194464936144E-8</v>
      </c>
      <c r="H58" t="b">
        <v>0</v>
      </c>
    </row>
    <row r="59" spans="1:8" x14ac:dyDescent="0.15">
      <c r="A59">
        <v>4</v>
      </c>
      <c r="B59">
        <v>14</v>
      </c>
      <c r="C59">
        <v>2132738.76953125</v>
      </c>
      <c r="D59">
        <v>1628085.3129485738</v>
      </c>
      <c r="E59">
        <v>1.1149046687959183E-5</v>
      </c>
      <c r="F59">
        <v>1.1112385813588112E-5</v>
      </c>
      <c r="G59">
        <v>3.6660874371070899E-8</v>
      </c>
      <c r="H59" t="b">
        <v>0</v>
      </c>
    </row>
    <row r="60" spans="1:8" x14ac:dyDescent="0.15">
      <c r="A60">
        <v>4</v>
      </c>
      <c r="B60">
        <v>15</v>
      </c>
      <c r="C60">
        <v>2133338.76953125</v>
      </c>
      <c r="D60">
        <v>2388528.3009737292</v>
      </c>
      <c r="E60">
        <v>1.1165958944712979E-5</v>
      </c>
      <c r="F60">
        <v>1.1112385813588112E-5</v>
      </c>
      <c r="G60">
        <v>5.3573131124867742E-8</v>
      </c>
      <c r="H60" t="b">
        <v>0</v>
      </c>
    </row>
    <row r="61" spans="1:8" x14ac:dyDescent="0.15">
      <c r="A61">
        <v>4</v>
      </c>
      <c r="B61">
        <v>16</v>
      </c>
      <c r="C61">
        <v>2133038.76953125</v>
      </c>
      <c r="D61">
        <v>2007464.7744327427</v>
      </c>
      <c r="E61">
        <v>1.1157500550784132E-5</v>
      </c>
      <c r="F61">
        <v>1.1112385813588112E-5</v>
      </c>
      <c r="G61">
        <v>4.5114737196020566E-8</v>
      </c>
      <c r="H61" t="b">
        <v>0</v>
      </c>
    </row>
    <row r="62" spans="1:8" x14ac:dyDescent="0.15">
      <c r="A62">
        <v>4</v>
      </c>
      <c r="B62">
        <v>17</v>
      </c>
      <c r="C62">
        <v>2133188.76953125</v>
      </c>
      <c r="D62">
        <v>2197816.1096531102</v>
      </c>
      <c r="E62">
        <v>1.1161729852057597E-5</v>
      </c>
      <c r="F62">
        <v>1.1112385813588112E-5</v>
      </c>
      <c r="G62">
        <v>4.9344038469485349E-8</v>
      </c>
      <c r="H62" t="b">
        <v>0</v>
      </c>
    </row>
    <row r="63" spans="1:8" x14ac:dyDescent="0.15">
      <c r="A63">
        <v>4</v>
      </c>
      <c r="B63">
        <v>18</v>
      </c>
      <c r="C63">
        <v>2133113.76953125</v>
      </c>
      <c r="D63">
        <v>2102572.7670968059</v>
      </c>
      <c r="E63">
        <v>1.1159614726186849E-5</v>
      </c>
      <c r="F63">
        <v>1.1112385813588112E-5</v>
      </c>
      <c r="G63">
        <v>4.7228912598737101E-8</v>
      </c>
      <c r="H63" t="b">
        <v>0</v>
      </c>
    </row>
    <row r="64" spans="1:8" x14ac:dyDescent="0.15">
      <c r="A64">
        <v>4</v>
      </c>
      <c r="B64">
        <v>19</v>
      </c>
      <c r="C64">
        <v>2133151.26953125</v>
      </c>
      <c r="D64">
        <v>2150196.2680550651</v>
      </c>
      <c r="E64">
        <v>1.1160672586839777E-5</v>
      </c>
      <c r="F64">
        <v>1.1112385813588112E-5</v>
      </c>
      <c r="G64">
        <v>4.828677325166557E-8</v>
      </c>
      <c r="H64" t="b">
        <v>0</v>
      </c>
    </row>
    <row r="65" spans="1:8" x14ac:dyDescent="0.15">
      <c r="A65">
        <v>5</v>
      </c>
      <c r="B65">
        <v>1</v>
      </c>
      <c r="C65">
        <v>6050000</v>
      </c>
      <c r="D65">
        <v>24466287419188.52</v>
      </c>
      <c r="E65">
        <v>2.969062764627908E-2</v>
      </c>
      <c r="F65">
        <v>1.5651596188145933E-5</v>
      </c>
      <c r="G65">
        <v>2.9674976050090934E-2</v>
      </c>
      <c r="H65" t="b">
        <v>0</v>
      </c>
    </row>
    <row r="66" spans="1:8" x14ac:dyDescent="0.15">
      <c r="A66">
        <v>5</v>
      </c>
      <c r="B66">
        <v>2</v>
      </c>
      <c r="C66">
        <v>3075000</v>
      </c>
      <c r="D66">
        <v>93131543019.570969</v>
      </c>
      <c r="E66">
        <v>3.8166893451828019E-4</v>
      </c>
      <c r="F66">
        <v>1.5651596188145608E-5</v>
      </c>
      <c r="G66">
        <v>3.6601733833013458E-4</v>
      </c>
      <c r="H66" t="b">
        <v>0</v>
      </c>
    </row>
    <row r="67" spans="1:8" x14ac:dyDescent="0.15">
      <c r="A67">
        <v>5</v>
      </c>
      <c r="B67">
        <v>3</v>
      </c>
      <c r="C67">
        <v>1587500</v>
      </c>
      <c r="D67">
        <v>-375112.60817459621</v>
      </c>
      <c r="E67">
        <v>2.7367212633169633E-6</v>
      </c>
      <c r="F67">
        <v>1.5651596188145608E-5</v>
      </c>
      <c r="G67">
        <v>-1.2914874924828644E-5</v>
      </c>
      <c r="H67" t="b">
        <v>1</v>
      </c>
    </row>
    <row r="68" spans="1:8" x14ac:dyDescent="0.15">
      <c r="A68">
        <v>5</v>
      </c>
      <c r="B68">
        <v>4</v>
      </c>
      <c r="C68">
        <v>2331250</v>
      </c>
      <c r="D68">
        <v>1297226542.911186</v>
      </c>
      <c r="E68">
        <v>3.0616626528288668E-5</v>
      </c>
      <c r="F68">
        <v>1.5651596188145608E-5</v>
      </c>
      <c r="G68">
        <v>1.496503034014306E-5</v>
      </c>
      <c r="H68" t="b">
        <v>0</v>
      </c>
    </row>
    <row r="69" spans="1:8" x14ac:dyDescent="0.15">
      <c r="A69">
        <v>5</v>
      </c>
      <c r="B69">
        <v>5</v>
      </c>
      <c r="C69">
        <v>1959375</v>
      </c>
      <c r="D69">
        <v>-12857019.596219925</v>
      </c>
      <c r="E69">
        <v>8.6902580110973892E-6</v>
      </c>
      <c r="F69">
        <v>1.5651596188145608E-5</v>
      </c>
      <c r="G69">
        <v>-6.9613381770482187E-6</v>
      </c>
      <c r="H69" t="b">
        <v>1</v>
      </c>
    </row>
    <row r="70" spans="1:8" x14ac:dyDescent="0.15">
      <c r="A70">
        <v>5</v>
      </c>
      <c r="B70">
        <v>6</v>
      </c>
      <c r="C70">
        <v>2145312.5</v>
      </c>
      <c r="D70">
        <v>-39132925.665982895</v>
      </c>
      <c r="E70">
        <v>1.4154251846923421E-5</v>
      </c>
      <c r="F70">
        <v>1.5651596188145608E-5</v>
      </c>
      <c r="G70">
        <v>-1.4973443412221868E-6</v>
      </c>
      <c r="H70" t="b">
        <v>1</v>
      </c>
    </row>
    <row r="71" spans="1:8" x14ac:dyDescent="0.15">
      <c r="A71">
        <v>5</v>
      </c>
      <c r="B71">
        <v>7</v>
      </c>
      <c r="C71">
        <v>2238281.25</v>
      </c>
      <c r="D71">
        <v>239509607.5799326</v>
      </c>
      <c r="E71">
        <v>1.9959903883760316E-5</v>
      </c>
      <c r="F71">
        <v>1.5651596188145608E-5</v>
      </c>
      <c r="G71">
        <v>4.3083076956147083E-6</v>
      </c>
      <c r="H71" t="b">
        <v>0</v>
      </c>
    </row>
    <row r="72" spans="1:8" x14ac:dyDescent="0.15">
      <c r="A72">
        <v>5</v>
      </c>
      <c r="B72">
        <v>8</v>
      </c>
      <c r="C72">
        <v>2191796.875</v>
      </c>
      <c r="D72">
        <v>8865921.9596020412</v>
      </c>
      <c r="E72">
        <v>1.5902428608742317E-5</v>
      </c>
      <c r="F72">
        <v>1.5651596188145608E-5</v>
      </c>
      <c r="G72">
        <v>2.5083242059670895E-7</v>
      </c>
      <c r="H72" t="b">
        <v>0</v>
      </c>
    </row>
    <row r="73" spans="1:8" x14ac:dyDescent="0.15">
      <c r="A73">
        <v>5</v>
      </c>
      <c r="B73">
        <v>9</v>
      </c>
      <c r="C73">
        <v>2168554.6875</v>
      </c>
      <c r="D73">
        <v>-20631522.529060844</v>
      </c>
      <c r="E73">
        <v>1.497487814484315E-5</v>
      </c>
      <c r="F73">
        <v>1.5651596188145608E-5</v>
      </c>
      <c r="G73">
        <v>-6.7671804330245782E-7</v>
      </c>
      <c r="H73" t="b">
        <v>1</v>
      </c>
    </row>
    <row r="74" spans="1:8" x14ac:dyDescent="0.15">
      <c r="A74">
        <v>5</v>
      </c>
      <c r="B74">
        <v>10</v>
      </c>
      <c r="C74">
        <v>2180175.78125</v>
      </c>
      <c r="D74">
        <v>-8319603.341371675</v>
      </c>
      <c r="E74">
        <v>1.5397244462660406E-5</v>
      </c>
      <c r="F74">
        <v>1.5651596188145608E-5</v>
      </c>
      <c r="G74">
        <v>-2.5435172548520139E-7</v>
      </c>
      <c r="H74" t="b">
        <v>1</v>
      </c>
    </row>
    <row r="75" spans="1:8" x14ac:dyDescent="0.15">
      <c r="A75">
        <v>5</v>
      </c>
      <c r="B75">
        <v>11</v>
      </c>
      <c r="C75">
        <v>2185986.328125</v>
      </c>
      <c r="D75">
        <v>-1357668.4314397934</v>
      </c>
      <c r="E75">
        <v>1.5611464122252156E-5</v>
      </c>
      <c r="F75">
        <v>1.5651596188145608E-5</v>
      </c>
      <c r="G75">
        <v>-4.0132065893451626E-8</v>
      </c>
      <c r="H75" t="b">
        <v>1</v>
      </c>
    </row>
    <row r="76" spans="1:8" x14ac:dyDescent="0.15">
      <c r="A76">
        <v>5</v>
      </c>
      <c r="B76">
        <v>12</v>
      </c>
      <c r="C76">
        <v>2188891.6015625</v>
      </c>
      <c r="D76">
        <v>2329763.580867162</v>
      </c>
      <c r="E76">
        <v>1.5719335760459156E-5</v>
      </c>
      <c r="F76">
        <v>1.5651596188145608E-5</v>
      </c>
      <c r="G76">
        <v>6.7739572313548071E-8</v>
      </c>
      <c r="H76" t="b">
        <v>0</v>
      </c>
    </row>
    <row r="77" spans="1:8" x14ac:dyDescent="0.15">
      <c r="A77">
        <v>5</v>
      </c>
      <c r="B77">
        <v>13</v>
      </c>
      <c r="C77">
        <v>2187438.96484375</v>
      </c>
      <c r="D77">
        <v>468695.15229420393</v>
      </c>
      <c r="E77">
        <v>1.5665336368458525E-5</v>
      </c>
      <c r="F77">
        <v>1.5651596188145608E-5</v>
      </c>
      <c r="G77">
        <v>1.3740180312916874E-8</v>
      </c>
      <c r="H77" t="b">
        <v>0</v>
      </c>
    </row>
    <row r="78" spans="1:8" x14ac:dyDescent="0.15">
      <c r="A78">
        <v>5</v>
      </c>
      <c r="B78">
        <v>14</v>
      </c>
      <c r="C78">
        <v>2187938.96484375</v>
      </c>
      <c r="D78">
        <v>1105382.7294492093</v>
      </c>
      <c r="E78">
        <v>1.5683909581699865E-5</v>
      </c>
      <c r="F78">
        <v>1.5651596188145608E-5</v>
      </c>
      <c r="G78">
        <v>3.231339355425715E-8</v>
      </c>
      <c r="H78" t="b">
        <v>0</v>
      </c>
    </row>
    <row r="79" spans="1:8" x14ac:dyDescent="0.15">
      <c r="A79">
        <v>5</v>
      </c>
      <c r="B79">
        <v>15</v>
      </c>
      <c r="C79">
        <v>2188538.96484375</v>
      </c>
      <c r="D79">
        <v>1874808.515355946</v>
      </c>
      <c r="E79">
        <v>1.5706216251575669E-5</v>
      </c>
      <c r="F79">
        <v>1.5651596188145608E-5</v>
      </c>
      <c r="G79">
        <v>5.4620063430061404E-8</v>
      </c>
      <c r="H79" t="b">
        <v>0</v>
      </c>
    </row>
    <row r="80" spans="1:8" x14ac:dyDescent="0.15">
      <c r="A80">
        <v>5</v>
      </c>
      <c r="B80">
        <v>16</v>
      </c>
      <c r="C80">
        <v>2189258.96484375</v>
      </c>
      <c r="D80">
        <v>2805936.9954983559</v>
      </c>
      <c r="E80">
        <v>1.5733012077138348E-5</v>
      </c>
      <c r="F80">
        <v>1.5651596188145608E-5</v>
      </c>
      <c r="G80">
        <v>8.14158889927402E-8</v>
      </c>
      <c r="H80" t="b">
        <v>0</v>
      </c>
    </row>
    <row r="81" spans="1:8" x14ac:dyDescent="0.15">
      <c r="A81">
        <v>5</v>
      </c>
      <c r="B81">
        <v>17</v>
      </c>
      <c r="C81">
        <v>2188898.96484375</v>
      </c>
      <c r="D81">
        <v>2339285.8897648081</v>
      </c>
      <c r="E81">
        <v>1.5719609803078167E-5</v>
      </c>
      <c r="F81">
        <v>1.5651596188145608E-5</v>
      </c>
      <c r="G81">
        <v>6.8013614932559206E-8</v>
      </c>
      <c r="H81" t="b">
        <v>0</v>
      </c>
    </row>
    <row r="82" spans="1:8" x14ac:dyDescent="0.15">
      <c r="A82">
        <v>5</v>
      </c>
      <c r="B82">
        <v>18</v>
      </c>
      <c r="C82">
        <v>2188466.96484375</v>
      </c>
      <c r="D82">
        <v>1782165.7820847947</v>
      </c>
      <c r="E82">
        <v>1.5703538361200338E-5</v>
      </c>
      <c r="F82">
        <v>1.5651596188145608E-5</v>
      </c>
      <c r="G82">
        <v>5.194217305473005E-8</v>
      </c>
      <c r="H82" t="b">
        <v>0</v>
      </c>
    </row>
    <row r="83" spans="1:8" x14ac:dyDescent="0.15">
      <c r="A83">
        <v>5</v>
      </c>
      <c r="B83">
        <v>19</v>
      </c>
      <c r="C83">
        <v>2188682.96484375</v>
      </c>
      <c r="D83">
        <v>2060324.2245031523</v>
      </c>
      <c r="E83">
        <v>1.5711572204741786E-5</v>
      </c>
      <c r="F83">
        <v>1.5651596188145608E-5</v>
      </c>
      <c r="G83">
        <v>5.9976016596177879E-8</v>
      </c>
      <c r="H83" t="b">
        <v>0</v>
      </c>
    </row>
    <row r="84" spans="1:8" x14ac:dyDescent="0.15">
      <c r="A84">
        <v>5</v>
      </c>
      <c r="B84">
        <v>20</v>
      </c>
      <c r="C84">
        <v>2188942.1648437502</v>
      </c>
      <c r="D84">
        <v>2395201.5035332823</v>
      </c>
      <c r="E84">
        <v>1.5721218544868316E-5</v>
      </c>
      <c r="F84">
        <v>1.5651596188145608E-5</v>
      </c>
      <c r="G84">
        <v>6.9622356722708344E-8</v>
      </c>
      <c r="H84" t="b">
        <v>0</v>
      </c>
    </row>
    <row r="85" spans="1:8" x14ac:dyDescent="0.15">
      <c r="A85">
        <v>5</v>
      </c>
      <c r="B85">
        <v>21</v>
      </c>
      <c r="C85">
        <v>2188812.5648437501</v>
      </c>
      <c r="D85">
        <v>2227639.2341131847</v>
      </c>
      <c r="E85">
        <v>1.571639530547833E-5</v>
      </c>
      <c r="F85">
        <v>1.5651596188145608E-5</v>
      </c>
      <c r="G85">
        <v>6.479911733272203E-8</v>
      </c>
      <c r="H85" t="b">
        <v>0</v>
      </c>
    </row>
    <row r="86" spans="1:8" x14ac:dyDescent="0.15">
      <c r="A86">
        <v>5</v>
      </c>
      <c r="B86">
        <v>22</v>
      </c>
      <c r="C86">
        <v>2188657.0448437501</v>
      </c>
      <c r="D86">
        <v>2026931.1687318091</v>
      </c>
      <c r="E86">
        <v>1.5710608763372086E-5</v>
      </c>
      <c r="F86">
        <v>1.5651596188145608E-5</v>
      </c>
      <c r="G86">
        <v>5.9012575226478155E-8</v>
      </c>
      <c r="H86" t="b">
        <v>0</v>
      </c>
    </row>
    <row r="87" spans="1:8" x14ac:dyDescent="0.15">
      <c r="A87">
        <v>5</v>
      </c>
      <c r="B87">
        <v>23</v>
      </c>
      <c r="C87">
        <v>2188734.8048437499</v>
      </c>
      <c r="D87">
        <v>2127235.2543389532</v>
      </c>
      <c r="E87">
        <v>1.5713501852144809E-5</v>
      </c>
      <c r="F87">
        <v>1.5651596188145608E-5</v>
      </c>
      <c r="G87">
        <v>6.1905663999200822E-8</v>
      </c>
      <c r="H87" t="b">
        <v>0</v>
      </c>
    </row>
    <row r="88" spans="1:8" x14ac:dyDescent="0.15">
      <c r="A88">
        <v>5</v>
      </c>
      <c r="B88">
        <v>24</v>
      </c>
      <c r="C88">
        <v>2188828.1168437498</v>
      </c>
      <c r="D88">
        <v>2247701.4161589607</v>
      </c>
      <c r="E88">
        <v>1.5716973158492409E-5</v>
      </c>
      <c r="F88">
        <v>1.5651596188145608E-5</v>
      </c>
      <c r="G88">
        <v>6.5376970346801058E-8</v>
      </c>
      <c r="H88" t="b">
        <v>0</v>
      </c>
    </row>
    <row r="89" spans="1:8" x14ac:dyDescent="0.15">
      <c r="A89">
        <v>5</v>
      </c>
      <c r="B89">
        <v>25</v>
      </c>
      <c r="C89">
        <v>2188781.4608437498</v>
      </c>
      <c r="D89">
        <v>2187435.0694962279</v>
      </c>
      <c r="E89">
        <v>1.5715236999108968E-5</v>
      </c>
      <c r="F89">
        <v>1.5651596188145608E-5</v>
      </c>
      <c r="G89">
        <v>6.3640810963360356E-8</v>
      </c>
      <c r="H89" t="b">
        <v>0</v>
      </c>
    </row>
    <row r="90" spans="1:8" x14ac:dyDescent="0.15">
      <c r="A90">
        <v>6</v>
      </c>
      <c r="B90">
        <v>1</v>
      </c>
      <c r="C90">
        <v>6050000</v>
      </c>
      <c r="D90">
        <v>11680875358437.656</v>
      </c>
      <c r="E90">
        <v>2.5113379084126624E-2</v>
      </c>
      <c r="F90">
        <v>2.5072373860596242E-5</v>
      </c>
      <c r="G90">
        <v>2.5088306710266028E-2</v>
      </c>
      <c r="H90" t="b">
        <v>0</v>
      </c>
    </row>
    <row r="91" spans="1:8" x14ac:dyDescent="0.15">
      <c r="A91">
        <v>6</v>
      </c>
      <c r="B91">
        <v>2</v>
      </c>
      <c r="C91">
        <v>3075000</v>
      </c>
      <c r="D91">
        <v>11028493816.537149</v>
      </c>
      <c r="E91">
        <v>1.3331848805744743E-4</v>
      </c>
      <c r="F91">
        <v>2.507237386059753E-5</v>
      </c>
      <c r="G91">
        <v>1.082461141968499E-4</v>
      </c>
      <c r="H91" t="b">
        <v>0</v>
      </c>
    </row>
    <row r="92" spans="1:8" x14ac:dyDescent="0.15">
      <c r="A92">
        <v>6</v>
      </c>
      <c r="B92">
        <v>3</v>
      </c>
      <c r="C92">
        <v>1587500</v>
      </c>
      <c r="D92">
        <v>-78394.551098809432</v>
      </c>
      <c r="E92">
        <v>-9.9131176676142423E-7</v>
      </c>
      <c r="F92">
        <v>2.5072373860597526E-5</v>
      </c>
      <c r="G92">
        <v>-2.6063685627358952E-5</v>
      </c>
      <c r="H92" t="b">
        <v>1</v>
      </c>
    </row>
    <row r="93" spans="1:8" x14ac:dyDescent="0.15">
      <c r="A93">
        <v>6</v>
      </c>
      <c r="B93">
        <v>4</v>
      </c>
      <c r="C93">
        <v>2331250</v>
      </c>
      <c r="D93">
        <v>-2013417.2052304898</v>
      </c>
      <c r="E93">
        <v>9.7861036452970441E-6</v>
      </c>
      <c r="F93">
        <v>2.5072373860597526E-5</v>
      </c>
      <c r="G93">
        <v>-1.5286270215300482E-5</v>
      </c>
      <c r="H93" t="b">
        <v>1</v>
      </c>
    </row>
    <row r="94" spans="1:8" x14ac:dyDescent="0.15">
      <c r="A94">
        <v>6</v>
      </c>
      <c r="B94">
        <v>5</v>
      </c>
      <c r="C94">
        <v>2703125</v>
      </c>
      <c r="D94">
        <v>434664997.44326997</v>
      </c>
      <c r="E94">
        <v>3.3717638947889968E-5</v>
      </c>
      <c r="F94">
        <v>2.5072373860597526E-5</v>
      </c>
      <c r="G94">
        <v>8.6452650872924417E-6</v>
      </c>
      <c r="H94" t="b">
        <v>0</v>
      </c>
    </row>
    <row r="95" spans="1:8" x14ac:dyDescent="0.15">
      <c r="A95">
        <v>6</v>
      </c>
      <c r="B95">
        <v>6</v>
      </c>
      <c r="C95">
        <v>2517187.5</v>
      </c>
      <c r="D95">
        <v>-53554131.804049492</v>
      </c>
      <c r="E95">
        <v>1.556296163152663E-5</v>
      </c>
      <c r="F95">
        <v>2.5072373860597526E-5</v>
      </c>
      <c r="G95">
        <v>-9.509412229070896E-6</v>
      </c>
      <c r="H95" t="b">
        <v>1</v>
      </c>
    </row>
    <row r="96" spans="1:8" x14ac:dyDescent="0.15">
      <c r="A96">
        <v>6</v>
      </c>
      <c r="B96">
        <v>7</v>
      </c>
      <c r="C96">
        <v>2610156.25</v>
      </c>
      <c r="D96">
        <v>-68019768.172927752</v>
      </c>
      <c r="E96">
        <v>2.2542255149065303E-5</v>
      </c>
      <c r="F96">
        <v>2.5072373860597526E-5</v>
      </c>
      <c r="G96">
        <v>-2.5301187115322233E-6</v>
      </c>
      <c r="H96" t="b">
        <v>1</v>
      </c>
    </row>
    <row r="97" spans="1:8" x14ac:dyDescent="0.15">
      <c r="A97">
        <v>6</v>
      </c>
      <c r="B97">
        <v>8</v>
      </c>
      <c r="C97">
        <v>2656640.625</v>
      </c>
      <c r="D97">
        <v>106124349.19129634</v>
      </c>
      <c r="E97">
        <v>2.7664403536323377E-5</v>
      </c>
      <c r="F97">
        <v>2.5072373860597526E-5</v>
      </c>
      <c r="G97">
        <v>2.5920296757258506E-6</v>
      </c>
      <c r="H97" t="b">
        <v>0</v>
      </c>
    </row>
    <row r="98" spans="1:8" x14ac:dyDescent="0.15">
      <c r="A98">
        <v>6</v>
      </c>
      <c r="B98">
        <v>9</v>
      </c>
      <c r="C98">
        <v>2633398.4375</v>
      </c>
      <c r="D98">
        <v>-2646855.0667022462</v>
      </c>
      <c r="E98">
        <v>2.499408712200464E-5</v>
      </c>
      <c r="F98">
        <v>2.5072373860597526E-5</v>
      </c>
      <c r="G98">
        <v>-7.8286738592886344E-8</v>
      </c>
      <c r="H98" t="b">
        <v>1</v>
      </c>
    </row>
    <row r="99" spans="1:8" x14ac:dyDescent="0.15">
      <c r="A99">
        <v>6</v>
      </c>
      <c r="B99">
        <v>10</v>
      </c>
      <c r="C99">
        <v>2645019.53125</v>
      </c>
      <c r="D99">
        <v>45892285.991652437</v>
      </c>
      <c r="E99">
        <v>2.6301017362610045E-5</v>
      </c>
      <c r="F99">
        <v>2.5072373860597526E-5</v>
      </c>
      <c r="G99">
        <v>1.2286435020125192E-6</v>
      </c>
      <c r="H99" t="b">
        <v>0</v>
      </c>
    </row>
    <row r="100" spans="1:8" x14ac:dyDescent="0.15">
      <c r="A100">
        <v>6</v>
      </c>
      <c r="B100">
        <v>11</v>
      </c>
      <c r="C100">
        <v>2639208.984375</v>
      </c>
      <c r="D100">
        <v>20214768.668321088</v>
      </c>
      <c r="E100">
        <v>2.5640609109366303E-5</v>
      </c>
      <c r="F100">
        <v>2.5072373860597526E-5</v>
      </c>
      <c r="G100">
        <v>5.6823524876877714E-7</v>
      </c>
      <c r="H100" t="b">
        <v>0</v>
      </c>
    </row>
    <row r="101" spans="1:8" x14ac:dyDescent="0.15">
      <c r="A101">
        <v>6</v>
      </c>
      <c r="B101">
        <v>12</v>
      </c>
      <c r="C101">
        <v>2636303.7109375</v>
      </c>
      <c r="D101">
        <v>8438578.7488485631</v>
      </c>
      <c r="E101">
        <v>2.5315626349222065E-5</v>
      </c>
      <c r="F101">
        <v>2.5072373860597526E-5</v>
      </c>
      <c r="G101">
        <v>2.4325248862453887E-7</v>
      </c>
      <c r="H101" t="b">
        <v>0</v>
      </c>
    </row>
    <row r="102" spans="1:8" x14ac:dyDescent="0.15">
      <c r="A102">
        <v>6</v>
      </c>
      <c r="B102">
        <v>13</v>
      </c>
      <c r="C102">
        <v>2634851.07421875</v>
      </c>
      <c r="D102">
        <v>2810308.8802540242</v>
      </c>
      <c r="E102">
        <v>2.5154427197707558E-5</v>
      </c>
      <c r="F102">
        <v>2.5072373860597526E-5</v>
      </c>
      <c r="G102">
        <v>8.2053337110031332E-8</v>
      </c>
      <c r="H102" t="b">
        <v>0</v>
      </c>
    </row>
    <row r="103" spans="1:8" x14ac:dyDescent="0.15">
      <c r="A103">
        <v>6</v>
      </c>
      <c r="B103">
        <v>14</v>
      </c>
      <c r="C103">
        <v>2633651.07421875</v>
      </c>
      <c r="D103">
        <v>-1710042.1401291371</v>
      </c>
      <c r="E103">
        <v>2.502190962097739E-5</v>
      </c>
      <c r="F103">
        <v>2.5072373860597526E-5</v>
      </c>
      <c r="G103">
        <v>-5.0464239620135864E-8</v>
      </c>
      <c r="H103" t="b">
        <v>1</v>
      </c>
    </row>
    <row r="104" spans="1:8" x14ac:dyDescent="0.15">
      <c r="A104">
        <v>6</v>
      </c>
      <c r="B104">
        <v>15</v>
      </c>
      <c r="C104">
        <v>2634251.07421875</v>
      </c>
      <c r="D104">
        <v>535608.24811671954</v>
      </c>
      <c r="E104">
        <v>2.50880956327081E-5</v>
      </c>
      <c r="F104">
        <v>2.5072373860597526E-5</v>
      </c>
      <c r="G104">
        <v>1.5721772110573699E-8</v>
      </c>
      <c r="H104" t="b">
        <v>0</v>
      </c>
    </row>
    <row r="105" spans="1:8" x14ac:dyDescent="0.15">
      <c r="A105">
        <v>6</v>
      </c>
      <c r="B105">
        <v>16</v>
      </c>
      <c r="C105">
        <v>2634971.07421875</v>
      </c>
      <c r="D105">
        <v>3268830.9375602505</v>
      </c>
      <c r="E105">
        <v>2.5167713482430443E-5</v>
      </c>
      <c r="F105">
        <v>2.5072373860597526E-5</v>
      </c>
      <c r="G105">
        <v>9.5339621832916515E-8</v>
      </c>
      <c r="H105" t="b">
        <v>0</v>
      </c>
    </row>
    <row r="106" spans="1:8" x14ac:dyDescent="0.15">
      <c r="A106">
        <v>6</v>
      </c>
      <c r="B106">
        <v>17</v>
      </c>
      <c r="C106">
        <v>2634611.07421875</v>
      </c>
      <c r="D106">
        <v>1897008.7697701592</v>
      </c>
      <c r="E106">
        <v>2.5127879231025038E-5</v>
      </c>
      <c r="F106">
        <v>2.5072373860597526E-5</v>
      </c>
      <c r="G106">
        <v>5.5505370427511437E-8</v>
      </c>
      <c r="H106" t="b">
        <v>0</v>
      </c>
    </row>
    <row r="107" spans="1:8" x14ac:dyDescent="0.15">
      <c r="A107">
        <v>6</v>
      </c>
      <c r="B107">
        <v>18</v>
      </c>
      <c r="C107">
        <v>2634791.07421875</v>
      </c>
      <c r="D107">
        <v>2581527.7479995396</v>
      </c>
      <c r="E107">
        <v>2.5147787468672828E-5</v>
      </c>
      <c r="F107">
        <v>2.5072373860597526E-5</v>
      </c>
      <c r="G107">
        <v>7.5413608075301623E-8</v>
      </c>
      <c r="H107" t="b">
        <v>0</v>
      </c>
    </row>
    <row r="108" spans="1:8" x14ac:dyDescent="0.15">
      <c r="A108">
        <v>6</v>
      </c>
      <c r="B108">
        <v>19</v>
      </c>
      <c r="C108">
        <v>2635007.07421875</v>
      </c>
      <c r="D108">
        <v>3406513.3601600202</v>
      </c>
      <c r="E108">
        <v>2.5171697557965326E-5</v>
      </c>
      <c r="F108">
        <v>2.5072373860597526E-5</v>
      </c>
      <c r="G108">
        <v>9.9323697367799423E-8</v>
      </c>
      <c r="H108" t="b">
        <v>0</v>
      </c>
    </row>
    <row r="109" spans="1:8" x14ac:dyDescent="0.15">
      <c r="A109">
        <v>6</v>
      </c>
      <c r="B109">
        <v>20</v>
      </c>
      <c r="C109">
        <v>2634899.07421875</v>
      </c>
      <c r="D109">
        <v>2993619.2850356628</v>
      </c>
      <c r="E109">
        <v>2.5159742219307676E-5</v>
      </c>
      <c r="F109">
        <v>2.5072373860597526E-5</v>
      </c>
      <c r="G109">
        <v>8.7368358710149875E-8</v>
      </c>
      <c r="H109" t="b">
        <v>0</v>
      </c>
    </row>
    <row r="110" spans="1:8" x14ac:dyDescent="0.15">
      <c r="A110">
        <v>6</v>
      </c>
      <c r="B110">
        <v>21</v>
      </c>
      <c r="C110">
        <v>2634769.4742187499</v>
      </c>
      <c r="D110">
        <v>2499237.9438190074</v>
      </c>
      <c r="E110">
        <v>2.5145397523942411E-5</v>
      </c>
      <c r="F110">
        <v>2.5072373860597526E-5</v>
      </c>
      <c r="G110">
        <v>7.3023663344884659E-8</v>
      </c>
      <c r="H110" t="b">
        <v>0</v>
      </c>
    </row>
    <row r="111" spans="1:8" x14ac:dyDescent="0.15">
      <c r="A111">
        <v>6</v>
      </c>
      <c r="B111">
        <v>22</v>
      </c>
      <c r="C111">
        <v>2634834.2742187497</v>
      </c>
      <c r="D111">
        <v>2746296.077385582</v>
      </c>
      <c r="E111">
        <v>2.5152570111708113E-5</v>
      </c>
      <c r="F111">
        <v>2.5072373860597526E-5</v>
      </c>
      <c r="G111">
        <v>8.0196251110586659E-8</v>
      </c>
      <c r="H111" t="b">
        <v>0</v>
      </c>
    </row>
    <row r="112" spans="1:8" x14ac:dyDescent="0.15">
      <c r="A112">
        <v>6</v>
      </c>
      <c r="B112">
        <v>23</v>
      </c>
      <c r="C112">
        <v>2634801.8742187498</v>
      </c>
      <c r="D112">
        <v>2622686.8242223347</v>
      </c>
      <c r="E112">
        <v>2.5148982512052586E-5</v>
      </c>
      <c r="F112">
        <v>2.5072373860597526E-5</v>
      </c>
      <c r="G112">
        <v>7.660865145505953E-8</v>
      </c>
      <c r="H112" t="b">
        <v>0</v>
      </c>
    </row>
    <row r="113" spans="1:8" x14ac:dyDescent="0.15">
      <c r="A113">
        <v>7</v>
      </c>
      <c r="B113">
        <v>1</v>
      </c>
      <c r="C113">
        <v>6050000</v>
      </c>
      <c r="D113">
        <v>27680391015549.035</v>
      </c>
      <c r="E113">
        <v>5.0169937193022589E-2</v>
      </c>
      <c r="F113">
        <v>2.4790074292145581E-5</v>
      </c>
      <c r="G113">
        <v>5.0145147118730443E-2</v>
      </c>
      <c r="H113" t="b">
        <v>0</v>
      </c>
    </row>
    <row r="114" spans="1:8" x14ac:dyDescent="0.15">
      <c r="A114">
        <v>7</v>
      </c>
      <c r="B114">
        <v>2</v>
      </c>
      <c r="C114">
        <v>3075000</v>
      </c>
      <c r="D114">
        <v>47405015107.450302</v>
      </c>
      <c r="E114">
        <v>3.4626724912412599E-4</v>
      </c>
      <c r="F114">
        <v>2.4790074292142708E-5</v>
      </c>
      <c r="G114">
        <v>3.2147717483198328E-4</v>
      </c>
      <c r="H114" t="b">
        <v>0</v>
      </c>
    </row>
    <row r="115" spans="1:8" x14ac:dyDescent="0.15">
      <c r="A115">
        <v>7</v>
      </c>
      <c r="B115">
        <v>3</v>
      </c>
      <c r="C115">
        <v>1587500</v>
      </c>
      <c r="D115">
        <v>-113126.8098546965</v>
      </c>
      <c r="E115">
        <v>9.3799115072875871E-7</v>
      </c>
      <c r="F115">
        <v>2.4790074292142728E-5</v>
      </c>
      <c r="G115">
        <v>-2.3852083141413968E-5</v>
      </c>
      <c r="H115" t="b">
        <v>1</v>
      </c>
    </row>
    <row r="116" spans="1:8" x14ac:dyDescent="0.15">
      <c r="A116">
        <v>7</v>
      </c>
      <c r="B116">
        <v>4</v>
      </c>
      <c r="C116">
        <v>2331250</v>
      </c>
      <c r="D116">
        <v>-96962584.122733265</v>
      </c>
      <c r="E116">
        <v>1.8449246585891699E-5</v>
      </c>
      <c r="F116">
        <v>2.4790074292142728E-5</v>
      </c>
      <c r="G116">
        <v>-6.3408277062510291E-6</v>
      </c>
      <c r="H116" t="b">
        <v>1</v>
      </c>
    </row>
    <row r="117" spans="1:8" x14ac:dyDescent="0.15">
      <c r="A117">
        <v>7</v>
      </c>
      <c r="B117">
        <v>5</v>
      </c>
      <c r="C117">
        <v>2703125</v>
      </c>
      <c r="D117">
        <v>6558504126.2492094</v>
      </c>
      <c r="E117">
        <v>9.696303656915966E-5</v>
      </c>
      <c r="F117">
        <v>2.4790074292142735E-5</v>
      </c>
      <c r="G117">
        <v>7.2172962277016926E-5</v>
      </c>
      <c r="H117" t="b">
        <v>0</v>
      </c>
    </row>
    <row r="118" spans="1:8" x14ac:dyDescent="0.15">
      <c r="A118">
        <v>7</v>
      </c>
      <c r="B118">
        <v>6</v>
      </c>
      <c r="C118">
        <v>2517187.5</v>
      </c>
      <c r="D118">
        <v>1241125916.9486878</v>
      </c>
      <c r="E118">
        <v>4.4873753721824878E-5</v>
      </c>
      <c r="F118">
        <v>2.4790074292142728E-5</v>
      </c>
      <c r="G118">
        <v>2.008367942968215E-5</v>
      </c>
      <c r="H118" t="b">
        <v>0</v>
      </c>
    </row>
    <row r="119" spans="1:8" x14ac:dyDescent="0.15">
      <c r="A119">
        <v>7</v>
      </c>
      <c r="B119">
        <v>7</v>
      </c>
      <c r="C119">
        <v>2424218.75</v>
      </c>
      <c r="D119">
        <v>205778444.68406886</v>
      </c>
      <c r="E119">
        <v>2.9251430923550117E-5</v>
      </c>
      <c r="F119">
        <v>2.4790074292142728E-5</v>
      </c>
      <c r="G119">
        <v>4.4613566314073891E-6</v>
      </c>
      <c r="H119" t="b">
        <v>0</v>
      </c>
    </row>
    <row r="120" spans="1:8" x14ac:dyDescent="0.15">
      <c r="A120">
        <v>7</v>
      </c>
      <c r="B120">
        <v>8</v>
      </c>
      <c r="C120">
        <v>2377734.375</v>
      </c>
      <c r="D120">
        <v>-44011261.009046823</v>
      </c>
      <c r="E120">
        <v>2.3332938213333703E-5</v>
      </c>
      <c r="F120">
        <v>2.4790074292142728E-5</v>
      </c>
      <c r="G120">
        <v>-1.4571360788090247E-6</v>
      </c>
      <c r="H120" t="b">
        <v>1</v>
      </c>
    </row>
    <row r="121" spans="1:8" x14ac:dyDescent="0.15">
      <c r="A121">
        <v>7</v>
      </c>
      <c r="B121">
        <v>9</v>
      </c>
      <c r="C121">
        <v>2400976.5625</v>
      </c>
      <c r="D121">
        <v>52001062.136911996</v>
      </c>
      <c r="E121">
        <v>2.6153481218646967E-5</v>
      </c>
      <c r="F121">
        <v>2.4790074292142728E-5</v>
      </c>
      <c r="G121">
        <v>1.363406926504239E-6</v>
      </c>
      <c r="H121" t="b">
        <v>0</v>
      </c>
    </row>
    <row r="122" spans="1:8" x14ac:dyDescent="0.15">
      <c r="A122">
        <v>7</v>
      </c>
      <c r="B122">
        <v>10</v>
      </c>
      <c r="C122">
        <v>2389355.46875</v>
      </c>
      <c r="D122">
        <v>-2739415.3490763046</v>
      </c>
      <c r="E122">
        <v>2.4709833434151947E-5</v>
      </c>
      <c r="F122">
        <v>2.4790074292142728E-5</v>
      </c>
      <c r="G122">
        <v>-8.0240857990781183E-8</v>
      </c>
      <c r="H122" t="b">
        <v>1</v>
      </c>
    </row>
    <row r="123" spans="1:8" x14ac:dyDescent="0.15">
      <c r="A123">
        <v>7</v>
      </c>
      <c r="B123">
        <v>11</v>
      </c>
      <c r="C123">
        <v>2395166.015625</v>
      </c>
      <c r="D123">
        <v>22882057.096050326</v>
      </c>
      <c r="E123">
        <v>2.5423347889538361E-5</v>
      </c>
      <c r="F123">
        <v>2.4790074292142728E-5</v>
      </c>
      <c r="G123">
        <v>6.3327359739563319E-7</v>
      </c>
      <c r="H123" t="b">
        <v>0</v>
      </c>
    </row>
    <row r="124" spans="1:8" x14ac:dyDescent="0.15">
      <c r="A124">
        <v>7</v>
      </c>
      <c r="B124">
        <v>12</v>
      </c>
      <c r="C124">
        <v>2392260.7421875</v>
      </c>
      <c r="D124">
        <v>9640719.8597211372</v>
      </c>
      <c r="E124">
        <v>2.5064469604653289E-5</v>
      </c>
      <c r="F124">
        <v>2.4790074292142728E-5</v>
      </c>
      <c r="G124">
        <v>2.7439531251056119E-7</v>
      </c>
      <c r="H124" t="b">
        <v>0</v>
      </c>
    </row>
    <row r="125" spans="1:8" x14ac:dyDescent="0.15">
      <c r="A125">
        <v>7</v>
      </c>
      <c r="B125">
        <v>13</v>
      </c>
      <c r="C125">
        <v>2390808.10546875</v>
      </c>
      <c r="D125">
        <v>3344064.3088417146</v>
      </c>
      <c r="E125">
        <v>2.4886621293705656E-5</v>
      </c>
      <c r="F125">
        <v>2.4790074292142728E-5</v>
      </c>
      <c r="G125">
        <v>9.6547001562928331E-8</v>
      </c>
      <c r="H125" t="b">
        <v>0</v>
      </c>
    </row>
    <row r="126" spans="1:8" x14ac:dyDescent="0.15">
      <c r="A126">
        <v>7</v>
      </c>
      <c r="B126">
        <v>14</v>
      </c>
      <c r="C126">
        <v>2389608.10546875</v>
      </c>
      <c r="D126">
        <v>-1696589.8672708382</v>
      </c>
      <c r="E126">
        <v>2.4740504411168189E-5</v>
      </c>
      <c r="F126">
        <v>2.4790074292142728E-5</v>
      </c>
      <c r="G126">
        <v>-4.9569880974538856E-8</v>
      </c>
      <c r="H126" t="b">
        <v>1</v>
      </c>
    </row>
    <row r="127" spans="1:8" x14ac:dyDescent="0.15">
      <c r="A127">
        <v>7</v>
      </c>
      <c r="B127">
        <v>15</v>
      </c>
      <c r="C127">
        <v>2390208.10546875</v>
      </c>
      <c r="D127">
        <v>805609.09025631158</v>
      </c>
      <c r="E127">
        <v>2.4813471841639959E-5</v>
      </c>
      <c r="F127">
        <v>2.4790074292142728E-5</v>
      </c>
      <c r="G127">
        <v>2.3397549497231171E-8</v>
      </c>
      <c r="H127" t="b">
        <v>0</v>
      </c>
    </row>
    <row r="128" spans="1:8" x14ac:dyDescent="0.15">
      <c r="A128">
        <v>7</v>
      </c>
      <c r="B128">
        <v>16</v>
      </c>
      <c r="C128">
        <v>2390928.10546875</v>
      </c>
      <c r="D128">
        <v>3856189.1730258772</v>
      </c>
      <c r="E128">
        <v>2.490127501953672E-5</v>
      </c>
      <c r="F128">
        <v>2.4790074292142728E-5</v>
      </c>
      <c r="G128">
        <v>1.1120072739399196E-7</v>
      </c>
      <c r="H128" t="b">
        <v>0</v>
      </c>
    </row>
    <row r="129" spans="1:8" x14ac:dyDescent="0.15">
      <c r="A129">
        <v>7</v>
      </c>
      <c r="B129">
        <v>17</v>
      </c>
      <c r="C129">
        <v>2390568.10546875</v>
      </c>
      <c r="D129">
        <v>2324407.4623466306</v>
      </c>
      <c r="E129">
        <v>2.4857342136889847E-5</v>
      </c>
      <c r="F129">
        <v>2.4790074292142728E-5</v>
      </c>
      <c r="G129">
        <v>6.7267844747118642E-8</v>
      </c>
      <c r="H129" t="b">
        <v>0</v>
      </c>
    </row>
    <row r="130" spans="1:8" x14ac:dyDescent="0.15">
      <c r="A130">
        <v>7</v>
      </c>
      <c r="B130">
        <v>18</v>
      </c>
      <c r="C130">
        <v>2390748.10546875</v>
      </c>
      <c r="D130">
        <v>3088663.655778606</v>
      </c>
      <c r="E130">
        <v>2.487930047270692E-5</v>
      </c>
      <c r="F130">
        <v>2.4790074292142728E-5</v>
      </c>
      <c r="G130">
        <v>8.9226180564192154E-8</v>
      </c>
      <c r="H130" t="b">
        <v>0</v>
      </c>
    </row>
    <row r="131" spans="1:8" x14ac:dyDescent="0.15">
      <c r="A131">
        <v>7</v>
      </c>
      <c r="B131">
        <v>19</v>
      </c>
      <c r="C131">
        <v>2390658.10546875</v>
      </c>
      <c r="D131">
        <v>2706127.165610746</v>
      </c>
      <c r="E131">
        <v>2.4868319279008498E-5</v>
      </c>
      <c r="F131">
        <v>2.4790074292142728E-5</v>
      </c>
      <c r="G131">
        <v>7.824498686577003E-8</v>
      </c>
      <c r="H131" t="b">
        <v>0</v>
      </c>
    </row>
    <row r="132" spans="1:8" x14ac:dyDescent="0.15">
      <c r="A132">
        <v>7</v>
      </c>
      <c r="B132">
        <v>20</v>
      </c>
      <c r="C132">
        <v>2390550.10546875</v>
      </c>
      <c r="D132">
        <v>2248084.2749779443</v>
      </c>
      <c r="E132">
        <v>2.4855144971369282E-5</v>
      </c>
      <c r="F132">
        <v>2.4790074292142728E-5</v>
      </c>
      <c r="G132">
        <v>6.5070679226553852E-8</v>
      </c>
      <c r="H132" t="b">
        <v>0</v>
      </c>
    </row>
    <row r="133" spans="1:8" x14ac:dyDescent="0.15">
      <c r="A133">
        <v>7</v>
      </c>
      <c r="B133">
        <v>21</v>
      </c>
      <c r="C133">
        <v>2390604.10546875</v>
      </c>
      <c r="D133">
        <v>2476997.3640317838</v>
      </c>
      <c r="E133">
        <v>2.4861732507622739E-5</v>
      </c>
      <c r="F133">
        <v>2.4790074292142728E-5</v>
      </c>
      <c r="G133">
        <v>7.1658215480011273E-8</v>
      </c>
      <c r="H133" t="b">
        <v>0</v>
      </c>
    </row>
    <row r="134" spans="1:8" x14ac:dyDescent="0.15">
      <c r="A134">
        <v>7</v>
      </c>
      <c r="B134">
        <v>22</v>
      </c>
      <c r="C134">
        <v>2390577.10546875</v>
      </c>
      <c r="D134">
        <v>2362542.6927787531</v>
      </c>
      <c r="E134">
        <v>2.485843966881449E-5</v>
      </c>
      <c r="F134">
        <v>2.4790074292142728E-5</v>
      </c>
      <c r="G134">
        <v>6.8365376671762168E-8</v>
      </c>
      <c r="H134" t="b">
        <v>0</v>
      </c>
    </row>
    <row r="135" spans="1:8" x14ac:dyDescent="0.15">
      <c r="A135">
        <v>7</v>
      </c>
      <c r="B135">
        <v>23</v>
      </c>
      <c r="C135">
        <v>2390590.60546875</v>
      </c>
      <c r="D135">
        <v>2419683.5525287311</v>
      </c>
      <c r="E135">
        <v>2.4860083818983037E-5</v>
      </c>
      <c r="F135">
        <v>2.4790074292142728E-5</v>
      </c>
      <c r="G135">
        <v>7.0009526840309415E-8</v>
      </c>
      <c r="H135" t="b">
        <v>0</v>
      </c>
    </row>
    <row r="136" spans="1:8" x14ac:dyDescent="0.15">
      <c r="A136">
        <v>7</v>
      </c>
      <c r="B136">
        <v>24</v>
      </c>
      <c r="C136">
        <v>2390583.85546875</v>
      </c>
      <c r="D136">
        <v>2391149.4724981738</v>
      </c>
      <c r="E136">
        <v>2.4859262844338705E-5</v>
      </c>
      <c r="F136">
        <v>2.4790074292142728E-5</v>
      </c>
      <c r="G136">
        <v>6.918855219597726E-8</v>
      </c>
      <c r="H136" t="b">
        <v>0</v>
      </c>
    </row>
    <row r="137" spans="1:8" x14ac:dyDescent="0.15">
      <c r="A137">
        <v>8</v>
      </c>
      <c r="B137">
        <v>1</v>
      </c>
      <c r="C137">
        <v>6050000</v>
      </c>
      <c r="D137">
        <v>174023685789253.72</v>
      </c>
      <c r="E137">
        <v>0.23318267207791255</v>
      </c>
      <c r="F137">
        <v>2.4970969865617532E-5</v>
      </c>
      <c r="G137">
        <v>0.23315770110804693</v>
      </c>
      <c r="H137" t="b">
        <v>0</v>
      </c>
    </row>
    <row r="138" spans="1:8" x14ac:dyDescent="0.15">
      <c r="A138">
        <v>8</v>
      </c>
      <c r="B138">
        <v>2</v>
      </c>
      <c r="C138">
        <v>3075000</v>
      </c>
      <c r="D138">
        <v>516173312040.40448</v>
      </c>
      <c r="E138">
        <v>2.0760019929909686E-3</v>
      </c>
      <c r="F138">
        <v>2.4970969865607557E-5</v>
      </c>
      <c r="G138">
        <v>2.051031023125361E-3</v>
      </c>
      <c r="H138" t="b">
        <v>0</v>
      </c>
    </row>
    <row r="139" spans="1:8" x14ac:dyDescent="0.15">
      <c r="A139">
        <v>8</v>
      </c>
      <c r="B139">
        <v>3</v>
      </c>
      <c r="C139">
        <v>1587500</v>
      </c>
      <c r="D139">
        <v>-327875.57320339477</v>
      </c>
      <c r="E139">
        <v>5.252047932487889E-6</v>
      </c>
      <c r="F139">
        <v>2.4970969865607584E-5</v>
      </c>
      <c r="G139">
        <v>-1.9718921933119693E-5</v>
      </c>
      <c r="H139" t="b">
        <v>1</v>
      </c>
    </row>
    <row r="140" spans="1:8" x14ac:dyDescent="0.15">
      <c r="A140">
        <v>8</v>
      </c>
      <c r="B140">
        <v>4</v>
      </c>
      <c r="C140">
        <v>2331250</v>
      </c>
      <c r="D140">
        <v>15896214226.871901</v>
      </c>
      <c r="E140">
        <v>1.6685974922855119E-4</v>
      </c>
      <c r="F140">
        <v>2.4970969865607584E-5</v>
      </c>
      <c r="G140">
        <v>1.418887793629436E-4</v>
      </c>
      <c r="H140" t="b">
        <v>0</v>
      </c>
    </row>
    <row r="141" spans="1:8" x14ac:dyDescent="0.15">
      <c r="A141">
        <v>8</v>
      </c>
      <c r="B141">
        <v>5</v>
      </c>
      <c r="C141">
        <v>1959375</v>
      </c>
      <c r="D141">
        <v>-22510088.652273398</v>
      </c>
      <c r="E141">
        <v>2.4271818721379936E-5</v>
      </c>
      <c r="F141">
        <v>2.4970969865607584E-5</v>
      </c>
      <c r="G141">
        <v>-6.9915114422764839E-7</v>
      </c>
      <c r="H141" t="b">
        <v>1</v>
      </c>
    </row>
    <row r="142" spans="1:8" x14ac:dyDescent="0.15">
      <c r="A142">
        <v>8</v>
      </c>
      <c r="B142">
        <v>6</v>
      </c>
      <c r="C142">
        <v>2145312.5</v>
      </c>
      <c r="D142">
        <v>3373926999.6278305</v>
      </c>
      <c r="E142">
        <v>6.8944448758875894E-5</v>
      </c>
      <c r="F142">
        <v>2.4970969865607584E-5</v>
      </c>
      <c r="G142">
        <v>4.397347889326831E-5</v>
      </c>
      <c r="H142" t="b">
        <v>0</v>
      </c>
    </row>
    <row r="143" spans="1:8" x14ac:dyDescent="0.15">
      <c r="A143">
        <v>8</v>
      </c>
      <c r="B143">
        <v>7</v>
      </c>
      <c r="C143">
        <v>2052343.75</v>
      </c>
      <c r="D143">
        <v>986951450.09419429</v>
      </c>
      <c r="E143">
        <v>4.184886419492486E-5</v>
      </c>
      <c r="F143">
        <v>2.4970969865607584E-5</v>
      </c>
      <c r="G143">
        <v>1.6877894329317276E-5</v>
      </c>
      <c r="H143" t="b">
        <v>0</v>
      </c>
    </row>
    <row r="144" spans="1:8" x14ac:dyDescent="0.15">
      <c r="A144">
        <v>8</v>
      </c>
      <c r="B144">
        <v>8</v>
      </c>
      <c r="C144">
        <v>2005859.375</v>
      </c>
      <c r="D144">
        <v>346447765.08878517</v>
      </c>
      <c r="E144">
        <v>3.2064946131624615E-5</v>
      </c>
      <c r="F144">
        <v>2.4970969865607584E-5</v>
      </c>
      <c r="G144">
        <v>7.0939762660170307E-6</v>
      </c>
      <c r="H144" t="b">
        <v>0</v>
      </c>
    </row>
    <row r="145" spans="1:8" x14ac:dyDescent="0.15">
      <c r="A145">
        <v>8</v>
      </c>
      <c r="B145">
        <v>9</v>
      </c>
      <c r="C145">
        <v>1982617.1875</v>
      </c>
      <c r="D145">
        <v>125113773.15690966</v>
      </c>
      <c r="E145">
        <v>2.7942020905863389E-5</v>
      </c>
      <c r="F145">
        <v>2.4970969865607584E-5</v>
      </c>
      <c r="G145">
        <v>2.9710510402558053E-6</v>
      </c>
      <c r="H145" t="b">
        <v>0</v>
      </c>
    </row>
    <row r="146" spans="1:8" x14ac:dyDescent="0.15">
      <c r="A146">
        <v>8</v>
      </c>
      <c r="B146">
        <v>10</v>
      </c>
      <c r="C146">
        <v>1970996.09375</v>
      </c>
      <c r="D146">
        <v>40167010.762971669</v>
      </c>
      <c r="E146">
        <v>2.6053424587540686E-5</v>
      </c>
      <c r="F146">
        <v>2.4970969865607584E-5</v>
      </c>
      <c r="G146">
        <v>1.0824547219331023E-6</v>
      </c>
      <c r="H146" t="b">
        <v>0</v>
      </c>
    </row>
    <row r="147" spans="1:8" x14ac:dyDescent="0.15">
      <c r="A147">
        <v>8</v>
      </c>
      <c r="B147">
        <v>11</v>
      </c>
      <c r="C147">
        <v>1965185.546875</v>
      </c>
      <c r="D147">
        <v>6183807.5046543507</v>
      </c>
      <c r="E147">
        <v>2.5149488421409175E-5</v>
      </c>
      <c r="F147">
        <v>2.4970969865607584E-5</v>
      </c>
      <c r="G147">
        <v>1.7851855580159104E-7</v>
      </c>
      <c r="H147" t="b">
        <v>0</v>
      </c>
    </row>
    <row r="148" spans="1:8" x14ac:dyDescent="0.15">
      <c r="A148">
        <v>8</v>
      </c>
      <c r="B148">
        <v>12</v>
      </c>
      <c r="C148">
        <v>1962280.2734375</v>
      </c>
      <c r="D148">
        <v>-8807756.140266398</v>
      </c>
      <c r="E148">
        <v>2.4707380873231834E-5</v>
      </c>
      <c r="F148">
        <v>2.4970969865607584E-5</v>
      </c>
      <c r="G148">
        <v>-2.6358899237574995E-7</v>
      </c>
      <c r="H148" t="b">
        <v>1</v>
      </c>
    </row>
    <row r="149" spans="1:8" x14ac:dyDescent="0.15">
      <c r="A149">
        <v>8</v>
      </c>
      <c r="B149">
        <v>13</v>
      </c>
      <c r="C149">
        <v>1963732.91015625</v>
      </c>
      <c r="D149">
        <v>-1475404.8087144601</v>
      </c>
      <c r="E149">
        <v>2.4927609219406873E-5</v>
      </c>
      <c r="F149">
        <v>2.4970969865607584E-5</v>
      </c>
      <c r="G149">
        <v>-4.3360646200711286E-8</v>
      </c>
      <c r="H149" t="b">
        <v>1</v>
      </c>
    </row>
    <row r="150" spans="1:8" x14ac:dyDescent="0.15">
      <c r="A150">
        <v>8</v>
      </c>
      <c r="B150">
        <v>14</v>
      </c>
      <c r="C150">
        <v>1964232.91015625</v>
      </c>
      <c r="D150">
        <v>1123865.4579619023</v>
      </c>
      <c r="E150">
        <v>2.5003795670936436E-5</v>
      </c>
      <c r="F150">
        <v>2.4970969865607584E-5</v>
      </c>
      <c r="G150">
        <v>3.2825805328852323E-8</v>
      </c>
      <c r="H150" t="b">
        <v>0</v>
      </c>
    </row>
    <row r="151" spans="1:8" x14ac:dyDescent="0.15">
      <c r="A151">
        <v>8</v>
      </c>
      <c r="B151">
        <v>15</v>
      </c>
      <c r="C151">
        <v>1964832.91015625</v>
      </c>
      <c r="D151">
        <v>4294161.2265349068</v>
      </c>
      <c r="E151">
        <v>2.5095472353849915E-5</v>
      </c>
      <c r="F151">
        <v>2.4970969865607584E-5</v>
      </c>
      <c r="G151">
        <v>1.24502488242331E-7</v>
      </c>
      <c r="H151" t="b">
        <v>0</v>
      </c>
    </row>
    <row r="152" spans="1:8" x14ac:dyDescent="0.15">
      <c r="A152">
        <v>8</v>
      </c>
      <c r="B152">
        <v>16</v>
      </c>
      <c r="C152">
        <v>1964532.91015625</v>
      </c>
      <c r="D152">
        <v>2702032.4954712321</v>
      </c>
      <c r="E152">
        <v>2.5049599884519822E-5</v>
      </c>
      <c r="F152">
        <v>2.4970969865607584E-5</v>
      </c>
      <c r="G152">
        <v>7.8630018912238201E-8</v>
      </c>
      <c r="H152" t="b">
        <v>0</v>
      </c>
    </row>
    <row r="153" spans="1:8" x14ac:dyDescent="0.15">
      <c r="A153">
        <v>8</v>
      </c>
      <c r="B153">
        <v>17</v>
      </c>
      <c r="C153">
        <v>1964172.91015625</v>
      </c>
      <c r="D153">
        <v>809831.42746166838</v>
      </c>
      <c r="E153">
        <v>2.4994640889087495E-5</v>
      </c>
      <c r="F153">
        <v>2.4970969865607584E-5</v>
      </c>
      <c r="G153">
        <v>2.3671023479910979E-8</v>
      </c>
      <c r="H153" t="b">
        <v>0</v>
      </c>
    </row>
    <row r="154" spans="1:8" x14ac:dyDescent="0.15">
      <c r="A154">
        <v>8</v>
      </c>
      <c r="B154">
        <v>18</v>
      </c>
      <c r="C154">
        <v>1964352.91015625</v>
      </c>
      <c r="D154">
        <v>1753368.115183393</v>
      </c>
      <c r="E154">
        <v>2.5022106523988708E-5</v>
      </c>
      <c r="F154">
        <v>2.4970969865607584E-5</v>
      </c>
      <c r="G154">
        <v>5.1136658381124189E-8</v>
      </c>
      <c r="H154" t="b">
        <v>0</v>
      </c>
    </row>
    <row r="155" spans="1:8" x14ac:dyDescent="0.15">
      <c r="A155">
        <v>8</v>
      </c>
      <c r="B155">
        <v>19</v>
      </c>
      <c r="C155">
        <v>1964568.91015625</v>
      </c>
      <c r="D155">
        <v>2892355.0900635025</v>
      </c>
      <c r="E155">
        <v>2.5055101121419591E-5</v>
      </c>
      <c r="F155">
        <v>2.4970969865607584E-5</v>
      </c>
      <c r="G155">
        <v>8.4131255812006599E-8</v>
      </c>
      <c r="H155" t="b">
        <v>0</v>
      </c>
    </row>
    <row r="156" spans="1:8" x14ac:dyDescent="0.15">
      <c r="A156">
        <v>8</v>
      </c>
      <c r="B156">
        <v>20</v>
      </c>
      <c r="C156">
        <v>1964460.91015625</v>
      </c>
      <c r="D156">
        <v>2321993.65721768</v>
      </c>
      <c r="E156">
        <v>2.5038600453185393E-5</v>
      </c>
      <c r="F156">
        <v>2.4970969865607584E-5</v>
      </c>
      <c r="G156">
        <v>6.7630587577808702E-8</v>
      </c>
      <c r="H156" t="b">
        <v>0</v>
      </c>
    </row>
    <row r="157" spans="1:8" x14ac:dyDescent="0.15">
      <c r="A157">
        <v>8</v>
      </c>
      <c r="B157">
        <v>21</v>
      </c>
      <c r="C157">
        <v>1964331.3101562499</v>
      </c>
      <c r="D157">
        <v>1639877.4981967388</v>
      </c>
      <c r="E157">
        <v>2.5018809310391398E-5</v>
      </c>
      <c r="F157">
        <v>2.4970969865607584E-5</v>
      </c>
      <c r="G157">
        <v>4.7839444783813934E-8</v>
      </c>
      <c r="H157" t="b">
        <v>0</v>
      </c>
    </row>
    <row r="158" spans="1:8" x14ac:dyDescent="0.15">
      <c r="A158">
        <v>8</v>
      </c>
      <c r="B158">
        <v>22</v>
      </c>
      <c r="C158">
        <v>1964396.11015625</v>
      </c>
      <c r="D158">
        <v>1980567.3111720087</v>
      </c>
      <c r="E158">
        <v>2.5028702045761533E-5</v>
      </c>
      <c r="F158">
        <v>2.4970969865607584E-5</v>
      </c>
      <c r="G158">
        <v>5.7732180153948815E-8</v>
      </c>
      <c r="H158" t="b">
        <v>0</v>
      </c>
    </row>
    <row r="159" spans="1:8" x14ac:dyDescent="0.15">
      <c r="A159">
        <v>9</v>
      </c>
      <c r="B159">
        <v>1</v>
      </c>
      <c r="C159">
        <v>6050000</v>
      </c>
      <c r="D159">
        <v>61152754702448.25</v>
      </c>
      <c r="E159">
        <v>6.0484179846578258E-2</v>
      </c>
      <c r="F159">
        <v>1.7364204871687938E-5</v>
      </c>
      <c r="G159">
        <v>6.046681564170657E-2</v>
      </c>
      <c r="H159" t="b">
        <v>0</v>
      </c>
    </row>
    <row r="160" spans="1:8" x14ac:dyDescent="0.15">
      <c r="A160">
        <v>9</v>
      </c>
      <c r="B160">
        <v>2</v>
      </c>
      <c r="C160">
        <v>3075000</v>
      </c>
      <c r="D160">
        <v>122863680553.27519</v>
      </c>
      <c r="E160">
        <v>4.4626075043080747E-4</v>
      </c>
      <c r="F160">
        <v>1.7364204871684686E-5</v>
      </c>
      <c r="G160">
        <v>4.2889654555912279E-4</v>
      </c>
      <c r="H160" t="b">
        <v>0</v>
      </c>
    </row>
    <row r="161" spans="1:8" x14ac:dyDescent="0.15">
      <c r="A161">
        <v>9</v>
      </c>
      <c r="B161">
        <v>3</v>
      </c>
      <c r="C161">
        <v>1587500</v>
      </c>
      <c r="D161">
        <v>-164152.6389386084</v>
      </c>
      <c r="E161">
        <v>1.3685631862695858E-6</v>
      </c>
      <c r="F161">
        <v>1.7364204871684689E-5</v>
      </c>
      <c r="G161">
        <v>-1.5995641685415102E-5</v>
      </c>
      <c r="H161" t="b">
        <v>1</v>
      </c>
    </row>
    <row r="162" spans="1:8" x14ac:dyDescent="0.15">
      <c r="A162">
        <v>9</v>
      </c>
      <c r="B162">
        <v>4</v>
      </c>
      <c r="C162">
        <v>2331250</v>
      </c>
      <c r="D162">
        <v>643974471.69805646</v>
      </c>
      <c r="E162">
        <v>2.5204999543820242E-5</v>
      </c>
      <c r="F162">
        <v>1.7364204871684689E-5</v>
      </c>
      <c r="G162">
        <v>7.8407946721355529E-6</v>
      </c>
      <c r="H162" t="b">
        <v>0</v>
      </c>
    </row>
    <row r="163" spans="1:8" x14ac:dyDescent="0.15">
      <c r="A163">
        <v>9</v>
      </c>
      <c r="B163">
        <v>5</v>
      </c>
      <c r="C163">
        <v>1959375</v>
      </c>
      <c r="D163">
        <v>-1572644.5614645467</v>
      </c>
      <c r="E163">
        <v>6.3357446860305041E-6</v>
      </c>
      <c r="F163">
        <v>1.7364204871684689E-5</v>
      </c>
      <c r="G163">
        <v>-1.1028460185654184E-5</v>
      </c>
      <c r="H163" t="b">
        <v>1</v>
      </c>
    </row>
    <row r="164" spans="1:8" x14ac:dyDescent="0.15">
      <c r="A164">
        <v>9</v>
      </c>
      <c r="B164">
        <v>6</v>
      </c>
      <c r="C164">
        <v>2145312.5</v>
      </c>
      <c r="D164">
        <v>-55281605.104654208</v>
      </c>
      <c r="E164">
        <v>1.1257033847162045E-5</v>
      </c>
      <c r="F164">
        <v>1.7364204871684689E-5</v>
      </c>
      <c r="G164">
        <v>-6.1071710245226444E-6</v>
      </c>
      <c r="H164" t="b">
        <v>1</v>
      </c>
    </row>
    <row r="165" spans="1:8" x14ac:dyDescent="0.15">
      <c r="A165">
        <v>9</v>
      </c>
      <c r="B165">
        <v>7</v>
      </c>
      <c r="C165">
        <v>2238281.25</v>
      </c>
      <c r="D165">
        <v>-66645675.753112376</v>
      </c>
      <c r="E165">
        <v>1.5477308488354562E-5</v>
      </c>
      <c r="F165">
        <v>1.7364204871684689E-5</v>
      </c>
      <c r="G165">
        <v>-1.8868963833301266E-6</v>
      </c>
      <c r="H165" t="b">
        <v>1</v>
      </c>
    </row>
    <row r="166" spans="1:8" x14ac:dyDescent="0.15">
      <c r="A166">
        <v>9</v>
      </c>
      <c r="B166">
        <v>8</v>
      </c>
      <c r="C166">
        <v>2284765.625</v>
      </c>
      <c r="D166">
        <v>151125617.21962813</v>
      </c>
      <c r="E166">
        <v>1.9846782374254615E-5</v>
      </c>
      <c r="F166">
        <v>1.7364204871684689E-5</v>
      </c>
      <c r="G166">
        <v>2.4825775025699258E-6</v>
      </c>
      <c r="H166" t="b">
        <v>0</v>
      </c>
    </row>
    <row r="167" spans="1:8" x14ac:dyDescent="0.15">
      <c r="A167">
        <v>9</v>
      </c>
      <c r="B167">
        <v>9</v>
      </c>
      <c r="C167">
        <v>2261523.4375</v>
      </c>
      <c r="D167">
        <v>8781419.4457139354</v>
      </c>
      <c r="E167">
        <v>1.7548014622045767E-5</v>
      </c>
      <c r="F167">
        <v>1.7364204871684689E-5</v>
      </c>
      <c r="G167">
        <v>1.8380975036107812E-7</v>
      </c>
      <c r="H167" t="b">
        <v>0</v>
      </c>
    </row>
    <row r="168" spans="1:8" x14ac:dyDescent="0.15">
      <c r="A168">
        <v>9</v>
      </c>
      <c r="B168">
        <v>10</v>
      </c>
      <c r="C168">
        <v>2249902.34375</v>
      </c>
      <c r="D168">
        <v>-36437305.815904327</v>
      </c>
      <c r="E168">
        <v>1.6485326154795604E-5</v>
      </c>
      <c r="F168">
        <v>1.7364204871684689E-5</v>
      </c>
      <c r="G168">
        <v>-8.7887871688908521E-7</v>
      </c>
      <c r="H168" t="b">
        <v>1</v>
      </c>
    </row>
    <row r="169" spans="1:8" x14ac:dyDescent="0.15">
      <c r="A169">
        <v>9</v>
      </c>
      <c r="B169">
        <v>11</v>
      </c>
      <c r="C169">
        <v>2255712.890625</v>
      </c>
      <c r="D169">
        <v>-15809753.937236341</v>
      </c>
      <c r="E169">
        <v>1.7009692012983998E-5</v>
      </c>
      <c r="F169">
        <v>1.7364204871684689E-5</v>
      </c>
      <c r="G169">
        <v>-3.545128587006915E-7</v>
      </c>
      <c r="H169" t="b">
        <v>1</v>
      </c>
    </row>
    <row r="170" spans="1:8" x14ac:dyDescent="0.15">
      <c r="A170">
        <v>9</v>
      </c>
      <c r="B170">
        <v>12</v>
      </c>
      <c r="C170">
        <v>2258618.1640625</v>
      </c>
      <c r="D170">
        <v>-4022972.5549991708</v>
      </c>
      <c r="E170">
        <v>1.7277089810502877E-5</v>
      </c>
      <c r="F170">
        <v>1.7364204871684689E-5</v>
      </c>
      <c r="G170">
        <v>-8.7115061181812107E-8</v>
      </c>
      <c r="H170" t="b">
        <v>1</v>
      </c>
    </row>
    <row r="171" spans="1:8" x14ac:dyDescent="0.15">
      <c r="A171">
        <v>9</v>
      </c>
      <c r="B171">
        <v>13</v>
      </c>
      <c r="C171">
        <v>2260070.80078125</v>
      </c>
      <c r="D171">
        <v>2250394.4008321026</v>
      </c>
      <c r="E171">
        <v>1.7412110079226552E-5</v>
      </c>
      <c r="F171">
        <v>1.7364204871684689E-5</v>
      </c>
      <c r="G171">
        <v>4.7905207541863005E-8</v>
      </c>
      <c r="H171" t="b">
        <v>0</v>
      </c>
    </row>
    <row r="172" spans="1:8" x14ac:dyDescent="0.15">
      <c r="A172">
        <v>10</v>
      </c>
      <c r="B172">
        <v>1</v>
      </c>
      <c r="C172">
        <v>6050000</v>
      </c>
      <c r="D172">
        <v>225259198325263.94</v>
      </c>
      <c r="E172">
        <v>0.12135457918137466</v>
      </c>
      <c r="F172">
        <v>1.3063760474260611E-5</v>
      </c>
      <c r="G172">
        <v>0.12134151542090039</v>
      </c>
      <c r="H172" t="b">
        <v>0</v>
      </c>
    </row>
    <row r="173" spans="1:8" x14ac:dyDescent="0.15">
      <c r="A173">
        <v>10</v>
      </c>
      <c r="B173">
        <v>2</v>
      </c>
      <c r="C173">
        <v>3075000</v>
      </c>
      <c r="D173">
        <v>632334574971.60168</v>
      </c>
      <c r="E173">
        <v>1.0647763346013103E-3</v>
      </c>
      <c r="F173">
        <v>1.3063760474261044E-5</v>
      </c>
      <c r="G173">
        <v>1.0517125741270493E-3</v>
      </c>
      <c r="H173" t="b">
        <v>0</v>
      </c>
    </row>
    <row r="174" spans="1:8" x14ac:dyDescent="0.15">
      <c r="A174">
        <v>10</v>
      </c>
      <c r="B174">
        <v>3</v>
      </c>
      <c r="C174">
        <v>1587500</v>
      </c>
      <c r="D174">
        <v>-364251.95234702999</v>
      </c>
      <c r="E174">
        <v>2.5100155383887605E-6</v>
      </c>
      <c r="F174">
        <v>1.3063760474261146E-5</v>
      </c>
      <c r="G174">
        <v>-1.0553744935872386E-5</v>
      </c>
      <c r="H174" t="b">
        <v>1</v>
      </c>
    </row>
    <row r="175" spans="1:8" x14ac:dyDescent="0.15">
      <c r="A175">
        <v>10</v>
      </c>
      <c r="B175">
        <v>4</v>
      </c>
      <c r="C175">
        <v>2331250</v>
      </c>
      <c r="D175">
        <v>13964895812.744812</v>
      </c>
      <c r="E175">
        <v>7.1620820791083059E-5</v>
      </c>
      <c r="F175">
        <v>1.3063760474261146E-5</v>
      </c>
      <c r="G175">
        <v>5.8557060316821913E-5</v>
      </c>
      <c r="H175" t="b">
        <v>0</v>
      </c>
    </row>
    <row r="176" spans="1:8" x14ac:dyDescent="0.15">
      <c r="A176">
        <v>10</v>
      </c>
      <c r="B176">
        <v>5</v>
      </c>
      <c r="C176">
        <v>1959375</v>
      </c>
      <c r="D176">
        <v>-82820626.637077972</v>
      </c>
      <c r="E176">
        <v>1.0305247320659063E-5</v>
      </c>
      <c r="F176">
        <v>1.3063760474261146E-5</v>
      </c>
      <c r="G176">
        <v>-2.7585131536020826E-6</v>
      </c>
      <c r="H176" t="b">
        <v>1</v>
      </c>
    </row>
    <row r="177" spans="1:8" x14ac:dyDescent="0.15">
      <c r="A177">
        <v>10</v>
      </c>
      <c r="B177">
        <v>6</v>
      </c>
      <c r="C177">
        <v>2145312.5</v>
      </c>
      <c r="D177">
        <v>2186518977.8019485</v>
      </c>
      <c r="E177">
        <v>2.7666719785740755E-5</v>
      </c>
      <c r="F177">
        <v>1.3063760474261146E-5</v>
      </c>
      <c r="G177">
        <v>1.4602959311479609E-5</v>
      </c>
      <c r="H177" t="b">
        <v>0</v>
      </c>
    </row>
    <row r="178" spans="1:8" x14ac:dyDescent="0.15">
      <c r="A178">
        <v>10</v>
      </c>
      <c r="B178">
        <v>7</v>
      </c>
      <c r="C178">
        <v>2052343.75</v>
      </c>
      <c r="D178">
        <v>286446323.30263871</v>
      </c>
      <c r="E178">
        <v>1.6156064886176607E-5</v>
      </c>
      <c r="F178">
        <v>1.3063760474261146E-5</v>
      </c>
      <c r="G178">
        <v>3.0923044119154614E-6</v>
      </c>
      <c r="H178" t="b">
        <v>0</v>
      </c>
    </row>
    <row r="179" spans="1:8" x14ac:dyDescent="0.15">
      <c r="A179">
        <v>10</v>
      </c>
      <c r="B179">
        <v>8</v>
      </c>
      <c r="C179">
        <v>2005859.375</v>
      </c>
      <c r="D179">
        <v>-47332362.197433069</v>
      </c>
      <c r="E179">
        <v>1.2123841459714389E-5</v>
      </c>
      <c r="F179">
        <v>1.3063760474261146E-5</v>
      </c>
      <c r="G179">
        <v>-9.3991901454675705E-7</v>
      </c>
      <c r="H179" t="b">
        <v>1</v>
      </c>
    </row>
    <row r="180" spans="1:8" x14ac:dyDescent="0.15">
      <c r="A180">
        <v>10</v>
      </c>
      <c r="B180">
        <v>9</v>
      </c>
      <c r="C180">
        <v>2029101.5625</v>
      </c>
      <c r="D180">
        <v>67540980.043760911</v>
      </c>
      <c r="E180">
        <v>1.4017745118438138E-5</v>
      </c>
      <c r="F180">
        <v>1.3063760474261146E-5</v>
      </c>
      <c r="G180">
        <v>9.5398464417699207E-7</v>
      </c>
      <c r="H180" t="b">
        <v>0</v>
      </c>
    </row>
    <row r="181" spans="1:8" x14ac:dyDescent="0.15">
      <c r="A181">
        <v>10</v>
      </c>
      <c r="B181">
        <v>10</v>
      </c>
      <c r="C181">
        <v>2017480.46875</v>
      </c>
      <c r="D181">
        <v>-1331253.5749180035</v>
      </c>
      <c r="E181">
        <v>1.3041715399831517E-5</v>
      </c>
      <c r="F181">
        <v>1.3063760474261146E-5</v>
      </c>
      <c r="G181">
        <v>-2.2045074429629286E-8</v>
      </c>
      <c r="H181" t="b">
        <v>1</v>
      </c>
    </row>
    <row r="182" spans="1:8" x14ac:dyDescent="0.15">
      <c r="A182">
        <v>10</v>
      </c>
      <c r="B182">
        <v>11</v>
      </c>
      <c r="C182">
        <v>2023291.015625</v>
      </c>
      <c r="D182">
        <v>30055198.628782701</v>
      </c>
      <c r="E182">
        <v>1.3522281334617973E-5</v>
      </c>
      <c r="F182">
        <v>1.3063760474261146E-5</v>
      </c>
      <c r="G182">
        <v>4.5852086035682682E-7</v>
      </c>
      <c r="H182" t="b">
        <v>0</v>
      </c>
    </row>
    <row r="183" spans="1:8" x14ac:dyDescent="0.15">
      <c r="A183">
        <v>10</v>
      </c>
      <c r="B183">
        <v>12</v>
      </c>
      <c r="C183">
        <v>2020385.7421875</v>
      </c>
      <c r="D183">
        <v>13623614.518040136</v>
      </c>
      <c r="E183">
        <v>1.3280158062510334E-5</v>
      </c>
      <c r="F183">
        <v>1.3063760474261146E-5</v>
      </c>
      <c r="G183">
        <v>2.1639758824918808E-7</v>
      </c>
      <c r="H183" t="b">
        <v>0</v>
      </c>
    </row>
    <row r="184" spans="1:8" x14ac:dyDescent="0.15">
      <c r="A184">
        <v>10</v>
      </c>
      <c r="B184">
        <v>13</v>
      </c>
      <c r="C184">
        <v>2018933.10546875</v>
      </c>
      <c r="D184">
        <v>5964677.094596277</v>
      </c>
      <c r="E184">
        <v>1.3160481010836796E-5</v>
      </c>
      <c r="F184">
        <v>1.3063760474261146E-5</v>
      </c>
      <c r="G184">
        <v>9.6720536575649752E-8</v>
      </c>
      <c r="H184" t="b">
        <v>0</v>
      </c>
    </row>
    <row r="185" spans="1:8" x14ac:dyDescent="0.15">
      <c r="A185">
        <v>10</v>
      </c>
      <c r="B185">
        <v>14</v>
      </c>
      <c r="C185">
        <v>2017733.10546875</v>
      </c>
      <c r="D185">
        <v>-88217.73385008928</v>
      </c>
      <c r="E185">
        <v>1.3062304981746452E-5</v>
      </c>
      <c r="F185">
        <v>1.3063760474261146E-5</v>
      </c>
      <c r="G185">
        <v>-1.4554925146934494E-9</v>
      </c>
      <c r="H185" t="b">
        <v>1</v>
      </c>
    </row>
    <row r="186" spans="1:8" x14ac:dyDescent="0.15">
      <c r="A186">
        <v>10</v>
      </c>
      <c r="B186">
        <v>15</v>
      </c>
      <c r="C186">
        <v>2018333.10546875</v>
      </c>
      <c r="D186">
        <v>2907418.0395110529</v>
      </c>
      <c r="E186">
        <v>1.3111314548737577E-5</v>
      </c>
      <c r="F186">
        <v>1.3063760474261146E-5</v>
      </c>
      <c r="G186">
        <v>4.7554074476430867E-8</v>
      </c>
      <c r="H186" t="b">
        <v>0</v>
      </c>
    </row>
    <row r="187" spans="1:8" x14ac:dyDescent="0.15">
      <c r="A187">
        <v>10</v>
      </c>
      <c r="B187">
        <v>16</v>
      </c>
      <c r="C187">
        <v>2018033.10546875</v>
      </c>
      <c r="D187">
        <v>1401933.8730136803</v>
      </c>
      <c r="E187">
        <v>1.3086790344689098E-5</v>
      </c>
      <c r="F187">
        <v>1.3063760474261146E-5</v>
      </c>
      <c r="G187">
        <v>2.302987042795214E-8</v>
      </c>
      <c r="H187" t="b">
        <v>0</v>
      </c>
    </row>
    <row r="188" spans="1:8" x14ac:dyDescent="0.15">
      <c r="A188">
        <v>10</v>
      </c>
      <c r="B188">
        <v>17</v>
      </c>
      <c r="C188">
        <v>2018183.10546875</v>
      </c>
      <c r="D188">
        <v>2152837.5051965788</v>
      </c>
      <c r="E188">
        <v>1.3099048914321222E-5</v>
      </c>
      <c r="F188">
        <v>1.3063760474261146E-5</v>
      </c>
      <c r="G188">
        <v>3.5288440060075705E-8</v>
      </c>
      <c r="H188" t="b">
        <v>0</v>
      </c>
    </row>
    <row r="189" spans="1:8" x14ac:dyDescent="0.15">
      <c r="A189">
        <v>10</v>
      </c>
      <c r="B189">
        <v>18</v>
      </c>
      <c r="C189">
        <v>2018108.10546875</v>
      </c>
      <c r="D189">
        <v>1776946.6169026385</v>
      </c>
      <c r="E189">
        <v>1.309291907758997E-5</v>
      </c>
      <c r="F189">
        <v>1.3063760474261146E-5</v>
      </c>
      <c r="G189">
        <v>2.9158603328823635E-8</v>
      </c>
      <c r="H189" t="b">
        <v>0</v>
      </c>
    </row>
    <row r="190" spans="1:8" x14ac:dyDescent="0.15">
      <c r="A190">
        <v>10</v>
      </c>
      <c r="B190">
        <v>19</v>
      </c>
      <c r="C190">
        <v>2018145.60546875</v>
      </c>
      <c r="D190">
        <v>1964690.8398754925</v>
      </c>
      <c r="E190">
        <v>1.3095982366855293E-5</v>
      </c>
      <c r="F190">
        <v>1.3063760474261146E-5</v>
      </c>
      <c r="G190">
        <v>3.2221892594146696E-8</v>
      </c>
      <c r="H190" t="b">
        <v>0</v>
      </c>
    </row>
    <row r="191" spans="1:8" x14ac:dyDescent="0.15">
      <c r="A191">
        <v>10</v>
      </c>
      <c r="B191">
        <v>20</v>
      </c>
      <c r="C191">
        <v>2018190.60546875</v>
      </c>
      <c r="D191">
        <v>2190397.9643165465</v>
      </c>
      <c r="E191">
        <v>1.3099660705675202E-5</v>
      </c>
      <c r="F191">
        <v>1.3063760474261146E-5</v>
      </c>
      <c r="G191">
        <v>3.590023141405558E-8</v>
      </c>
      <c r="H191" t="b">
        <v>0</v>
      </c>
    </row>
    <row r="192" spans="1:8" x14ac:dyDescent="0.15">
      <c r="A192">
        <v>10</v>
      </c>
      <c r="B192">
        <v>21</v>
      </c>
      <c r="C192">
        <v>2018168.10546875</v>
      </c>
      <c r="D192">
        <v>2077501.2130607595</v>
      </c>
      <c r="E192">
        <v>1.3097821426962432E-5</v>
      </c>
      <c r="F192">
        <v>1.3063760474261146E-5</v>
      </c>
      <c r="G192">
        <v>3.4060952701285723E-8</v>
      </c>
      <c r="H192" t="b">
        <v>0</v>
      </c>
    </row>
    <row r="193" spans="1:8" x14ac:dyDescent="0.15">
      <c r="A193">
        <v>10</v>
      </c>
      <c r="B193">
        <v>22</v>
      </c>
      <c r="C193">
        <v>2018141.10546875</v>
      </c>
      <c r="D193">
        <v>1942220.3978996363</v>
      </c>
      <c r="E193">
        <v>1.3095615906533842E-5</v>
      </c>
      <c r="F193">
        <v>1.3063760474261146E-5</v>
      </c>
      <c r="G193">
        <v>3.1855432272696085E-8</v>
      </c>
      <c r="H193" t="b">
        <v>0</v>
      </c>
    </row>
    <row r="194" spans="1:8" x14ac:dyDescent="0.15">
      <c r="A194">
        <v>10</v>
      </c>
      <c r="B194">
        <v>23</v>
      </c>
      <c r="C194">
        <v>2018154.60546875</v>
      </c>
      <c r="D194">
        <v>2009885.9332805101</v>
      </c>
      <c r="E194">
        <v>1.3096719290254965E-5</v>
      </c>
      <c r="F194">
        <v>1.3063760474261146E-5</v>
      </c>
      <c r="G194">
        <v>3.2958815993819245E-8</v>
      </c>
      <c r="H194" t="b">
        <v>0</v>
      </c>
    </row>
    <row r="195" spans="1:8" x14ac:dyDescent="0.15">
      <c r="A195">
        <v>11</v>
      </c>
      <c r="B195">
        <v>1</v>
      </c>
      <c r="C195">
        <v>6050000</v>
      </c>
      <c r="D195">
        <v>738572751276687.88</v>
      </c>
      <c r="E195">
        <v>0.31144635802329224</v>
      </c>
      <c r="F195">
        <v>1.2413154456936137E-5</v>
      </c>
      <c r="G195">
        <v>0.3114339448688353</v>
      </c>
      <c r="H195" t="b">
        <v>0</v>
      </c>
    </row>
    <row r="196" spans="1:8" x14ac:dyDescent="0.15">
      <c r="A196">
        <v>11</v>
      </c>
      <c r="B196">
        <v>2</v>
      </c>
      <c r="C196">
        <v>3075000</v>
      </c>
      <c r="D196">
        <v>2793140127541.9619</v>
      </c>
      <c r="E196">
        <v>3.2303024957472358E-3</v>
      </c>
      <c r="F196">
        <v>1.2413154456919658E-5</v>
      </c>
      <c r="G196">
        <v>3.2178893412903161E-3</v>
      </c>
      <c r="H196" t="b">
        <v>0</v>
      </c>
    </row>
    <row r="197" spans="1:8" x14ac:dyDescent="0.15">
      <c r="A197">
        <v>11</v>
      </c>
      <c r="B197">
        <v>3</v>
      </c>
      <c r="C197">
        <v>1587500</v>
      </c>
      <c r="D197">
        <v>-8015199.9599185819</v>
      </c>
      <c r="E197">
        <v>6.1671318693208511E-6</v>
      </c>
      <c r="F197">
        <v>1.2413154456919507E-5</v>
      </c>
      <c r="G197">
        <v>-6.2460225875986557E-6</v>
      </c>
      <c r="H197" t="b">
        <v>1</v>
      </c>
    </row>
    <row r="198" spans="1:8" x14ac:dyDescent="0.15">
      <c r="A198">
        <v>11</v>
      </c>
      <c r="B198">
        <v>4</v>
      </c>
      <c r="C198">
        <v>2331250</v>
      </c>
      <c r="D198">
        <v>116460073134.65605</v>
      </c>
      <c r="E198">
        <v>2.8591282785108118E-4</v>
      </c>
      <c r="F198">
        <v>1.2413154456919495E-5</v>
      </c>
      <c r="G198">
        <v>2.7349967339416169E-4</v>
      </c>
      <c r="H198" t="b">
        <v>0</v>
      </c>
    </row>
    <row r="199" spans="1:8" x14ac:dyDescent="0.15">
      <c r="A199">
        <v>11</v>
      </c>
      <c r="B199">
        <v>5</v>
      </c>
      <c r="C199">
        <v>1959375</v>
      </c>
      <c r="D199">
        <v>6732823259.1270199</v>
      </c>
      <c r="E199">
        <v>4.5011571670465042E-5</v>
      </c>
      <c r="F199">
        <v>1.2413154456919508E-5</v>
      </c>
      <c r="G199">
        <v>3.2598417213545533E-5</v>
      </c>
      <c r="H199" t="b">
        <v>0</v>
      </c>
    </row>
    <row r="200" spans="1:8" x14ac:dyDescent="0.15">
      <c r="A200">
        <v>11</v>
      </c>
      <c r="B200">
        <v>6</v>
      </c>
      <c r="C200">
        <v>1773437.5</v>
      </c>
      <c r="D200">
        <v>82004920.587063372</v>
      </c>
      <c r="E200">
        <v>1.3527371807665044E-5</v>
      </c>
      <c r="F200">
        <v>1.2413154456919507E-5</v>
      </c>
      <c r="G200">
        <v>1.1142173507455371E-6</v>
      </c>
      <c r="H200" t="b">
        <v>0</v>
      </c>
    </row>
    <row r="201" spans="1:8" x14ac:dyDescent="0.15">
      <c r="A201">
        <v>11</v>
      </c>
      <c r="B201">
        <v>7</v>
      </c>
      <c r="C201">
        <v>1680468.75</v>
      </c>
      <c r="D201">
        <v>-68320200.398114204</v>
      </c>
      <c r="E201">
        <v>8.9414002484268221E-6</v>
      </c>
      <c r="F201">
        <v>1.2413154456919507E-5</v>
      </c>
      <c r="G201">
        <v>-3.4717542084926846E-6</v>
      </c>
      <c r="H201" t="b">
        <v>1</v>
      </c>
    </row>
    <row r="202" spans="1:8" x14ac:dyDescent="0.15">
      <c r="A202">
        <v>11</v>
      </c>
      <c r="B202">
        <v>8</v>
      </c>
      <c r="C202">
        <v>1726953.125</v>
      </c>
      <c r="D202">
        <v>-70854787.121357337</v>
      </c>
      <c r="E202">
        <v>1.0628960403827128E-5</v>
      </c>
      <c r="F202">
        <v>1.2413154456919507E-5</v>
      </c>
      <c r="G202">
        <v>-1.7841940530923784E-6</v>
      </c>
      <c r="H202" t="b">
        <v>1</v>
      </c>
    </row>
    <row r="203" spans="1:8" x14ac:dyDescent="0.15">
      <c r="A203">
        <v>11</v>
      </c>
      <c r="B203">
        <v>9</v>
      </c>
      <c r="C203">
        <v>1750195.3125</v>
      </c>
      <c r="D203">
        <v>-43594515.942585409</v>
      </c>
      <c r="E203">
        <v>1.1554113058210514E-5</v>
      </c>
      <c r="F203">
        <v>1.2413154456919507E-5</v>
      </c>
      <c r="G203">
        <v>-8.5904139870899303E-7</v>
      </c>
      <c r="H203" t="b">
        <v>1</v>
      </c>
    </row>
    <row r="204" spans="1:8" x14ac:dyDescent="0.15">
      <c r="A204">
        <v>11</v>
      </c>
      <c r="B204">
        <v>10</v>
      </c>
      <c r="C204">
        <v>1761816.40625</v>
      </c>
      <c r="D204">
        <v>2032540.5447429637</v>
      </c>
      <c r="E204">
        <v>1.2446356403264244E-5</v>
      </c>
      <c r="F204">
        <v>1.2413154456919507E-5</v>
      </c>
      <c r="G204">
        <v>3.3201946344737352E-8</v>
      </c>
      <c r="H204" t="b">
        <v>0</v>
      </c>
    </row>
    <row r="205" spans="1:8" x14ac:dyDescent="0.15">
      <c r="A205">
        <v>11</v>
      </c>
      <c r="B205">
        <v>11</v>
      </c>
      <c r="C205">
        <v>1756005.859375</v>
      </c>
      <c r="D205">
        <v>-26467927.256869461</v>
      </c>
      <c r="E205">
        <v>1.193392010341433E-5</v>
      </c>
      <c r="F205">
        <v>1.2413154456919507E-5</v>
      </c>
      <c r="G205">
        <v>-4.7923435350517722E-7</v>
      </c>
      <c r="H205" t="b">
        <v>1</v>
      </c>
    </row>
    <row r="206" spans="1:8" x14ac:dyDescent="0.15">
      <c r="A206">
        <v>11</v>
      </c>
      <c r="B206">
        <v>12</v>
      </c>
      <c r="C206">
        <v>1758911.1328125</v>
      </c>
      <c r="D206">
        <v>-13113818.83180186</v>
      </c>
      <c r="E206">
        <v>1.2187853534894425E-5</v>
      </c>
      <c r="F206">
        <v>1.2413154456919507E-5</v>
      </c>
      <c r="G206">
        <v>-2.2530092202508143E-7</v>
      </c>
      <c r="H206" t="b">
        <v>1</v>
      </c>
    </row>
    <row r="207" spans="1:8" x14ac:dyDescent="0.15">
      <c r="A207">
        <v>11</v>
      </c>
      <c r="B207">
        <v>13</v>
      </c>
      <c r="C207">
        <v>1760363.76953125</v>
      </c>
      <c r="D207">
        <v>-5769234.3310105279</v>
      </c>
      <c r="E207">
        <v>1.2316529142669368E-5</v>
      </c>
      <c r="F207">
        <v>1.2413154456919507E-5</v>
      </c>
      <c r="G207">
        <v>-9.6625314250138339E-8</v>
      </c>
      <c r="H207" t="b">
        <v>1</v>
      </c>
    </row>
    <row r="208" spans="1:8" x14ac:dyDescent="0.15">
      <c r="A208">
        <v>11</v>
      </c>
      <c r="B208">
        <v>14</v>
      </c>
      <c r="C208">
        <v>1760863.76953125</v>
      </c>
      <c r="D208">
        <v>-3135847.1902987389</v>
      </c>
      <c r="E208">
        <v>1.2361086575306722E-5</v>
      </c>
      <c r="F208">
        <v>1.2413154456919507E-5</v>
      </c>
      <c r="G208">
        <v>-5.2067881612784879E-8</v>
      </c>
      <c r="H208" t="b">
        <v>1</v>
      </c>
    </row>
    <row r="209" spans="1:8" x14ac:dyDescent="0.15">
      <c r="A209">
        <v>11</v>
      </c>
      <c r="B209">
        <v>15</v>
      </c>
      <c r="C209">
        <v>1761363.76953125</v>
      </c>
      <c r="D209">
        <v>-448016.13334920269</v>
      </c>
      <c r="E209">
        <v>1.2405779220603099E-5</v>
      </c>
      <c r="F209">
        <v>1.2413154456919507E-5</v>
      </c>
      <c r="G209">
        <v>-7.3752363164079736E-9</v>
      </c>
      <c r="H209" t="b">
        <v>1</v>
      </c>
    </row>
    <row r="210" spans="1:8" x14ac:dyDescent="0.15">
      <c r="A210">
        <v>11</v>
      </c>
      <c r="B210">
        <v>16</v>
      </c>
      <c r="C210">
        <v>1761863.76953125</v>
      </c>
      <c r="D210">
        <v>2294626.7128039855</v>
      </c>
      <c r="E210">
        <v>1.245060742738663E-5</v>
      </c>
      <c r="F210">
        <v>1.2413154456919507E-5</v>
      </c>
      <c r="G210">
        <v>3.7452970467122929E-8</v>
      </c>
      <c r="H210" t="b">
        <v>0</v>
      </c>
    </row>
    <row r="211" spans="1:8" x14ac:dyDescent="0.15">
      <c r="A211">
        <v>11</v>
      </c>
      <c r="B211">
        <v>17</v>
      </c>
      <c r="C211">
        <v>1761613.76953125</v>
      </c>
      <c r="D211">
        <v>916377.1138372384</v>
      </c>
      <c r="E211">
        <v>1.2428175479491884E-5</v>
      </c>
      <c r="F211">
        <v>1.2413154456919507E-5</v>
      </c>
      <c r="G211">
        <v>1.5021022572377524E-8</v>
      </c>
      <c r="H211" t="b">
        <v>0</v>
      </c>
    </row>
    <row r="212" spans="1:8" x14ac:dyDescent="0.15">
      <c r="A212">
        <v>11</v>
      </c>
      <c r="B212">
        <v>18</v>
      </c>
      <c r="C212">
        <v>1761738.76953125</v>
      </c>
      <c r="D212">
        <v>1603777.6359236899</v>
      </c>
      <c r="E212">
        <v>1.2439387165641127E-5</v>
      </c>
      <c r="F212">
        <v>1.2413154456919507E-5</v>
      </c>
      <c r="G212">
        <v>2.623270872162074E-8</v>
      </c>
      <c r="H212" t="b">
        <v>0</v>
      </c>
    </row>
    <row r="213" spans="1:8" x14ac:dyDescent="0.15">
      <c r="A213">
        <v>11</v>
      </c>
      <c r="B213">
        <v>19</v>
      </c>
      <c r="C213">
        <v>1761888.76953125</v>
      </c>
      <c r="D213">
        <v>2433298.1476530326</v>
      </c>
      <c r="E213">
        <v>1.245285392263787E-5</v>
      </c>
      <c r="F213">
        <v>1.2413154456919507E-5</v>
      </c>
      <c r="G213">
        <v>3.9699465718363438E-8</v>
      </c>
      <c r="H213" t="b">
        <v>0</v>
      </c>
    </row>
    <row r="214" spans="1:8" x14ac:dyDescent="0.15">
      <c r="A214">
        <v>11</v>
      </c>
      <c r="B214">
        <v>20</v>
      </c>
      <c r="C214">
        <v>1761813.76953125</v>
      </c>
      <c r="D214">
        <v>2017959.8935668792</v>
      </c>
      <c r="E214">
        <v>1.2446119705840129E-5</v>
      </c>
      <c r="F214">
        <v>1.2413154456919507E-5</v>
      </c>
      <c r="G214">
        <v>3.2965248920621983E-8</v>
      </c>
      <c r="H214" t="b">
        <v>0</v>
      </c>
    </row>
    <row r="215" spans="1:8" x14ac:dyDescent="0.15">
      <c r="A215">
        <v>11</v>
      </c>
      <c r="B215">
        <v>21</v>
      </c>
      <c r="C215">
        <v>1761723.76953125</v>
      </c>
      <c r="D215">
        <v>1521107.6041914378</v>
      </c>
      <c r="E215">
        <v>1.2438041310614968E-5</v>
      </c>
      <c r="F215">
        <v>1.2413154456919507E-5</v>
      </c>
      <c r="G215">
        <v>2.4886853695461509E-8</v>
      </c>
      <c r="H215" t="b">
        <v>0</v>
      </c>
    </row>
    <row r="216" spans="1:8" x14ac:dyDescent="0.15">
      <c r="A216">
        <v>11</v>
      </c>
      <c r="B216">
        <v>22</v>
      </c>
      <c r="C216">
        <v>1761768.76953125</v>
      </c>
      <c r="D216">
        <v>1769266.6868605493</v>
      </c>
      <c r="E216">
        <v>1.244207924616607E-5</v>
      </c>
      <c r="F216">
        <v>1.2413154456919507E-5</v>
      </c>
      <c r="G216">
        <v>2.892478924656354E-8</v>
      </c>
      <c r="H216" t="b">
        <v>0</v>
      </c>
    </row>
    <row r="217" spans="1:8" x14ac:dyDescent="0.15">
      <c r="A217">
        <v>12</v>
      </c>
      <c r="B217">
        <v>1</v>
      </c>
      <c r="C217">
        <v>6050000</v>
      </c>
      <c r="D217">
        <v>1.0454462351569522E+16</v>
      </c>
      <c r="E217">
        <v>3.1521109647164041</v>
      </c>
      <c r="F217">
        <v>1.3101817863514498E-5</v>
      </c>
      <c r="G217">
        <v>3.1520978628985405</v>
      </c>
      <c r="H217" t="b">
        <v>0</v>
      </c>
    </row>
    <row r="218" spans="1:8" x14ac:dyDescent="0.15">
      <c r="A218">
        <v>12</v>
      </c>
      <c r="B218">
        <v>2</v>
      </c>
      <c r="C218">
        <v>3075000</v>
      </c>
      <c r="D218">
        <v>154941471724886.56</v>
      </c>
      <c r="E218">
        <v>8.9398761458651443E-2</v>
      </c>
      <c r="F218">
        <v>1.3101817863403475E-5</v>
      </c>
      <c r="G218">
        <v>8.938565964078804E-2</v>
      </c>
      <c r="H218" t="b">
        <v>0</v>
      </c>
    </row>
    <row r="219" spans="1:8" x14ac:dyDescent="0.15">
      <c r="A219">
        <v>12</v>
      </c>
      <c r="B219">
        <v>3</v>
      </c>
      <c r="C219">
        <v>1587500</v>
      </c>
      <c r="D219">
        <v>237481469430.90451</v>
      </c>
      <c r="E219">
        <v>5.0960373919541069E-4</v>
      </c>
      <c r="F219">
        <v>1.3101817863397729E-5</v>
      </c>
      <c r="G219">
        <v>4.9650192133201296E-4</v>
      </c>
      <c r="H219" t="b">
        <v>0</v>
      </c>
    </row>
    <row r="220" spans="1:8" x14ac:dyDescent="0.15">
      <c r="A220">
        <v>12</v>
      </c>
      <c r="B220">
        <v>4</v>
      </c>
      <c r="C220">
        <v>843750</v>
      </c>
      <c r="D220">
        <v>-195751.71195466662</v>
      </c>
      <c r="E220">
        <v>1.1941661171174893E-6</v>
      </c>
      <c r="F220">
        <v>1.3101817863397777E-5</v>
      </c>
      <c r="G220">
        <v>-1.1907651746280288E-5</v>
      </c>
      <c r="H220" t="b">
        <v>1</v>
      </c>
    </row>
    <row r="221" spans="1:8" x14ac:dyDescent="0.15">
      <c r="A221">
        <v>12</v>
      </c>
      <c r="B221">
        <v>5</v>
      </c>
      <c r="C221">
        <v>1215625</v>
      </c>
      <c r="D221">
        <v>1688661290.1557572</v>
      </c>
      <c r="E221">
        <v>2.5144656108812776E-5</v>
      </c>
      <c r="F221">
        <v>1.3101817863397777E-5</v>
      </c>
      <c r="G221">
        <v>1.2042838245414999E-5</v>
      </c>
      <c r="H221" t="b">
        <v>0</v>
      </c>
    </row>
    <row r="222" spans="1:8" x14ac:dyDescent="0.15">
      <c r="A222">
        <v>12</v>
      </c>
      <c r="B222">
        <v>6</v>
      </c>
      <c r="C222">
        <v>1029687.5</v>
      </c>
      <c r="D222">
        <v>-3585056.8613436022</v>
      </c>
      <c r="E222">
        <v>5.6534737930080107E-6</v>
      </c>
      <c r="F222">
        <v>1.3101817863397777E-5</v>
      </c>
      <c r="G222">
        <v>-7.4483440703897659E-6</v>
      </c>
      <c r="H222" t="b">
        <v>1</v>
      </c>
    </row>
    <row r="223" spans="1:8" x14ac:dyDescent="0.15">
      <c r="A223">
        <v>12</v>
      </c>
      <c r="B223">
        <v>7</v>
      </c>
      <c r="C223">
        <v>1122656.25</v>
      </c>
      <c r="D223">
        <v>-82172698.00770323</v>
      </c>
      <c r="E223">
        <v>1.0222484664365708E-5</v>
      </c>
      <c r="F223">
        <v>1.3101817863397777E-5</v>
      </c>
      <c r="G223">
        <v>-2.8793331990320682E-6</v>
      </c>
      <c r="H223" t="b">
        <v>1</v>
      </c>
    </row>
    <row r="224" spans="1:8" x14ac:dyDescent="0.15">
      <c r="A224">
        <v>12</v>
      </c>
      <c r="B224">
        <v>8</v>
      </c>
      <c r="C224">
        <v>1169140.625</v>
      </c>
      <c r="D224">
        <v>169315776.8024534</v>
      </c>
      <c r="E224">
        <v>1.5174049508901958E-5</v>
      </c>
      <c r="F224">
        <v>1.3101817863397777E-5</v>
      </c>
      <c r="G224">
        <v>2.0722316455041817E-6</v>
      </c>
      <c r="H224" t="b">
        <v>0</v>
      </c>
    </row>
    <row r="225" spans="1:8" x14ac:dyDescent="0.15">
      <c r="A225">
        <v>12</v>
      </c>
      <c r="B225">
        <v>9</v>
      </c>
      <c r="C225">
        <v>1145898.4375</v>
      </c>
      <c r="D225">
        <v>-62900359.526856557</v>
      </c>
      <c r="E225">
        <v>1.1702977984307022E-5</v>
      </c>
      <c r="F225">
        <v>1.3101817863397777E-5</v>
      </c>
      <c r="G225">
        <v>-1.3988398790907549E-6</v>
      </c>
      <c r="H225" t="b">
        <v>1</v>
      </c>
    </row>
    <row r="226" spans="1:8" x14ac:dyDescent="0.15">
      <c r="A226">
        <v>12</v>
      </c>
      <c r="B226">
        <v>10</v>
      </c>
      <c r="C226">
        <v>1157519.53125</v>
      </c>
      <c r="D226">
        <v>11794152.716794023</v>
      </c>
      <c r="E226">
        <v>1.3291466471925696E-5</v>
      </c>
      <c r="F226">
        <v>1.3101817863397777E-5</v>
      </c>
      <c r="G226">
        <v>1.896486085279192E-7</v>
      </c>
      <c r="H226" t="b">
        <v>0</v>
      </c>
    </row>
    <row r="227" spans="1:8" x14ac:dyDescent="0.15">
      <c r="A227">
        <v>12</v>
      </c>
      <c r="B227">
        <v>11</v>
      </c>
      <c r="C227">
        <v>1151708.984375</v>
      </c>
      <c r="D227">
        <v>-35666185.308362745</v>
      </c>
      <c r="E227">
        <v>1.2427587838850965E-5</v>
      </c>
      <c r="F227">
        <v>1.3101817863397777E-5</v>
      </c>
      <c r="G227">
        <v>-6.7423002454681133E-7</v>
      </c>
      <c r="H227" t="b">
        <v>1</v>
      </c>
    </row>
    <row r="228" spans="1:8" x14ac:dyDescent="0.15">
      <c r="A228">
        <v>12</v>
      </c>
      <c r="B228">
        <v>12</v>
      </c>
      <c r="C228">
        <v>1154614.2578125</v>
      </c>
      <c r="D228">
        <v>-14288924.076027501</v>
      </c>
      <c r="E228">
        <v>1.2853324794957257E-5</v>
      </c>
      <c r="F228">
        <v>1.3101817863397777E-5</v>
      </c>
      <c r="G228">
        <v>-2.484930684405199E-7</v>
      </c>
      <c r="H228" t="b">
        <v>1</v>
      </c>
    </row>
    <row r="229" spans="1:8" x14ac:dyDescent="0.15">
      <c r="A229">
        <v>12</v>
      </c>
      <c r="B229">
        <v>13</v>
      </c>
      <c r="C229">
        <v>1156066.89453125</v>
      </c>
      <c r="D229">
        <v>-1854489.9017829208</v>
      </c>
      <c r="E229">
        <v>1.3070824799501947E-5</v>
      </c>
      <c r="F229">
        <v>1.3101817863397777E-5</v>
      </c>
      <c r="G229">
        <v>-3.0993063895829809E-8</v>
      </c>
      <c r="H229" t="b">
        <v>1</v>
      </c>
    </row>
    <row r="230" spans="1:8" x14ac:dyDescent="0.15">
      <c r="A230">
        <v>12</v>
      </c>
      <c r="B230">
        <v>14</v>
      </c>
      <c r="C230">
        <v>1156566.89453125</v>
      </c>
      <c r="D230">
        <v>2704541.3210847019</v>
      </c>
      <c r="E230">
        <v>1.3146415192677921E-5</v>
      </c>
      <c r="F230">
        <v>1.3101817863397777E-5</v>
      </c>
      <c r="G230">
        <v>4.4597329280144621E-8</v>
      </c>
      <c r="H230" t="b">
        <v>0</v>
      </c>
    </row>
    <row r="231" spans="1:8" x14ac:dyDescent="0.15">
      <c r="A231">
        <v>12</v>
      </c>
      <c r="B231">
        <v>15</v>
      </c>
      <c r="C231">
        <v>1156316.89453125</v>
      </c>
      <c r="D231">
        <v>407004.696074309</v>
      </c>
      <c r="E231">
        <v>1.3108574326322539E-5</v>
      </c>
      <c r="F231">
        <v>1.3101817863397777E-5</v>
      </c>
      <c r="G231">
        <v>6.7564629247621096E-9</v>
      </c>
      <c r="H231" t="b">
        <v>0</v>
      </c>
    </row>
    <row r="232" spans="1:8" x14ac:dyDescent="0.15">
      <c r="A232">
        <v>12</v>
      </c>
      <c r="B232">
        <v>16</v>
      </c>
      <c r="C232">
        <v>1156441.89453125</v>
      </c>
      <c r="D232">
        <v>1551242.3665311248</v>
      </c>
      <c r="E232">
        <v>1.3127483106040423E-5</v>
      </c>
      <c r="F232">
        <v>1.3101817863397777E-5</v>
      </c>
      <c r="G232">
        <v>2.5665242642646798E-8</v>
      </c>
      <c r="H232" t="b">
        <v>0</v>
      </c>
    </row>
    <row r="233" spans="1:8" x14ac:dyDescent="0.15">
      <c r="A233">
        <v>12</v>
      </c>
      <c r="B233">
        <v>17</v>
      </c>
      <c r="C233">
        <v>1156379.39453125</v>
      </c>
      <c r="D233">
        <v>977883.38819553738</v>
      </c>
      <c r="E233">
        <v>1.3118024003220646E-5</v>
      </c>
      <c r="F233">
        <v>1.3101817863397777E-5</v>
      </c>
      <c r="G233">
        <v>1.620613982286909E-8</v>
      </c>
      <c r="H233" t="b">
        <v>0</v>
      </c>
    </row>
    <row r="234" spans="1:8" x14ac:dyDescent="0.15">
      <c r="A234">
        <v>12</v>
      </c>
      <c r="B234">
        <v>18</v>
      </c>
      <c r="C234">
        <v>1156410.64453125</v>
      </c>
      <c r="D234">
        <v>1264334.3947231204</v>
      </c>
      <c r="E234">
        <v>1.3122753727002292E-5</v>
      </c>
      <c r="F234">
        <v>1.3101817863397777E-5</v>
      </c>
      <c r="G234">
        <v>2.0935863604515823E-8</v>
      </c>
      <c r="H234" t="b">
        <v>0</v>
      </c>
    </row>
    <row r="235" spans="1:8" x14ac:dyDescent="0.15">
      <c r="A235">
        <v>12</v>
      </c>
      <c r="B235">
        <v>19</v>
      </c>
      <c r="C235">
        <v>1156395.01953125</v>
      </c>
      <c r="D235">
        <v>1121092.6650177434</v>
      </c>
      <c r="E235">
        <v>1.3120389583625254E-5</v>
      </c>
      <c r="F235">
        <v>1.3101817863397777E-5</v>
      </c>
      <c r="G235">
        <v>1.8571720227477507E-8</v>
      </c>
      <c r="H235" t="b">
        <v>0</v>
      </c>
    </row>
    <row r="236" spans="1:8" x14ac:dyDescent="0.15">
      <c r="A236">
        <v>12</v>
      </c>
      <c r="B236">
        <v>20</v>
      </c>
      <c r="C236">
        <v>1156402.83203125</v>
      </c>
      <c r="D236">
        <v>1192586.6913564678</v>
      </c>
      <c r="E236">
        <v>1.3121569808243018E-5</v>
      </c>
      <c r="F236">
        <v>1.3101817863397777E-5</v>
      </c>
      <c r="G236">
        <v>1.9751944845241008E-8</v>
      </c>
      <c r="H236" t="b">
        <v>0</v>
      </c>
    </row>
    <row r="237" spans="1:8" x14ac:dyDescent="0.15">
      <c r="A237">
        <v>12</v>
      </c>
      <c r="B237">
        <v>21</v>
      </c>
      <c r="C237">
        <v>1156398.92578125</v>
      </c>
      <c r="D237">
        <v>1156780.7079237681</v>
      </c>
      <c r="E237">
        <v>1.3120978783860063E-5</v>
      </c>
      <c r="F237">
        <v>1.3101817863397777E-5</v>
      </c>
      <c r="G237">
        <v>1.9160920462286306E-8</v>
      </c>
      <c r="H237" t="b">
        <v>0</v>
      </c>
    </row>
    <row r="238" spans="1:8" x14ac:dyDescent="0.15">
      <c r="A238">
        <v>13</v>
      </c>
      <c r="B238">
        <v>1</v>
      </c>
      <c r="C238">
        <v>6050000</v>
      </c>
      <c r="D238">
        <v>143552325977488.94</v>
      </c>
      <c r="E238">
        <v>5.3174931559047671E-2</v>
      </c>
      <c r="F238">
        <v>8.1029219269959651E-6</v>
      </c>
      <c r="G238">
        <v>5.3166828637120675E-2</v>
      </c>
      <c r="H238" t="b">
        <v>0</v>
      </c>
    </row>
    <row r="239" spans="1:8" x14ac:dyDescent="0.15">
      <c r="A239">
        <v>13</v>
      </c>
      <c r="B239">
        <v>2</v>
      </c>
      <c r="C239">
        <v>3075000</v>
      </c>
      <c r="D239">
        <v>458811053375.0813</v>
      </c>
      <c r="E239">
        <v>5.4932763048478835E-4</v>
      </c>
      <c r="F239">
        <v>8.1029219269966157E-6</v>
      </c>
      <c r="G239">
        <v>5.4122470855779174E-4</v>
      </c>
      <c r="H239" t="b">
        <v>0</v>
      </c>
    </row>
    <row r="240" spans="1:8" x14ac:dyDescent="0.15">
      <c r="A240">
        <v>13</v>
      </c>
      <c r="B240">
        <v>3</v>
      </c>
      <c r="C240">
        <v>1587500</v>
      </c>
      <c r="D240">
        <v>-1068365.1067859693</v>
      </c>
      <c r="E240">
        <v>2.4211009715871766E-6</v>
      </c>
      <c r="F240">
        <v>8.1029219269965852E-6</v>
      </c>
      <c r="G240">
        <v>-5.6818209554094086E-6</v>
      </c>
      <c r="H240" t="b">
        <v>1</v>
      </c>
    </row>
    <row r="241" spans="1:8" x14ac:dyDescent="0.15">
      <c r="A241">
        <v>13</v>
      </c>
      <c r="B241">
        <v>4</v>
      </c>
      <c r="C241">
        <v>2331250</v>
      </c>
      <c r="D241">
        <v>11202896559.592703</v>
      </c>
      <c r="E241">
        <v>4.2210081741064686E-5</v>
      </c>
      <c r="F241">
        <v>8.1029219269965886E-6</v>
      </c>
      <c r="G241">
        <v>3.4107159814068098E-5</v>
      </c>
      <c r="H241" t="b">
        <v>0</v>
      </c>
    </row>
    <row r="242" spans="1:8" x14ac:dyDescent="0.15">
      <c r="A242">
        <v>13</v>
      </c>
      <c r="B242">
        <v>5</v>
      </c>
      <c r="C242">
        <v>1959375</v>
      </c>
      <c r="D242">
        <v>11096029.402846869</v>
      </c>
      <c r="E242">
        <v>8.2893839772865932E-6</v>
      </c>
      <c r="F242">
        <v>8.1029219269965852E-6</v>
      </c>
      <c r="G242">
        <v>1.86462050290008E-7</v>
      </c>
      <c r="H242" t="b">
        <v>0</v>
      </c>
    </row>
    <row r="243" spans="1:8" x14ac:dyDescent="0.15">
      <c r="A243">
        <v>13</v>
      </c>
      <c r="B243">
        <v>6</v>
      </c>
      <c r="C243">
        <v>1773437.5</v>
      </c>
      <c r="D243">
        <v>-11444228.800166342</v>
      </c>
      <c r="E243">
        <v>4.633288763297806E-6</v>
      </c>
      <c r="F243">
        <v>8.1029219269965852E-6</v>
      </c>
      <c r="G243">
        <v>-3.4696331636987792E-6</v>
      </c>
      <c r="H243" t="b">
        <v>1</v>
      </c>
    </row>
    <row r="244" spans="1:8" x14ac:dyDescent="0.15">
      <c r="A244">
        <v>13</v>
      </c>
      <c r="B244">
        <v>7</v>
      </c>
      <c r="C244">
        <v>1866406.25</v>
      </c>
      <c r="D244">
        <v>-38748638.180745348</v>
      </c>
      <c r="E244">
        <v>6.257298112766277E-6</v>
      </c>
      <c r="F244">
        <v>8.1029219269965852E-6</v>
      </c>
      <c r="G244">
        <v>-1.8456238142303082E-6</v>
      </c>
      <c r="H244" t="b">
        <v>1</v>
      </c>
    </row>
    <row r="245" spans="1:8" x14ac:dyDescent="0.15">
      <c r="A245">
        <v>13</v>
      </c>
      <c r="B245">
        <v>8</v>
      </c>
      <c r="C245">
        <v>1912890.625</v>
      </c>
      <c r="D245">
        <v>-34209167.791402638</v>
      </c>
      <c r="E245">
        <v>7.2197057625694264E-6</v>
      </c>
      <c r="F245">
        <v>8.1029219269965852E-6</v>
      </c>
      <c r="G245">
        <v>-8.8321616442715877E-7</v>
      </c>
      <c r="H245" t="b">
        <v>1</v>
      </c>
    </row>
    <row r="246" spans="1:8" x14ac:dyDescent="0.15">
      <c r="A246">
        <v>13</v>
      </c>
      <c r="B246">
        <v>9</v>
      </c>
      <c r="C246">
        <v>1936132.8125</v>
      </c>
      <c r="D246">
        <v>-17666242.316056956</v>
      </c>
      <c r="E246">
        <v>7.7409320641027605E-6</v>
      </c>
      <c r="F246">
        <v>8.1029219269965852E-6</v>
      </c>
      <c r="G246">
        <v>-3.6198986289382469E-7</v>
      </c>
      <c r="H246" t="b">
        <v>1</v>
      </c>
    </row>
    <row r="247" spans="1:8" x14ac:dyDescent="0.15">
      <c r="A247">
        <v>13</v>
      </c>
      <c r="B247">
        <v>10</v>
      </c>
      <c r="C247">
        <v>1947753.90625</v>
      </c>
      <c r="D247">
        <v>-4926048.5230547758</v>
      </c>
      <c r="E247">
        <v>8.0118417532979441E-6</v>
      </c>
      <c r="F247">
        <v>8.1029219269965852E-6</v>
      </c>
      <c r="G247">
        <v>-9.1080173698641071E-8</v>
      </c>
      <c r="H247" t="b">
        <v>1</v>
      </c>
    </row>
    <row r="248" spans="1:8" x14ac:dyDescent="0.15">
      <c r="A248">
        <v>13</v>
      </c>
      <c r="B248">
        <v>11</v>
      </c>
      <c r="C248">
        <v>1953564.453125</v>
      </c>
      <c r="D248">
        <v>2660852.1963799773</v>
      </c>
      <c r="E248">
        <v>8.149784799075584E-6</v>
      </c>
      <c r="F248">
        <v>8.1029219269965852E-6</v>
      </c>
      <c r="G248">
        <v>4.6862872078998872E-8</v>
      </c>
      <c r="H248" t="b">
        <v>0</v>
      </c>
    </row>
    <row r="249" spans="1:8" x14ac:dyDescent="0.15">
      <c r="A249">
        <v>13</v>
      </c>
      <c r="B249">
        <v>12</v>
      </c>
      <c r="C249">
        <v>1950659.1796875</v>
      </c>
      <c r="D249">
        <v>-1234975.5180857694</v>
      </c>
      <c r="E249">
        <v>8.0806414120152661E-6</v>
      </c>
      <c r="F249">
        <v>8.1029219269965852E-6</v>
      </c>
      <c r="G249">
        <v>-2.2280514981319033E-8</v>
      </c>
      <c r="H249" t="b">
        <v>1</v>
      </c>
    </row>
    <row r="250" spans="1:8" x14ac:dyDescent="0.15">
      <c r="A250">
        <v>13</v>
      </c>
      <c r="B250">
        <v>13</v>
      </c>
      <c r="C250">
        <v>1952111.81640625</v>
      </c>
      <c r="D250">
        <v>686538.79375845019</v>
      </c>
      <c r="E250">
        <v>8.1151590620013694E-6</v>
      </c>
      <c r="F250">
        <v>8.1029219269965852E-6</v>
      </c>
      <c r="G250">
        <v>1.2237135004784246E-8</v>
      </c>
      <c r="H250" t="b">
        <v>0</v>
      </c>
    </row>
    <row r="251" spans="1:8" x14ac:dyDescent="0.15">
      <c r="A251">
        <v>13</v>
      </c>
      <c r="B251">
        <v>14</v>
      </c>
      <c r="C251">
        <v>1952611.81640625</v>
      </c>
      <c r="D251">
        <v>1360121.8308612138</v>
      </c>
      <c r="E251">
        <v>8.1270651507610816E-6</v>
      </c>
      <c r="F251">
        <v>8.1029219269965852E-6</v>
      </c>
      <c r="G251">
        <v>2.4143223764496464E-8</v>
      </c>
      <c r="H251" t="b">
        <v>0</v>
      </c>
    </row>
    <row r="252" spans="1:8" x14ac:dyDescent="0.15">
      <c r="A252">
        <v>13</v>
      </c>
      <c r="B252">
        <v>15</v>
      </c>
      <c r="C252">
        <v>1953211.81640625</v>
      </c>
      <c r="D252">
        <v>2176713.7645782158</v>
      </c>
      <c r="E252">
        <v>8.1413695227222682E-6</v>
      </c>
      <c r="F252">
        <v>8.1029219269965852E-6</v>
      </c>
      <c r="G252">
        <v>3.8447595725683078E-8</v>
      </c>
      <c r="H252" t="b">
        <v>0</v>
      </c>
    </row>
    <row r="253" spans="1:8" x14ac:dyDescent="0.15">
      <c r="A253">
        <v>13</v>
      </c>
      <c r="B253">
        <v>16</v>
      </c>
      <c r="C253">
        <v>1952911.81640625</v>
      </c>
      <c r="D253">
        <v>1767257.198801063</v>
      </c>
      <c r="E253">
        <v>8.134214518174468E-6</v>
      </c>
      <c r="F253">
        <v>8.1029219269965852E-6</v>
      </c>
      <c r="G253">
        <v>3.1292591177882782E-8</v>
      </c>
      <c r="H253" t="b">
        <v>0</v>
      </c>
    </row>
    <row r="254" spans="1:8" x14ac:dyDescent="0.15">
      <c r="A254">
        <v>13</v>
      </c>
      <c r="B254">
        <v>17</v>
      </c>
      <c r="C254">
        <v>1953061.81640625</v>
      </c>
      <c r="D254">
        <v>1971716.093150737</v>
      </c>
      <c r="E254">
        <v>8.1377916838587354E-6</v>
      </c>
      <c r="F254">
        <v>8.1029219269965852E-6</v>
      </c>
      <c r="G254">
        <v>3.4869756862150218E-8</v>
      </c>
      <c r="H254" t="b">
        <v>0</v>
      </c>
    </row>
    <row r="255" spans="1:8" x14ac:dyDescent="0.15">
      <c r="A255">
        <v>14</v>
      </c>
      <c r="B255">
        <v>1</v>
      </c>
      <c r="C255">
        <v>6050000</v>
      </c>
      <c r="D255">
        <v>977143879385016.88</v>
      </c>
      <c r="E255">
        <v>0.26527387256662827</v>
      </c>
      <c r="F255">
        <v>8.1316465961878137E-6</v>
      </c>
      <c r="G255">
        <v>0.26526574092003208</v>
      </c>
      <c r="H255" t="b">
        <v>0</v>
      </c>
    </row>
    <row r="256" spans="1:8" x14ac:dyDescent="0.15">
      <c r="A256">
        <v>14</v>
      </c>
      <c r="B256">
        <v>2</v>
      </c>
      <c r="C256">
        <v>3075000</v>
      </c>
      <c r="D256">
        <v>8038587347233.9512</v>
      </c>
      <c r="E256">
        <v>5.1503982247668618E-3</v>
      </c>
      <c r="F256">
        <v>8.1316465961713338E-6</v>
      </c>
      <c r="G256">
        <v>5.1422665781706905E-3</v>
      </c>
      <c r="H256" t="b">
        <v>0</v>
      </c>
    </row>
    <row r="257" spans="1:8" x14ac:dyDescent="0.15">
      <c r="A257">
        <v>14</v>
      </c>
      <c r="B257">
        <v>3</v>
      </c>
      <c r="C257">
        <v>1587500</v>
      </c>
      <c r="D257">
        <v>474076048.43293965</v>
      </c>
      <c r="E257">
        <v>1.1897633214214393E-5</v>
      </c>
      <c r="F257">
        <v>8.1316465961717523E-6</v>
      </c>
      <c r="G257">
        <v>3.7659866180426409E-6</v>
      </c>
      <c r="H257" t="b">
        <v>0</v>
      </c>
    </row>
    <row r="258" spans="1:8" x14ac:dyDescent="0.15">
      <c r="A258">
        <v>14</v>
      </c>
      <c r="B258">
        <v>4</v>
      </c>
      <c r="C258">
        <v>843750</v>
      </c>
      <c r="D258">
        <v>-77936.128017212395</v>
      </c>
      <c r="E258">
        <v>-2.1086405435953831E-6</v>
      </c>
      <c r="F258">
        <v>8.1316465961717523E-6</v>
      </c>
      <c r="G258">
        <v>-1.0240287139767135E-5</v>
      </c>
      <c r="H258" t="b">
        <v>1</v>
      </c>
    </row>
    <row r="259" spans="1:8" x14ac:dyDescent="0.15">
      <c r="A259">
        <v>14</v>
      </c>
      <c r="B259">
        <v>5</v>
      </c>
      <c r="C259">
        <v>1215625</v>
      </c>
      <c r="D259">
        <v>-1002210.4282516354</v>
      </c>
      <c r="E259">
        <v>2.3584782568599128E-6</v>
      </c>
      <c r="F259">
        <v>8.1316465961717523E-6</v>
      </c>
      <c r="G259">
        <v>-5.7731683393118391E-6</v>
      </c>
      <c r="H259" t="b">
        <v>1</v>
      </c>
    </row>
    <row r="260" spans="1:8" x14ac:dyDescent="0.15">
      <c r="A260">
        <v>14</v>
      </c>
      <c r="B260">
        <v>6</v>
      </c>
      <c r="C260">
        <v>1401562.5</v>
      </c>
      <c r="D260">
        <v>-25640056.310869198</v>
      </c>
      <c r="E260">
        <v>5.5513674754972132E-6</v>
      </c>
      <c r="F260">
        <v>8.1316465961717523E-6</v>
      </c>
      <c r="G260">
        <v>-2.5802791206745391E-6</v>
      </c>
      <c r="H260" t="b">
        <v>1</v>
      </c>
    </row>
    <row r="261" spans="1:8" x14ac:dyDescent="0.15">
      <c r="A261">
        <v>14</v>
      </c>
      <c r="B261">
        <v>7</v>
      </c>
      <c r="C261">
        <v>1494531.25</v>
      </c>
      <c r="D261">
        <v>1403996.1183221638</v>
      </c>
      <c r="E261">
        <v>8.1568490497719747E-6</v>
      </c>
      <c r="F261">
        <v>8.1316465961717523E-6</v>
      </c>
      <c r="G261">
        <v>2.5202453600222467E-8</v>
      </c>
      <c r="H261" t="b">
        <v>0</v>
      </c>
    </row>
    <row r="262" spans="1:8" x14ac:dyDescent="0.15">
      <c r="A262">
        <v>14</v>
      </c>
      <c r="B262">
        <v>8</v>
      </c>
      <c r="C262">
        <v>1541015.625</v>
      </c>
      <c r="D262">
        <v>141177288.12137064</v>
      </c>
      <c r="E262">
        <v>9.7637858360404419E-6</v>
      </c>
      <c r="F262">
        <v>8.1316465961717523E-6</v>
      </c>
      <c r="G262">
        <v>1.6321392398686896E-6</v>
      </c>
      <c r="H262" t="b">
        <v>0</v>
      </c>
    </row>
    <row r="263" spans="1:8" x14ac:dyDescent="0.15">
      <c r="A263">
        <v>14</v>
      </c>
      <c r="B263">
        <v>9</v>
      </c>
      <c r="C263">
        <v>1517773.4375</v>
      </c>
      <c r="D263">
        <v>56688800.673462197</v>
      </c>
      <c r="E263">
        <v>8.9338640646481303E-6</v>
      </c>
      <c r="F263">
        <v>8.1316465961717523E-6</v>
      </c>
      <c r="G263">
        <v>8.0221746847637807E-7</v>
      </c>
      <c r="H263" t="b">
        <v>0</v>
      </c>
    </row>
    <row r="264" spans="1:8" x14ac:dyDescent="0.15">
      <c r="A264">
        <v>14</v>
      </c>
      <c r="B264">
        <v>10</v>
      </c>
      <c r="C264">
        <v>1506152.34375</v>
      </c>
      <c r="D264">
        <v>25673769.427896995</v>
      </c>
      <c r="E264">
        <v>8.5387406220383717E-6</v>
      </c>
      <c r="F264">
        <v>8.1316465961717523E-6</v>
      </c>
      <c r="G264">
        <v>4.0709402586661944E-7</v>
      </c>
      <c r="H264" t="b">
        <v>0</v>
      </c>
    </row>
    <row r="265" spans="1:8" x14ac:dyDescent="0.15">
      <c r="A265">
        <v>14</v>
      </c>
      <c r="B265">
        <v>11</v>
      </c>
      <c r="C265">
        <v>1500341.796875</v>
      </c>
      <c r="D265">
        <v>12732274.802902192</v>
      </c>
      <c r="E265">
        <v>8.3461543979796913E-6</v>
      </c>
      <c r="F265">
        <v>8.1316465961717523E-6</v>
      </c>
      <c r="G265">
        <v>2.1450780180793904E-7</v>
      </c>
      <c r="H265" t="b">
        <v>0</v>
      </c>
    </row>
    <row r="266" spans="1:8" x14ac:dyDescent="0.15">
      <c r="A266">
        <v>14</v>
      </c>
      <c r="B266">
        <v>12</v>
      </c>
      <c r="C266">
        <v>1497436.5234375</v>
      </c>
      <c r="D266">
        <v>6871110.3326195898</v>
      </c>
      <c r="E266">
        <v>8.2510939322102879E-6</v>
      </c>
      <c r="F266">
        <v>8.1316465961717523E-6</v>
      </c>
      <c r="G266">
        <v>1.194473360385356E-7</v>
      </c>
      <c r="H266" t="b">
        <v>0</v>
      </c>
    </row>
    <row r="267" spans="1:8" x14ac:dyDescent="0.15">
      <c r="A267">
        <v>14</v>
      </c>
      <c r="B267">
        <v>13</v>
      </c>
      <c r="C267">
        <v>1495983.88671875</v>
      </c>
      <c r="D267">
        <v>4088845.1854926744</v>
      </c>
      <c r="E267">
        <v>8.2038693026807843E-6</v>
      </c>
      <c r="F267">
        <v>8.1316465961717523E-6</v>
      </c>
      <c r="G267">
        <v>7.2222706509031983E-8</v>
      </c>
      <c r="H267" t="b">
        <v>0</v>
      </c>
    </row>
    <row r="268" spans="1:8" x14ac:dyDescent="0.15">
      <c r="A268">
        <v>14</v>
      </c>
      <c r="B268">
        <v>14</v>
      </c>
      <c r="C268">
        <v>1494783.88671875</v>
      </c>
      <c r="D268">
        <v>1864023.0729857145</v>
      </c>
      <c r="E268">
        <v>8.1650125992486425E-6</v>
      </c>
      <c r="F268">
        <v>8.1316465961717523E-6</v>
      </c>
      <c r="G268">
        <v>3.3366003076890256E-8</v>
      </c>
      <c r="H268" t="b">
        <v>0</v>
      </c>
    </row>
    <row r="269" spans="1:8" x14ac:dyDescent="0.15">
      <c r="A269">
        <v>14</v>
      </c>
      <c r="B269">
        <v>15</v>
      </c>
      <c r="C269">
        <v>1493343.88671875</v>
      </c>
      <c r="D269">
        <v>-719034.29419220553</v>
      </c>
      <c r="E269">
        <v>8.1185664604145713E-6</v>
      </c>
      <c r="F269">
        <v>8.1316465961717523E-6</v>
      </c>
      <c r="G269">
        <v>-1.3080135757180932E-8</v>
      </c>
      <c r="H269" t="b">
        <v>1</v>
      </c>
    </row>
    <row r="270" spans="1:8" x14ac:dyDescent="0.15">
      <c r="A270">
        <v>14</v>
      </c>
      <c r="B270">
        <v>16</v>
      </c>
      <c r="C270">
        <v>1494063.88671875</v>
      </c>
      <c r="D270">
        <v>560703.22519969242</v>
      </c>
      <c r="E270">
        <v>8.1417642709793047E-6</v>
      </c>
      <c r="F270">
        <v>8.1316465961717523E-6</v>
      </c>
      <c r="G270">
        <v>1.0117674807552391E-8</v>
      </c>
      <c r="H270" t="b">
        <v>0</v>
      </c>
    </row>
    <row r="271" spans="1:8" x14ac:dyDescent="0.15">
      <c r="A271">
        <v>14</v>
      </c>
      <c r="B271">
        <v>17</v>
      </c>
      <c r="C271">
        <v>1494927.88671875</v>
      </c>
      <c r="D271">
        <v>2127484.8408007328</v>
      </c>
      <c r="E271">
        <v>8.1696675448883452E-6</v>
      </c>
      <c r="F271">
        <v>8.1316465961717523E-6</v>
      </c>
      <c r="G271">
        <v>3.8020948716592908E-8</v>
      </c>
      <c r="H271" t="b">
        <v>0</v>
      </c>
    </row>
    <row r="272" spans="1:8" x14ac:dyDescent="0.15">
      <c r="A272">
        <v>14</v>
      </c>
      <c r="B272">
        <v>18</v>
      </c>
      <c r="C272">
        <v>1494495.88671875</v>
      </c>
      <c r="D272">
        <v>1339840.0857334272</v>
      </c>
      <c r="E272">
        <v>8.1557069163823318E-6</v>
      </c>
      <c r="F272">
        <v>8.1316465961717523E-6</v>
      </c>
      <c r="G272">
        <v>2.4060320210579552E-8</v>
      </c>
      <c r="H272" t="b">
        <v>0</v>
      </c>
    </row>
    <row r="273" spans="1:8" x14ac:dyDescent="0.15">
      <c r="A273">
        <v>14</v>
      </c>
      <c r="B273">
        <v>19</v>
      </c>
      <c r="C273">
        <v>1494711.88671875</v>
      </c>
      <c r="D273">
        <v>1732630.6942655707</v>
      </c>
      <c r="E273">
        <v>8.1626855778660949E-6</v>
      </c>
      <c r="F273">
        <v>8.1316465961717523E-6</v>
      </c>
      <c r="G273">
        <v>3.1038981694342607E-8</v>
      </c>
      <c r="H273" t="b">
        <v>0</v>
      </c>
    </row>
    <row r="274" spans="1:8" x14ac:dyDescent="0.15">
      <c r="A274">
        <v>14</v>
      </c>
      <c r="B274">
        <v>20</v>
      </c>
      <c r="C274">
        <v>1494603.88671875</v>
      </c>
      <c r="D274">
        <v>1535985.9926926107</v>
      </c>
      <c r="E274">
        <v>8.1591959826900758E-6</v>
      </c>
      <c r="F274">
        <v>8.1316465961717523E-6</v>
      </c>
      <c r="G274">
        <v>2.7549386518323549E-8</v>
      </c>
      <c r="H274" t="b">
        <v>0</v>
      </c>
    </row>
    <row r="275" spans="1:8" x14ac:dyDescent="0.15">
      <c r="A275">
        <v>14</v>
      </c>
      <c r="B275">
        <v>21</v>
      </c>
      <c r="C275">
        <v>1494474.2867187499</v>
      </c>
      <c r="D275">
        <v>1300714.8369144015</v>
      </c>
      <c r="E275">
        <v>8.1550099523020057E-6</v>
      </c>
      <c r="F275">
        <v>8.1316465961717523E-6</v>
      </c>
      <c r="G275">
        <v>2.3363356130253461E-8</v>
      </c>
      <c r="H275" t="b">
        <v>0</v>
      </c>
    </row>
    <row r="276" spans="1:8" x14ac:dyDescent="0.15">
      <c r="A276">
        <v>14</v>
      </c>
      <c r="B276">
        <v>22</v>
      </c>
      <c r="C276">
        <v>1494539.08671875</v>
      </c>
      <c r="D276">
        <v>1418221.2048961993</v>
      </c>
      <c r="E276">
        <v>8.1571021698069708E-6</v>
      </c>
      <c r="F276">
        <v>8.1316465961717523E-6</v>
      </c>
      <c r="G276">
        <v>2.5455573635218488E-8</v>
      </c>
      <c r="H276" t="b">
        <v>0</v>
      </c>
    </row>
    <row r="277" spans="1:8" x14ac:dyDescent="0.15">
      <c r="A277">
        <v>14</v>
      </c>
      <c r="B277">
        <v>23</v>
      </c>
      <c r="C277">
        <v>1494616.84671875</v>
      </c>
      <c r="D277">
        <v>1559555.2464216934</v>
      </c>
      <c r="E277">
        <v>8.1596146747543017E-6</v>
      </c>
      <c r="F277">
        <v>8.1316465961717523E-6</v>
      </c>
      <c r="G277">
        <v>2.7968078582549472E-8</v>
      </c>
      <c r="H277" t="b">
        <v>0</v>
      </c>
    </row>
    <row r="278" spans="1:8" x14ac:dyDescent="0.15">
      <c r="A278">
        <v>14</v>
      </c>
      <c r="B278">
        <v>24</v>
      </c>
      <c r="C278">
        <v>1494577.9667187501</v>
      </c>
      <c r="D278">
        <v>1488836.9797627456</v>
      </c>
      <c r="E278">
        <v>8.1583580516541831E-6</v>
      </c>
      <c r="F278">
        <v>8.1316465961717523E-6</v>
      </c>
      <c r="G278">
        <v>2.6711455482430834E-8</v>
      </c>
      <c r="H278" t="b">
        <v>0</v>
      </c>
    </row>
    <row r="279" spans="1:8" x14ac:dyDescent="0.15">
      <c r="A279">
        <v>15</v>
      </c>
      <c r="B279">
        <v>1</v>
      </c>
      <c r="C279">
        <v>6050000</v>
      </c>
      <c r="D279">
        <v>1425857280634472.3</v>
      </c>
      <c r="E279">
        <v>0.36781091549434086</v>
      </c>
      <c r="F279">
        <v>8.1608029244839564E-6</v>
      </c>
      <c r="G279">
        <v>0.36780275469141638</v>
      </c>
      <c r="H279" t="b">
        <v>0</v>
      </c>
    </row>
    <row r="280" spans="1:8" x14ac:dyDescent="0.15">
      <c r="A280">
        <v>15</v>
      </c>
      <c r="B280">
        <v>2</v>
      </c>
      <c r="C280">
        <v>3075000</v>
      </c>
      <c r="D280">
        <v>37472042705443.719</v>
      </c>
      <c r="E280">
        <v>1.7973656189744527E-2</v>
      </c>
      <c r="F280">
        <v>8.1608029244631397E-6</v>
      </c>
      <c r="G280">
        <v>1.7965495386820064E-2</v>
      </c>
      <c r="H280" t="b">
        <v>0</v>
      </c>
    </row>
    <row r="281" spans="1:8" x14ac:dyDescent="0.15">
      <c r="A281">
        <v>15</v>
      </c>
      <c r="B281">
        <v>3</v>
      </c>
      <c r="C281">
        <v>1587500</v>
      </c>
      <c r="D281">
        <v>33810711978.553951</v>
      </c>
      <c r="E281">
        <v>8.592999406071159E-5</v>
      </c>
      <c r="F281">
        <v>8.1608029244634785E-6</v>
      </c>
      <c r="G281">
        <v>7.7769191136248112E-5</v>
      </c>
      <c r="H281" t="b">
        <v>0</v>
      </c>
    </row>
    <row r="282" spans="1:8" x14ac:dyDescent="0.15">
      <c r="A282">
        <v>15</v>
      </c>
      <c r="B282">
        <v>4</v>
      </c>
      <c r="C282">
        <v>843750</v>
      </c>
      <c r="D282">
        <v>-214046.78085005062</v>
      </c>
      <c r="E282">
        <v>1.7143113820179995E-7</v>
      </c>
      <c r="F282">
        <v>8.1608029244634802E-6</v>
      </c>
      <c r="G282">
        <v>-7.9893717862616799E-6</v>
      </c>
      <c r="H282" t="b">
        <v>1</v>
      </c>
    </row>
    <row r="283" spans="1:8" x14ac:dyDescent="0.15">
      <c r="A283">
        <v>15</v>
      </c>
      <c r="B283">
        <v>5</v>
      </c>
      <c r="C283">
        <v>1215625</v>
      </c>
      <c r="D283">
        <v>-39838716.701007299</v>
      </c>
      <c r="E283">
        <v>6.7752659131757488E-6</v>
      </c>
      <c r="F283">
        <v>8.1608029244634802E-6</v>
      </c>
      <c r="G283">
        <v>-1.3855370112877314E-6</v>
      </c>
      <c r="H283" t="b">
        <v>1</v>
      </c>
    </row>
    <row r="284" spans="1:8" x14ac:dyDescent="0.15">
      <c r="A284">
        <v>15</v>
      </c>
      <c r="B284">
        <v>6</v>
      </c>
      <c r="C284">
        <v>1401562.5</v>
      </c>
      <c r="D284">
        <v>3145402994.8260098</v>
      </c>
      <c r="E284">
        <v>2.1859727509014093E-5</v>
      </c>
      <c r="F284">
        <v>8.1608029244634802E-6</v>
      </c>
      <c r="G284">
        <v>1.3698924584550613E-5</v>
      </c>
      <c r="H284" t="b">
        <v>0</v>
      </c>
    </row>
    <row r="285" spans="1:8" x14ac:dyDescent="0.15">
      <c r="A285">
        <v>15</v>
      </c>
      <c r="B285">
        <v>7</v>
      </c>
      <c r="C285">
        <v>1308593.75</v>
      </c>
      <c r="D285">
        <v>230908670.15505445</v>
      </c>
      <c r="E285">
        <v>1.0503379395274653E-5</v>
      </c>
      <c r="F285">
        <v>8.1608029244634802E-6</v>
      </c>
      <c r="G285">
        <v>2.3425764708111728E-6</v>
      </c>
      <c r="H285" t="b">
        <v>0</v>
      </c>
    </row>
    <row r="286" spans="1:8" x14ac:dyDescent="0.15">
      <c r="A286">
        <v>15</v>
      </c>
      <c r="B286">
        <v>8</v>
      </c>
      <c r="C286">
        <v>1262109.375</v>
      </c>
      <c r="D286">
        <v>19783438.079396006</v>
      </c>
      <c r="E286">
        <v>8.486369991878074E-6</v>
      </c>
      <c r="F286">
        <v>8.1608029244634802E-6</v>
      </c>
      <c r="G286">
        <v>3.255670674145938E-7</v>
      </c>
      <c r="H286" t="b">
        <v>0</v>
      </c>
    </row>
    <row r="287" spans="1:8" x14ac:dyDescent="0.15">
      <c r="A287">
        <v>15</v>
      </c>
      <c r="B287">
        <v>9</v>
      </c>
      <c r="C287">
        <v>1238867.1875</v>
      </c>
      <c r="D287">
        <v>-24864701.620129839</v>
      </c>
      <c r="E287">
        <v>7.5939593228367517E-6</v>
      </c>
      <c r="F287">
        <v>8.1608029244634802E-6</v>
      </c>
      <c r="G287">
        <v>-5.6684360162672846E-7</v>
      </c>
      <c r="H287" t="b">
        <v>1</v>
      </c>
    </row>
    <row r="288" spans="1:8" x14ac:dyDescent="0.15">
      <c r="A288">
        <v>15</v>
      </c>
      <c r="B288">
        <v>10</v>
      </c>
      <c r="C288">
        <v>1250488.28125</v>
      </c>
      <c r="D288">
        <v>-6778057.2126395665</v>
      </c>
      <c r="E288">
        <v>8.0307508490779467E-6</v>
      </c>
      <c r="F288">
        <v>8.1608029244634802E-6</v>
      </c>
      <c r="G288">
        <v>-1.3005207538553354E-7</v>
      </c>
      <c r="H288" t="b">
        <v>1</v>
      </c>
    </row>
    <row r="289" spans="1:8" x14ac:dyDescent="0.15">
      <c r="A289">
        <v>15</v>
      </c>
      <c r="B289">
        <v>11</v>
      </c>
      <c r="C289">
        <v>1256298.828125</v>
      </c>
      <c r="D289">
        <v>5378948.2954459712</v>
      </c>
      <c r="E289">
        <v>8.2561822132386909E-6</v>
      </c>
      <c r="F289">
        <v>8.1608029244634802E-6</v>
      </c>
      <c r="G289">
        <v>9.5379288775210703E-8</v>
      </c>
      <c r="H289" t="b">
        <v>0</v>
      </c>
    </row>
    <row r="290" spans="1:8" x14ac:dyDescent="0.15">
      <c r="A290">
        <v>15</v>
      </c>
      <c r="B290">
        <v>12</v>
      </c>
      <c r="C290">
        <v>1253393.5546875</v>
      </c>
      <c r="D290">
        <v>-972491.47820410074</v>
      </c>
      <c r="E290">
        <v>8.1428750605158788E-6</v>
      </c>
      <c r="F290">
        <v>8.1608029244634802E-6</v>
      </c>
      <c r="G290">
        <v>-1.7927863947601413E-8</v>
      </c>
      <c r="H290" t="b">
        <v>1</v>
      </c>
    </row>
    <row r="291" spans="1:8" x14ac:dyDescent="0.15">
      <c r="A291">
        <v>15</v>
      </c>
      <c r="B291">
        <v>13</v>
      </c>
      <c r="C291">
        <v>1254846.19140625</v>
      </c>
      <c r="D291">
        <v>2133947.356843106</v>
      </c>
      <c r="E291">
        <v>8.1993795914338443E-6</v>
      </c>
      <c r="F291">
        <v>8.1608029244634802E-6</v>
      </c>
      <c r="G291">
        <v>3.8576666970364115E-8</v>
      </c>
      <c r="H291" t="b">
        <v>0</v>
      </c>
    </row>
    <row r="292" spans="1:8" x14ac:dyDescent="0.15">
      <c r="A292">
        <v>15</v>
      </c>
      <c r="B292">
        <v>14</v>
      </c>
      <c r="C292">
        <v>1253646.19140625</v>
      </c>
      <c r="D292">
        <v>-442126.72143161698</v>
      </c>
      <c r="E292">
        <v>8.1526801867768442E-6</v>
      </c>
      <c r="F292">
        <v>8.1608029244634802E-6</v>
      </c>
      <c r="G292">
        <v>-8.1227376866360073E-9</v>
      </c>
      <c r="H292" t="b">
        <v>1</v>
      </c>
    </row>
    <row r="293" spans="1:8" x14ac:dyDescent="0.15">
      <c r="A293">
        <v>15</v>
      </c>
      <c r="B293">
        <v>15</v>
      </c>
      <c r="C293">
        <v>1254246.19140625</v>
      </c>
      <c r="D293">
        <v>834168.79235208989</v>
      </c>
      <c r="E293">
        <v>8.1760046232948493E-6</v>
      </c>
      <c r="F293">
        <v>8.1608029244634802E-6</v>
      </c>
      <c r="G293">
        <v>1.520169883136908E-8</v>
      </c>
      <c r="H293" t="b">
        <v>0</v>
      </c>
    </row>
    <row r="294" spans="1:8" x14ac:dyDescent="0.15">
      <c r="A294">
        <v>15</v>
      </c>
      <c r="B294">
        <v>16</v>
      </c>
      <c r="C294">
        <v>1254966.19140625</v>
      </c>
      <c r="D294">
        <v>2396733.4543789825</v>
      </c>
      <c r="E294">
        <v>8.2040606536312041E-6</v>
      </c>
      <c r="F294">
        <v>8.1608029244634802E-6</v>
      </c>
      <c r="G294">
        <v>4.3257729167723905E-8</v>
      </c>
      <c r="H294" t="b">
        <v>0</v>
      </c>
    </row>
    <row r="295" spans="1:8" x14ac:dyDescent="0.15">
      <c r="A295">
        <v>15</v>
      </c>
      <c r="B295">
        <v>17</v>
      </c>
      <c r="C295">
        <v>1254606.19140625</v>
      </c>
      <c r="D295">
        <v>1611252.8765084462</v>
      </c>
      <c r="E295">
        <v>8.1900243259431047E-6</v>
      </c>
      <c r="F295">
        <v>8.1608029244634802E-6</v>
      </c>
      <c r="G295">
        <v>2.9221401479624458E-8</v>
      </c>
      <c r="H295" t="b">
        <v>0</v>
      </c>
    </row>
    <row r="296" spans="1:8" x14ac:dyDescent="0.15">
      <c r="A296">
        <v>15</v>
      </c>
      <c r="B296">
        <v>18</v>
      </c>
      <c r="C296">
        <v>1254174.19140625</v>
      </c>
      <c r="D296">
        <v>679776.20822154696</v>
      </c>
      <c r="E296">
        <v>8.1732030239131274E-6</v>
      </c>
      <c r="F296">
        <v>8.1608029244634802E-6</v>
      </c>
      <c r="G296">
        <v>1.2400099449647143E-8</v>
      </c>
      <c r="H296" t="b">
        <v>0</v>
      </c>
    </row>
    <row r="297" spans="1:8" x14ac:dyDescent="0.15">
      <c r="A297">
        <v>15</v>
      </c>
      <c r="B297">
        <v>19</v>
      </c>
      <c r="C297">
        <v>1254390.19140625</v>
      </c>
      <c r="D297">
        <v>1143968.6727684767</v>
      </c>
      <c r="E297">
        <v>8.1816100051181953E-6</v>
      </c>
      <c r="F297">
        <v>8.1608029244634802E-6</v>
      </c>
      <c r="G297">
        <v>2.0807080654715104E-8</v>
      </c>
      <c r="H297" t="b">
        <v>0</v>
      </c>
    </row>
    <row r="298" spans="1:8" x14ac:dyDescent="0.15">
      <c r="A298">
        <v>15</v>
      </c>
      <c r="B298">
        <v>20</v>
      </c>
      <c r="C298">
        <v>1254649.39140625</v>
      </c>
      <c r="D298">
        <v>1705023.2986442479</v>
      </c>
      <c r="E298">
        <v>8.1917070295620469E-6</v>
      </c>
      <c r="F298">
        <v>8.1608029244634802E-6</v>
      </c>
      <c r="G298">
        <v>3.0904105098566637E-8</v>
      </c>
      <c r="H298" t="b">
        <v>0</v>
      </c>
    </row>
    <row r="299" spans="1:8" x14ac:dyDescent="0.15">
      <c r="A299">
        <v>15</v>
      </c>
      <c r="B299">
        <v>21</v>
      </c>
      <c r="C299">
        <v>1254519.7914062499</v>
      </c>
      <c r="D299">
        <v>1423946.6715761828</v>
      </c>
      <c r="E299">
        <v>8.1866573379608755E-6</v>
      </c>
      <c r="F299">
        <v>8.1608029244634802E-6</v>
      </c>
      <c r="G299">
        <v>2.5854413497395273E-8</v>
      </c>
      <c r="H299" t="b">
        <v>0</v>
      </c>
    </row>
    <row r="300" spans="1:8" x14ac:dyDescent="0.15">
      <c r="A300">
        <v>15</v>
      </c>
      <c r="B300">
        <v>22</v>
      </c>
      <c r="C300">
        <v>1254364.2714062498</v>
      </c>
      <c r="D300">
        <v>1088148.3913660368</v>
      </c>
      <c r="E300">
        <v>8.1806016096073763E-6</v>
      </c>
      <c r="F300">
        <v>8.1608029244634802E-6</v>
      </c>
      <c r="G300">
        <v>1.9798685143896074E-8</v>
      </c>
      <c r="H300" t="b">
        <v>0</v>
      </c>
    </row>
    <row r="301" spans="1:8" x14ac:dyDescent="0.15">
      <c r="A301">
        <v>15</v>
      </c>
      <c r="B301">
        <v>23</v>
      </c>
      <c r="C301">
        <v>1254442.0314062499</v>
      </c>
      <c r="D301">
        <v>1255828.1279330954</v>
      </c>
      <c r="E301">
        <v>8.1836286552396876E-6</v>
      </c>
      <c r="F301">
        <v>8.1608029244634802E-6</v>
      </c>
      <c r="G301">
        <v>2.2825730776207409E-8</v>
      </c>
      <c r="H301" t="b">
        <v>0</v>
      </c>
    </row>
    <row r="302" spans="1:8" x14ac:dyDescent="0.15">
      <c r="A302">
        <v>16</v>
      </c>
      <c r="B302">
        <v>1</v>
      </c>
      <c r="C302">
        <v>6050000</v>
      </c>
      <c r="D302">
        <v>1.357409145193622E+18</v>
      </c>
      <c r="E302">
        <v>536.87092200000006</v>
      </c>
      <c r="F302">
        <v>2.4969487526504963E-5</v>
      </c>
      <c r="G302">
        <v>536.87089703051254</v>
      </c>
      <c r="H302" t="b">
        <v>0</v>
      </c>
    </row>
    <row r="303" spans="1:8" x14ac:dyDescent="0.15">
      <c r="A303">
        <v>16</v>
      </c>
      <c r="B303">
        <v>2</v>
      </c>
      <c r="C303">
        <v>3075000</v>
      </c>
      <c r="D303">
        <v>1.357409145193622E+18</v>
      </c>
      <c r="E303">
        <v>536.87092200000006</v>
      </c>
      <c r="F303">
        <v>2.4969487526504963E-5</v>
      </c>
      <c r="G303">
        <v>536.87089703051254</v>
      </c>
      <c r="H303" t="b">
        <v>0</v>
      </c>
    </row>
    <row r="304" spans="1:8" x14ac:dyDescent="0.15">
      <c r="A304">
        <v>16</v>
      </c>
      <c r="B304">
        <v>3</v>
      </c>
      <c r="C304">
        <v>1587500</v>
      </c>
      <c r="D304">
        <v>1.357409145193622E+18</v>
      </c>
      <c r="E304">
        <v>536.87092200000006</v>
      </c>
      <c r="F304">
        <v>2.4969487526504963E-5</v>
      </c>
      <c r="G304">
        <v>536.87089703051254</v>
      </c>
      <c r="H304" t="b">
        <v>0</v>
      </c>
    </row>
    <row r="305" spans="1:8" x14ac:dyDescent="0.15">
      <c r="A305">
        <v>16</v>
      </c>
      <c r="B305">
        <v>4</v>
      </c>
      <c r="C305">
        <v>843750</v>
      </c>
      <c r="D305">
        <v>1.357409145193622E+18</v>
      </c>
      <c r="E305">
        <v>536.87092200000006</v>
      </c>
      <c r="F305">
        <v>2.4969487526504963E-5</v>
      </c>
      <c r="G305">
        <v>536.87089703051254</v>
      </c>
      <c r="H305" t="b">
        <v>0</v>
      </c>
    </row>
    <row r="306" spans="1:8" x14ac:dyDescent="0.15">
      <c r="A306">
        <v>16</v>
      </c>
      <c r="B306">
        <v>5</v>
      </c>
      <c r="C306">
        <v>471875</v>
      </c>
      <c r="D306">
        <v>256186281971434.5</v>
      </c>
      <c r="E306">
        <v>0.32252783019975489</v>
      </c>
      <c r="F306">
        <v>2.4969487573189841E-5</v>
      </c>
      <c r="G306">
        <v>0.3225028607121817</v>
      </c>
      <c r="H306" t="b">
        <v>0</v>
      </c>
    </row>
    <row r="307" spans="1:8" x14ac:dyDescent="0.15">
      <c r="A307">
        <v>16</v>
      </c>
      <c r="B307">
        <v>6</v>
      </c>
      <c r="C307">
        <v>285937.5</v>
      </c>
      <c r="D307">
        <v>-589624.90290208324</v>
      </c>
      <c r="E307">
        <v>6.9864022822915709E-6</v>
      </c>
      <c r="F307">
        <v>2.4969487573206528E-5</v>
      </c>
      <c r="G307">
        <v>-1.7983085290914956E-5</v>
      </c>
      <c r="H307" t="b">
        <v>1</v>
      </c>
    </row>
    <row r="308" spans="1:8" x14ac:dyDescent="0.15">
      <c r="A308">
        <v>16</v>
      </c>
      <c r="B308">
        <v>7</v>
      </c>
      <c r="C308">
        <v>378906.25</v>
      </c>
      <c r="D308">
        <v>937707410135.33423</v>
      </c>
      <c r="E308">
        <v>3.3083757540014105E-3</v>
      </c>
      <c r="F308">
        <v>2.4969487573206321E-5</v>
      </c>
      <c r="G308">
        <v>3.2834062664282041E-3</v>
      </c>
      <c r="H308" t="b">
        <v>0</v>
      </c>
    </row>
    <row r="309" spans="1:8" x14ac:dyDescent="0.15">
      <c r="A309">
        <v>16</v>
      </c>
      <c r="B309">
        <v>8</v>
      </c>
      <c r="C309">
        <v>332421.875</v>
      </c>
      <c r="D309">
        <v>13407403950.884068</v>
      </c>
      <c r="E309">
        <v>1.497612441654996E-4</v>
      </c>
      <c r="F309">
        <v>2.4969487573206538E-5</v>
      </c>
      <c r="G309">
        <v>1.2479175659229307E-4</v>
      </c>
      <c r="H309" t="b">
        <v>0</v>
      </c>
    </row>
    <row r="310" spans="1:8" x14ac:dyDescent="0.15">
      <c r="A310">
        <v>16</v>
      </c>
      <c r="B310">
        <v>9</v>
      </c>
      <c r="C310">
        <v>309179.6875</v>
      </c>
      <c r="D310">
        <v>-49001813.325803369</v>
      </c>
      <c r="E310">
        <v>2.3306040398933646E-5</v>
      </c>
      <c r="F310">
        <v>2.4969487573206528E-5</v>
      </c>
      <c r="G310">
        <v>-1.6634471742728821E-6</v>
      </c>
      <c r="H310" t="b">
        <v>1</v>
      </c>
    </row>
    <row r="311" spans="1:8" x14ac:dyDescent="0.15">
      <c r="A311">
        <v>16</v>
      </c>
      <c r="B311">
        <v>10</v>
      </c>
      <c r="C311">
        <v>320800.78125</v>
      </c>
      <c r="D311">
        <v>2594695990.1900592</v>
      </c>
      <c r="E311">
        <v>6.0932822501471857E-5</v>
      </c>
      <c r="F311">
        <v>2.4969487573206525E-5</v>
      </c>
      <c r="G311">
        <v>3.5963334928265333E-5</v>
      </c>
      <c r="H311" t="b">
        <v>0</v>
      </c>
    </row>
    <row r="312" spans="1:8" x14ac:dyDescent="0.15">
      <c r="A312">
        <v>16</v>
      </c>
      <c r="B312">
        <v>11</v>
      </c>
      <c r="C312">
        <v>314990.234375</v>
      </c>
      <c r="D312">
        <v>716504946.85191703</v>
      </c>
      <c r="E312">
        <v>3.7997179806627624E-5</v>
      </c>
      <c r="F312">
        <v>2.4969487573206528E-5</v>
      </c>
      <c r="G312">
        <v>1.3027692233421096E-5</v>
      </c>
      <c r="H312" t="b">
        <v>0</v>
      </c>
    </row>
    <row r="313" spans="1:8" x14ac:dyDescent="0.15">
      <c r="A313">
        <v>16</v>
      </c>
      <c r="B313">
        <v>12</v>
      </c>
      <c r="C313">
        <v>312084.9609375</v>
      </c>
      <c r="D313">
        <v>224177067.77644923</v>
      </c>
      <c r="E313">
        <v>2.9823414071588438E-5</v>
      </c>
      <c r="F313">
        <v>2.4969487573206528E-5</v>
      </c>
      <c r="G313">
        <v>4.8539264983819098E-6</v>
      </c>
      <c r="H313" t="b">
        <v>0</v>
      </c>
    </row>
    <row r="314" spans="1:8" x14ac:dyDescent="0.15">
      <c r="A314">
        <v>16</v>
      </c>
      <c r="B314">
        <v>13</v>
      </c>
      <c r="C314">
        <v>310632.32421875</v>
      </c>
      <c r="D314">
        <v>53510823.377743296</v>
      </c>
      <c r="E314">
        <v>2.6378104468761736E-5</v>
      </c>
      <c r="F314">
        <v>2.4969487573206528E-5</v>
      </c>
      <c r="G314">
        <v>1.4086168955552084E-6</v>
      </c>
      <c r="H314" t="b">
        <v>0</v>
      </c>
    </row>
    <row r="315" spans="1:8" x14ac:dyDescent="0.15">
      <c r="A315">
        <v>16</v>
      </c>
      <c r="B315">
        <v>14</v>
      </c>
      <c r="C315">
        <v>309432.32421875</v>
      </c>
      <c r="D315">
        <v>-35681319.74109184</v>
      </c>
      <c r="E315">
        <v>2.3815198112050797E-5</v>
      </c>
      <c r="F315">
        <v>2.4969487573206528E-5</v>
      </c>
      <c r="G315">
        <v>-1.1542894611557311E-6</v>
      </c>
      <c r="H315" t="b">
        <v>1</v>
      </c>
    </row>
    <row r="316" spans="1:8" x14ac:dyDescent="0.15">
      <c r="A316">
        <v>16</v>
      </c>
      <c r="B316">
        <v>15</v>
      </c>
      <c r="C316">
        <v>310032.32421875</v>
      </c>
      <c r="D316">
        <v>3328555.833849214</v>
      </c>
      <c r="E316">
        <v>2.5066203884745526E-5</v>
      </c>
      <c r="F316">
        <v>2.4969487573206528E-5</v>
      </c>
      <c r="G316">
        <v>9.671631153899824E-8</v>
      </c>
      <c r="H316" t="b">
        <v>0</v>
      </c>
    </row>
    <row r="317" spans="1:8" x14ac:dyDescent="0.15">
      <c r="A317">
        <v>16</v>
      </c>
      <c r="B317">
        <v>16</v>
      </c>
      <c r="C317">
        <v>309732.32421875</v>
      </c>
      <c r="D317">
        <v>-17510794.566307232</v>
      </c>
      <c r="E317">
        <v>2.443325154344313E-5</v>
      </c>
      <c r="F317">
        <v>2.4969487573206528E-5</v>
      </c>
      <c r="G317">
        <v>-5.3623602976339796E-7</v>
      </c>
      <c r="H317" t="b">
        <v>1</v>
      </c>
    </row>
    <row r="318" spans="1:8" x14ac:dyDescent="0.15">
      <c r="A318">
        <v>16</v>
      </c>
      <c r="B318">
        <v>17</v>
      </c>
      <c r="C318">
        <v>309882.32421875</v>
      </c>
      <c r="D318">
        <v>-7432277.4689759407</v>
      </c>
      <c r="E318">
        <v>2.4747848028627168E-5</v>
      </c>
      <c r="F318">
        <v>2.4969487573206528E-5</v>
      </c>
      <c r="G318">
        <v>-2.2163954457936038E-7</v>
      </c>
      <c r="H318" t="b">
        <v>1</v>
      </c>
    </row>
    <row r="319" spans="1:8" x14ac:dyDescent="0.15">
      <c r="A319">
        <v>16</v>
      </c>
      <c r="B319">
        <v>18</v>
      </c>
      <c r="C319">
        <v>310032.32421875</v>
      </c>
      <c r="D319">
        <v>3328555.833849214</v>
      </c>
      <c r="E319">
        <v>2.5066203884745526E-5</v>
      </c>
      <c r="F319">
        <v>2.4969487573206528E-5</v>
      </c>
      <c r="G319">
        <v>9.671631153899824E-8</v>
      </c>
      <c r="H319" t="b">
        <v>0</v>
      </c>
    </row>
    <row r="320" spans="1:8" x14ac:dyDescent="0.15">
      <c r="A320">
        <v>16</v>
      </c>
      <c r="B320">
        <v>19</v>
      </c>
      <c r="C320">
        <v>309957.32421875</v>
      </c>
      <c r="D320">
        <v>-2138311.1205084915</v>
      </c>
      <c r="E320">
        <v>2.4906547687767336E-5</v>
      </c>
      <c r="F320">
        <v>2.4969487573206528E-5</v>
      </c>
      <c r="G320">
        <v>-6.2939885439192102E-8</v>
      </c>
      <c r="H320" t="b">
        <v>1</v>
      </c>
    </row>
    <row r="321" spans="1:8" x14ac:dyDescent="0.15">
      <c r="A321">
        <v>16</v>
      </c>
      <c r="B321">
        <v>20</v>
      </c>
      <c r="C321">
        <v>309994.82421875</v>
      </c>
      <c r="D321">
        <v>573341.91939802736</v>
      </c>
      <c r="E321">
        <v>2.4986254594084988E-5</v>
      </c>
      <c r="F321">
        <v>2.4969487573206528E-5</v>
      </c>
      <c r="G321">
        <v>1.6767020878460199E-8</v>
      </c>
      <c r="H321" t="b">
        <v>0</v>
      </c>
    </row>
    <row r="322" spans="1:8" x14ac:dyDescent="0.15">
      <c r="A322">
        <v>16</v>
      </c>
      <c r="B322">
        <v>21</v>
      </c>
      <c r="C322">
        <v>309976.07421875</v>
      </c>
      <c r="D322">
        <v>-787717.03082634101</v>
      </c>
      <c r="E322">
        <v>2.4946376674102707E-5</v>
      </c>
      <c r="F322">
        <v>2.4969487573206528E-5</v>
      </c>
      <c r="G322">
        <v>-2.3110899103820489E-8</v>
      </c>
      <c r="H322" t="b">
        <v>1</v>
      </c>
    </row>
    <row r="323" spans="1:8" x14ac:dyDescent="0.15">
      <c r="A323">
        <v>16</v>
      </c>
      <c r="B323">
        <v>22</v>
      </c>
      <c r="C323">
        <v>309985.44921875</v>
      </c>
      <c r="D323">
        <v>-108453.10584028621</v>
      </c>
      <c r="E323">
        <v>2.4966310802640776E-5</v>
      </c>
      <c r="F323">
        <v>2.4969487573206528E-5</v>
      </c>
      <c r="G323">
        <v>-3.1767705657515584E-9</v>
      </c>
      <c r="H323" t="b">
        <v>1</v>
      </c>
    </row>
    <row r="324" spans="1:8" x14ac:dyDescent="0.15">
      <c r="A324">
        <v>16</v>
      </c>
      <c r="B324">
        <v>23</v>
      </c>
      <c r="C324">
        <v>309994.82421875</v>
      </c>
      <c r="D324">
        <v>573341.91939802736</v>
      </c>
      <c r="E324">
        <v>2.4986254594084988E-5</v>
      </c>
      <c r="F324">
        <v>2.4969487573206528E-5</v>
      </c>
      <c r="G324">
        <v>1.6767020878460199E-8</v>
      </c>
      <c r="H324" t="b">
        <v>0</v>
      </c>
    </row>
    <row r="325" spans="1:8" x14ac:dyDescent="0.15">
      <c r="A325">
        <v>16</v>
      </c>
      <c r="B325">
        <v>24</v>
      </c>
      <c r="C325">
        <v>309990.13671875</v>
      </c>
      <c r="D325">
        <v>232193.94602910228</v>
      </c>
      <c r="E325">
        <v>2.4976283422189559E-5</v>
      </c>
      <c r="F325">
        <v>2.4969487573206528E-5</v>
      </c>
      <c r="G325">
        <v>6.7958489830315593E-9</v>
      </c>
      <c r="H325" t="b">
        <v>0</v>
      </c>
    </row>
    <row r="326" spans="1:8" x14ac:dyDescent="0.15">
      <c r="A326">
        <v>16</v>
      </c>
      <c r="B326">
        <v>25</v>
      </c>
      <c r="C326">
        <v>309992.48046875</v>
      </c>
      <c r="D326">
        <v>402595.19172142015</v>
      </c>
      <c r="E326">
        <v>2.4981265969536194E-5</v>
      </c>
      <c r="F326">
        <v>2.4969487573206528E-5</v>
      </c>
      <c r="G326">
        <v>1.1778396329665668E-8</v>
      </c>
      <c r="H326" t="b">
        <v>0</v>
      </c>
    </row>
    <row r="327" spans="1:8" x14ac:dyDescent="0.15">
      <c r="A327">
        <v>16</v>
      </c>
      <c r="B327">
        <v>26</v>
      </c>
      <c r="C327">
        <v>309991.30859375</v>
      </c>
      <c r="D327">
        <v>317461.5279641368</v>
      </c>
      <c r="E327">
        <v>2.4978777155964284E-5</v>
      </c>
      <c r="F327">
        <v>2.4969487573206528E-5</v>
      </c>
      <c r="G327">
        <v>9.289582757756275E-9</v>
      </c>
      <c r="H327" t="b">
        <v>0</v>
      </c>
    </row>
    <row r="328" spans="1:8" x14ac:dyDescent="0.15">
      <c r="A328">
        <v>16</v>
      </c>
      <c r="B328">
        <v>27</v>
      </c>
      <c r="C328">
        <v>309989.90234375</v>
      </c>
      <c r="D328">
        <v>215145.51010845017</v>
      </c>
      <c r="E328">
        <v>2.4975784703224966E-5</v>
      </c>
      <c r="F328">
        <v>2.4969487573206528E-5</v>
      </c>
      <c r="G328">
        <v>6.2971300184380165E-9</v>
      </c>
      <c r="H328" t="b">
        <v>0</v>
      </c>
    </row>
    <row r="329" spans="1:8" x14ac:dyDescent="0.15">
      <c r="A329">
        <v>16</v>
      </c>
      <c r="B329">
        <v>28</v>
      </c>
      <c r="C329">
        <v>309990.60546875</v>
      </c>
      <c r="D329">
        <v>266295.89826042514</v>
      </c>
      <c r="E329">
        <v>2.4977280887911612E-5</v>
      </c>
      <c r="F329">
        <v>2.4969487573206528E-5</v>
      </c>
      <c r="G329">
        <v>7.7933147050840391E-9</v>
      </c>
      <c r="H329" t="b">
        <v>0</v>
      </c>
    </row>
    <row r="330" spans="1:8" x14ac:dyDescent="0.15">
      <c r="A330">
        <v>16</v>
      </c>
      <c r="B330">
        <v>29</v>
      </c>
      <c r="C330">
        <v>309991.44921875</v>
      </c>
      <c r="D330">
        <v>327696.48320217087</v>
      </c>
      <c r="E330">
        <v>2.497907641958408E-5</v>
      </c>
      <c r="F330">
        <v>2.4969487573206528E-5</v>
      </c>
      <c r="G330">
        <v>9.5888463775516662E-9</v>
      </c>
      <c r="H330" t="b">
        <v>0</v>
      </c>
    </row>
    <row r="331" spans="1:8" x14ac:dyDescent="0.15">
      <c r="A331">
        <v>16</v>
      </c>
      <c r="B331">
        <v>30</v>
      </c>
      <c r="C331">
        <v>309991.02734375</v>
      </c>
      <c r="D331">
        <v>296993.44710448495</v>
      </c>
      <c r="E331">
        <v>2.4978178638742261E-5</v>
      </c>
      <c r="F331">
        <v>2.4969487573206528E-5</v>
      </c>
      <c r="G331">
        <v>8.6910655357327806E-9</v>
      </c>
      <c r="H331" t="b">
        <v>0</v>
      </c>
    </row>
    <row r="332" spans="1:8" x14ac:dyDescent="0.15">
      <c r="A332">
        <v>16</v>
      </c>
      <c r="B332">
        <v>31</v>
      </c>
      <c r="C332">
        <v>309991.23828125</v>
      </c>
      <c r="D332">
        <v>312168.11267499486</v>
      </c>
      <c r="E332">
        <v>2.497862237416156E-5</v>
      </c>
      <c r="F332">
        <v>2.4969487573206528E-5</v>
      </c>
      <c r="G332">
        <v>9.1348009550318429E-9</v>
      </c>
      <c r="H332" t="b">
        <v>0</v>
      </c>
    </row>
    <row r="333" spans="1:8" x14ac:dyDescent="0.15">
      <c r="A333">
        <v>17</v>
      </c>
      <c r="B333">
        <v>1</v>
      </c>
      <c r="C333">
        <v>6050000</v>
      </c>
      <c r="D333">
        <v>2.1962445135251986E+18</v>
      </c>
      <c r="E333">
        <v>536.87092200000006</v>
      </c>
      <c r="F333">
        <v>1.6281267676276912E-5</v>
      </c>
      <c r="G333">
        <v>536.87090571873239</v>
      </c>
      <c r="H333" t="b">
        <v>0</v>
      </c>
    </row>
    <row r="334" spans="1:8" x14ac:dyDescent="0.15">
      <c r="A334">
        <v>17</v>
      </c>
      <c r="B334">
        <v>2</v>
      </c>
      <c r="C334">
        <v>3075000</v>
      </c>
      <c r="D334">
        <v>2.1962445135251986E+18</v>
      </c>
      <c r="E334">
        <v>536.87092200000006</v>
      </c>
      <c r="F334">
        <v>1.6281267676276912E-5</v>
      </c>
      <c r="G334">
        <v>536.87090571873239</v>
      </c>
      <c r="H334" t="b">
        <v>0</v>
      </c>
    </row>
    <row r="335" spans="1:8" x14ac:dyDescent="0.15">
      <c r="A335">
        <v>17</v>
      </c>
      <c r="B335">
        <v>3</v>
      </c>
      <c r="C335">
        <v>1587500</v>
      </c>
      <c r="D335">
        <v>2.1962445135251986E+18</v>
      </c>
      <c r="E335">
        <v>536.87092200000006</v>
      </c>
      <c r="F335">
        <v>1.6281267676276912E-5</v>
      </c>
      <c r="G335">
        <v>536.87090571873239</v>
      </c>
      <c r="H335" t="b">
        <v>0</v>
      </c>
    </row>
    <row r="336" spans="1:8" x14ac:dyDescent="0.15">
      <c r="A336">
        <v>17</v>
      </c>
      <c r="B336">
        <v>4</v>
      </c>
      <c r="C336">
        <v>843750</v>
      </c>
      <c r="D336">
        <v>553281696325511.38</v>
      </c>
      <c r="E336">
        <v>0.41170313717691021</v>
      </c>
      <c r="F336">
        <v>1.6281267644135955E-5</v>
      </c>
      <c r="G336">
        <v>0.41168685590926607</v>
      </c>
      <c r="H336" t="b">
        <v>0</v>
      </c>
    </row>
    <row r="337" spans="1:8" x14ac:dyDescent="0.15">
      <c r="A337">
        <v>17</v>
      </c>
      <c r="B337">
        <v>5</v>
      </c>
      <c r="C337">
        <v>471875</v>
      </c>
      <c r="D337">
        <v>-21909844.196730535</v>
      </c>
      <c r="E337">
        <v>9.8338605856305293E-6</v>
      </c>
      <c r="F337">
        <v>1.6281267644159479E-5</v>
      </c>
      <c r="G337">
        <v>-6.4474070585289495E-6</v>
      </c>
      <c r="H337" t="b">
        <v>1</v>
      </c>
    </row>
    <row r="338" spans="1:8" x14ac:dyDescent="0.15">
      <c r="A338">
        <v>17</v>
      </c>
      <c r="B338">
        <v>6</v>
      </c>
      <c r="C338">
        <v>657812.5</v>
      </c>
      <c r="D338">
        <v>2647992131889.3525</v>
      </c>
      <c r="E338">
        <v>5.1466512496908777E-3</v>
      </c>
      <c r="F338">
        <v>1.6281267644159374E-5</v>
      </c>
      <c r="G338">
        <v>5.1303699820467183E-3</v>
      </c>
      <c r="H338" t="b">
        <v>0</v>
      </c>
    </row>
    <row r="339" spans="1:8" x14ac:dyDescent="0.15">
      <c r="A339">
        <v>17</v>
      </c>
      <c r="B339">
        <v>7</v>
      </c>
      <c r="C339">
        <v>564843.75</v>
      </c>
      <c r="D339">
        <v>56256682516.186104</v>
      </c>
      <c r="E339">
        <v>2.7578696231783824E-4</v>
      </c>
      <c r="F339">
        <v>1.6281267644159482E-5</v>
      </c>
      <c r="G339">
        <v>2.5950569467367876E-4</v>
      </c>
      <c r="H339" t="b">
        <v>0</v>
      </c>
    </row>
    <row r="340" spans="1:8" x14ac:dyDescent="0.15">
      <c r="A340">
        <v>17</v>
      </c>
      <c r="B340">
        <v>8</v>
      </c>
      <c r="C340">
        <v>518359.375</v>
      </c>
      <c r="D340">
        <v>3093150449.7475057</v>
      </c>
      <c r="E340">
        <v>4.6174874879397134E-5</v>
      </c>
      <c r="F340">
        <v>1.6281267644159479E-5</v>
      </c>
      <c r="G340">
        <v>2.9893607235237655E-5</v>
      </c>
      <c r="H340" t="b">
        <v>0</v>
      </c>
    </row>
    <row r="341" spans="1:8" x14ac:dyDescent="0.15">
      <c r="A341">
        <v>17</v>
      </c>
      <c r="B341">
        <v>9</v>
      </c>
      <c r="C341">
        <v>495117.1875</v>
      </c>
      <c r="D341">
        <v>24002303.034387905</v>
      </c>
      <c r="E341">
        <v>1.6929732551734205E-5</v>
      </c>
      <c r="F341">
        <v>1.6281267644159479E-5</v>
      </c>
      <c r="G341">
        <v>6.4846490757472592E-7</v>
      </c>
      <c r="H341" t="b">
        <v>0</v>
      </c>
    </row>
    <row r="342" spans="1:8" x14ac:dyDescent="0.15">
      <c r="A342">
        <v>17</v>
      </c>
      <c r="B342">
        <v>10</v>
      </c>
      <c r="C342">
        <v>483496.09375</v>
      </c>
      <c r="D342">
        <v>-56792909.991587184</v>
      </c>
      <c r="E342">
        <v>1.2731942978945275E-5</v>
      </c>
      <c r="F342">
        <v>1.6281267644159479E-5</v>
      </c>
      <c r="G342">
        <v>-3.5493246652142037E-6</v>
      </c>
      <c r="H342" t="b">
        <v>1</v>
      </c>
    </row>
    <row r="343" spans="1:8" x14ac:dyDescent="0.15">
      <c r="A343">
        <v>17</v>
      </c>
      <c r="B343">
        <v>11</v>
      </c>
      <c r="C343">
        <v>489306.640625</v>
      </c>
      <c r="D343">
        <v>-45178903.124816597</v>
      </c>
      <c r="E343">
        <v>1.4453030367614465E-5</v>
      </c>
      <c r="F343">
        <v>1.6281267644159479E-5</v>
      </c>
      <c r="G343">
        <v>-1.8282372765450139E-6</v>
      </c>
      <c r="H343" t="b">
        <v>1</v>
      </c>
    </row>
    <row r="344" spans="1:8" x14ac:dyDescent="0.15">
      <c r="A344">
        <v>17</v>
      </c>
      <c r="B344">
        <v>12</v>
      </c>
      <c r="C344">
        <v>492211.9140625</v>
      </c>
      <c r="D344">
        <v>-26241740.766981591</v>
      </c>
      <c r="E344">
        <v>1.5389199084584109E-5</v>
      </c>
      <c r="F344">
        <v>1.6281267644159479E-5</v>
      </c>
      <c r="G344">
        <v>-8.9206855957536945E-7</v>
      </c>
      <c r="H344" t="b">
        <v>1</v>
      </c>
    </row>
    <row r="345" spans="1:8" x14ac:dyDescent="0.15">
      <c r="A345">
        <v>17</v>
      </c>
      <c r="B345">
        <v>13</v>
      </c>
      <c r="C345">
        <v>493664.55078125</v>
      </c>
      <c r="D345">
        <v>-12867576.836664718</v>
      </c>
      <c r="E345">
        <v>1.5877202019001158E-5</v>
      </c>
      <c r="F345">
        <v>1.6281267644159479E-5</v>
      </c>
      <c r="G345">
        <v>-4.0406562515832084E-7</v>
      </c>
      <c r="H345" t="b">
        <v>1</v>
      </c>
    </row>
    <row r="346" spans="1:8" x14ac:dyDescent="0.15">
      <c r="A346">
        <v>17</v>
      </c>
      <c r="B346">
        <v>14</v>
      </c>
      <c r="C346">
        <v>494164.55078125</v>
      </c>
      <c r="D346">
        <v>-2122252.3230502857</v>
      </c>
      <c r="E346">
        <v>1.6217972611486328E-5</v>
      </c>
      <c r="F346">
        <v>1.6281267644159479E-5</v>
      </c>
      <c r="G346">
        <v>-6.3295032673150287E-8</v>
      </c>
      <c r="H346" t="b">
        <v>1</v>
      </c>
    </row>
    <row r="347" spans="1:8" x14ac:dyDescent="0.15">
      <c r="A347">
        <v>17</v>
      </c>
      <c r="B347">
        <v>15</v>
      </c>
      <c r="C347">
        <v>494664.55078125</v>
      </c>
      <c r="D347">
        <v>10843360.730856827</v>
      </c>
      <c r="E347">
        <v>1.6588036429601565E-5</v>
      </c>
      <c r="F347">
        <v>1.6281267644159479E-5</v>
      </c>
      <c r="G347">
        <v>3.067687854420859E-7</v>
      </c>
      <c r="H347" t="b">
        <v>0</v>
      </c>
    </row>
    <row r="348" spans="1:8" x14ac:dyDescent="0.15">
      <c r="A348">
        <v>17</v>
      </c>
      <c r="B348">
        <v>16</v>
      </c>
      <c r="C348">
        <v>494414.55078125</v>
      </c>
      <c r="D348">
        <v>4159070.4556354638</v>
      </c>
      <c r="E348">
        <v>1.640204758631801E-5</v>
      </c>
      <c r="F348">
        <v>1.6281267644159479E-5</v>
      </c>
      <c r="G348">
        <v>1.2077994215853159E-7</v>
      </c>
      <c r="H348" t="b">
        <v>0</v>
      </c>
    </row>
    <row r="349" spans="1:8" x14ac:dyDescent="0.15">
      <c r="A349">
        <v>17</v>
      </c>
      <c r="B349">
        <v>17</v>
      </c>
      <c r="C349">
        <v>494114.55078125</v>
      </c>
      <c r="D349">
        <v>-3330805.8874594825</v>
      </c>
      <c r="E349">
        <v>1.6181391004681676E-5</v>
      </c>
      <c r="F349">
        <v>1.6281267644159479E-5</v>
      </c>
      <c r="G349">
        <v>-9.9876639477802976E-8</v>
      </c>
      <c r="H349" t="b">
        <v>1</v>
      </c>
    </row>
    <row r="350" spans="1:8" x14ac:dyDescent="0.15">
      <c r="A350">
        <v>17</v>
      </c>
      <c r="B350">
        <v>18</v>
      </c>
      <c r="C350">
        <v>494264.55078125</v>
      </c>
      <c r="D350">
        <v>342561.6277967323</v>
      </c>
      <c r="E350">
        <v>1.6291375390126526E-5</v>
      </c>
      <c r="F350">
        <v>1.6281267644159479E-5</v>
      </c>
      <c r="G350">
        <v>1.0107745967047088E-8</v>
      </c>
      <c r="H350" t="b">
        <v>0</v>
      </c>
    </row>
    <row r="351" spans="1:8" x14ac:dyDescent="0.15">
      <c r="A351">
        <v>17</v>
      </c>
      <c r="B351">
        <v>19</v>
      </c>
      <c r="C351">
        <v>494444.55078125</v>
      </c>
      <c r="D351">
        <v>4939726.4784957282</v>
      </c>
      <c r="E351">
        <v>1.6424264896355872E-5</v>
      </c>
      <c r="F351">
        <v>1.6281267644159479E-5</v>
      </c>
      <c r="G351">
        <v>1.4299725219639299E-7</v>
      </c>
      <c r="H351" t="b">
        <v>0</v>
      </c>
    </row>
    <row r="352" spans="1:8" x14ac:dyDescent="0.15">
      <c r="A352">
        <v>17</v>
      </c>
      <c r="B352">
        <v>20</v>
      </c>
      <c r="C352">
        <v>494354.55078125</v>
      </c>
      <c r="D352">
        <v>2615160.8867588951</v>
      </c>
      <c r="E352">
        <v>1.6357695921353001E-5</v>
      </c>
      <c r="F352">
        <v>1.6281267644159479E-5</v>
      </c>
      <c r="G352">
        <v>7.6428277193522253E-8</v>
      </c>
      <c r="H352" t="b">
        <v>0</v>
      </c>
    </row>
    <row r="353" spans="1:8" x14ac:dyDescent="0.15">
      <c r="A353">
        <v>17</v>
      </c>
      <c r="B353">
        <v>21</v>
      </c>
      <c r="C353">
        <v>494246.55078125</v>
      </c>
      <c r="D353">
        <v>-105760.57296287632</v>
      </c>
      <c r="E353">
        <v>1.627814102550541E-5</v>
      </c>
      <c r="F353">
        <v>1.6281267644159479E-5</v>
      </c>
      <c r="G353">
        <v>-3.1266186540684817E-9</v>
      </c>
      <c r="H353" t="b">
        <v>1</v>
      </c>
    </row>
    <row r="354" spans="1:8" x14ac:dyDescent="0.15">
      <c r="A354">
        <v>17</v>
      </c>
      <c r="B354">
        <v>22</v>
      </c>
      <c r="C354">
        <v>494300.55078125</v>
      </c>
      <c r="D354">
        <v>1245266.0342050428</v>
      </c>
      <c r="E354">
        <v>1.6317870121899835E-5</v>
      </c>
      <c r="F354">
        <v>1.6281267644159479E-5</v>
      </c>
      <c r="G354">
        <v>3.6602477740356118E-8</v>
      </c>
      <c r="H354" t="b">
        <v>0</v>
      </c>
    </row>
    <row r="355" spans="1:8" x14ac:dyDescent="0.15">
      <c r="A355">
        <v>17</v>
      </c>
      <c r="B355">
        <v>23</v>
      </c>
      <c r="C355">
        <v>494273.55078125</v>
      </c>
      <c r="D355">
        <v>567369.0773850315</v>
      </c>
      <c r="E355">
        <v>1.6297992569164606E-5</v>
      </c>
      <c r="F355">
        <v>1.6281267644159479E-5</v>
      </c>
      <c r="G355">
        <v>1.6724925005126963E-8</v>
      </c>
      <c r="H355" t="b">
        <v>0</v>
      </c>
    </row>
    <row r="356" spans="1:8" x14ac:dyDescent="0.15">
      <c r="A356">
        <v>17</v>
      </c>
      <c r="B356">
        <v>24</v>
      </c>
      <c r="C356">
        <v>494241.15078124998</v>
      </c>
      <c r="D356">
        <v>-239855.82203818182</v>
      </c>
      <c r="E356">
        <v>1.6274172646291218E-5</v>
      </c>
      <c r="F356">
        <v>1.6281267644159479E-5</v>
      </c>
      <c r="G356">
        <v>-7.0949978682602951E-9</v>
      </c>
      <c r="H356" t="b">
        <v>1</v>
      </c>
    </row>
    <row r="357" spans="1:8" x14ac:dyDescent="0.15">
      <c r="A357">
        <v>17</v>
      </c>
      <c r="B357">
        <v>25</v>
      </c>
      <c r="C357">
        <v>494257.35078124999</v>
      </c>
      <c r="D357">
        <v>162859.74460141195</v>
      </c>
      <c r="E357">
        <v>1.6286076742442675E-5</v>
      </c>
      <c r="F357">
        <v>1.6281267644159479E-5</v>
      </c>
      <c r="G357">
        <v>4.8090982831962661E-9</v>
      </c>
      <c r="H357" t="b">
        <v>0</v>
      </c>
    </row>
    <row r="358" spans="1:8" x14ac:dyDescent="0.15">
      <c r="A358">
        <v>17</v>
      </c>
      <c r="B358">
        <v>26</v>
      </c>
      <c r="C358">
        <v>494276.79078124999</v>
      </c>
      <c r="D358">
        <v>648597.86772279267</v>
      </c>
      <c r="E358">
        <v>1.6300380414384086E-5</v>
      </c>
      <c r="F358">
        <v>1.6281267644159479E-5</v>
      </c>
      <c r="G358">
        <v>1.911277022460678E-8</v>
      </c>
      <c r="H358" t="b">
        <v>0</v>
      </c>
    </row>
    <row r="359" spans="1:8" x14ac:dyDescent="0.15">
      <c r="A359">
        <v>17</v>
      </c>
      <c r="B359">
        <v>27</v>
      </c>
      <c r="C359">
        <v>494267.07078125002</v>
      </c>
      <c r="D359">
        <v>405491.1385683078</v>
      </c>
      <c r="E359">
        <v>1.6293228991303751E-5</v>
      </c>
      <c r="F359">
        <v>1.6281267644159479E-5</v>
      </c>
      <c r="G359">
        <v>1.1961347144272288E-8</v>
      </c>
      <c r="H359" t="b">
        <v>0</v>
      </c>
    </row>
    <row r="360" spans="1:8" x14ac:dyDescent="0.15">
      <c r="A360">
        <v>17</v>
      </c>
      <c r="B360">
        <v>28</v>
      </c>
      <c r="C360">
        <v>494271.93078125</v>
      </c>
      <c r="D360">
        <v>526842.99333812972</v>
      </c>
      <c r="E360">
        <v>1.629680062547977E-5</v>
      </c>
      <c r="F360">
        <v>1.6281267644159479E-5</v>
      </c>
      <c r="G360">
        <v>1.5532981320291316E-8</v>
      </c>
      <c r="H360" t="b">
        <v>0</v>
      </c>
    </row>
    <row r="361" spans="1:8" x14ac:dyDescent="0.15">
      <c r="A361">
        <v>17</v>
      </c>
      <c r="B361">
        <v>29</v>
      </c>
      <c r="C361">
        <v>494269.50078125001</v>
      </c>
      <c r="D361">
        <v>466085.18342939514</v>
      </c>
      <c r="E361">
        <v>1.629501286040083E-5</v>
      </c>
      <c r="F361">
        <v>1.6281267644159479E-5</v>
      </c>
      <c r="G361">
        <v>1.3745216241351117E-8</v>
      </c>
      <c r="H361" t="b">
        <v>0</v>
      </c>
    </row>
    <row r="362" spans="1:8" x14ac:dyDescent="0.15">
      <c r="A362">
        <v>17</v>
      </c>
      <c r="B362">
        <v>30</v>
      </c>
      <c r="C362">
        <v>494270.71578125004</v>
      </c>
      <c r="D362">
        <v>496459.3945243567</v>
      </c>
      <c r="E362">
        <v>1.6295906720375457E-5</v>
      </c>
      <c r="F362">
        <v>1.6281267644159479E-5</v>
      </c>
      <c r="G362">
        <v>1.4639076215978698E-8</v>
      </c>
      <c r="H362" t="b">
        <v>0</v>
      </c>
    </row>
    <row r="363" spans="1:8" x14ac:dyDescent="0.15">
      <c r="A363">
        <v>18</v>
      </c>
      <c r="B363">
        <v>1</v>
      </c>
      <c r="C363">
        <v>6050000</v>
      </c>
      <c r="D363">
        <v>2.182238099339681E+18</v>
      </c>
      <c r="E363">
        <v>536.87092200000018</v>
      </c>
      <c r="F363">
        <v>1.6348198187188245E-5</v>
      </c>
      <c r="G363">
        <v>536.87090565180199</v>
      </c>
      <c r="H363" t="b">
        <v>0</v>
      </c>
    </row>
    <row r="364" spans="1:8" x14ac:dyDescent="0.15">
      <c r="A364">
        <v>18</v>
      </c>
      <c r="B364">
        <v>2</v>
      </c>
      <c r="C364">
        <v>3075000</v>
      </c>
      <c r="D364">
        <v>2.1822380993396808E+18</v>
      </c>
      <c r="E364">
        <v>536.87092200000006</v>
      </c>
      <c r="F364">
        <v>1.6348198187188245E-5</v>
      </c>
      <c r="G364">
        <v>536.87090565180188</v>
      </c>
      <c r="H364" t="b">
        <v>0</v>
      </c>
    </row>
    <row r="365" spans="1:8" x14ac:dyDescent="0.15">
      <c r="A365">
        <v>18</v>
      </c>
      <c r="B365">
        <v>3</v>
      </c>
      <c r="C365">
        <v>1587500</v>
      </c>
      <c r="D365">
        <v>148959144432814.28</v>
      </c>
      <c r="E365">
        <v>0.13794870263380157</v>
      </c>
      <c r="F365">
        <v>1.6348198136839631E-5</v>
      </c>
      <c r="G365">
        <v>0.13793235443566473</v>
      </c>
      <c r="H365" t="b">
        <v>0</v>
      </c>
    </row>
    <row r="366" spans="1:8" x14ac:dyDescent="0.15">
      <c r="A366">
        <v>18</v>
      </c>
      <c r="B366">
        <v>4</v>
      </c>
      <c r="C366">
        <v>843750</v>
      </c>
      <c r="D366">
        <v>-4168590.1533986293</v>
      </c>
      <c r="E366">
        <v>7.3742902229818587E-6</v>
      </c>
      <c r="F366">
        <v>1.6348198136847576E-5</v>
      </c>
      <c r="G366">
        <v>-8.9739079138657185E-6</v>
      </c>
      <c r="H366" t="b">
        <v>1</v>
      </c>
    </row>
    <row r="367" spans="1:8" x14ac:dyDescent="0.15">
      <c r="A367">
        <v>18</v>
      </c>
      <c r="B367">
        <v>5</v>
      </c>
      <c r="C367">
        <v>1215625</v>
      </c>
      <c r="D367">
        <v>1011343591677.5731</v>
      </c>
      <c r="E367">
        <v>2.424480405355537E-3</v>
      </c>
      <c r="F367">
        <v>1.6348198136847437E-5</v>
      </c>
      <c r="G367">
        <v>2.4081322072186896E-3</v>
      </c>
      <c r="H367" t="b">
        <v>0</v>
      </c>
    </row>
    <row r="368" spans="1:8" x14ac:dyDescent="0.15">
      <c r="A368">
        <v>18</v>
      </c>
      <c r="B368">
        <v>6</v>
      </c>
      <c r="C368">
        <v>1029687.5</v>
      </c>
      <c r="D368">
        <v>22020620741.23753</v>
      </c>
      <c r="E368">
        <v>1.4557327003681899E-4</v>
      </c>
      <c r="F368">
        <v>1.6348198136847573E-5</v>
      </c>
      <c r="G368">
        <v>1.2922507189997142E-4</v>
      </c>
      <c r="H368" t="b">
        <v>0</v>
      </c>
    </row>
    <row r="369" spans="1:8" x14ac:dyDescent="0.15">
      <c r="A369">
        <v>18</v>
      </c>
      <c r="B369">
        <v>7</v>
      </c>
      <c r="C369">
        <v>936718.75</v>
      </c>
      <c r="D369">
        <v>607317400.07135999</v>
      </c>
      <c r="E369">
        <v>2.4903736862091975E-5</v>
      </c>
      <c r="F369">
        <v>1.6348198136847576E-5</v>
      </c>
      <c r="G369">
        <v>8.5555387252443989E-6</v>
      </c>
      <c r="H369" t="b">
        <v>0</v>
      </c>
    </row>
    <row r="370" spans="1:8" x14ac:dyDescent="0.15">
      <c r="A370">
        <v>18</v>
      </c>
      <c r="B370">
        <v>8</v>
      </c>
      <c r="C370">
        <v>890234.375</v>
      </c>
      <c r="D370">
        <v>-54448703.644473679</v>
      </c>
      <c r="E370">
        <v>1.2235063203546413E-5</v>
      </c>
      <c r="F370">
        <v>1.6348198136847576E-5</v>
      </c>
      <c r="G370">
        <v>-4.1131349333011635E-6</v>
      </c>
      <c r="H370" t="b">
        <v>1</v>
      </c>
    </row>
    <row r="371" spans="1:8" x14ac:dyDescent="0.15">
      <c r="A371">
        <v>18</v>
      </c>
      <c r="B371">
        <v>9</v>
      </c>
      <c r="C371">
        <v>913476.5625</v>
      </c>
      <c r="D371">
        <v>-22712272.003756236</v>
      </c>
      <c r="E371">
        <v>1.5591478803359469E-5</v>
      </c>
      <c r="F371">
        <v>1.6348198136847576E-5</v>
      </c>
      <c r="G371">
        <v>-7.5671933348810743E-7</v>
      </c>
      <c r="H371" t="b">
        <v>1</v>
      </c>
    </row>
    <row r="372" spans="1:8" x14ac:dyDescent="0.15">
      <c r="A372">
        <v>18</v>
      </c>
      <c r="B372">
        <v>10</v>
      </c>
      <c r="C372">
        <v>925097.65625</v>
      </c>
      <c r="D372">
        <v>154974624.91743436</v>
      </c>
      <c r="E372">
        <v>1.9526123586833522E-5</v>
      </c>
      <c r="F372">
        <v>1.6348198136847576E-5</v>
      </c>
      <c r="G372">
        <v>3.1779254499859455E-6</v>
      </c>
      <c r="H372" t="b">
        <v>0</v>
      </c>
    </row>
    <row r="373" spans="1:8" x14ac:dyDescent="0.15">
      <c r="A373">
        <v>18</v>
      </c>
      <c r="B373">
        <v>11</v>
      </c>
      <c r="C373">
        <v>919287.109375</v>
      </c>
      <c r="D373">
        <v>34527417.060410768</v>
      </c>
      <c r="E373">
        <v>1.725403147839155E-5</v>
      </c>
      <c r="F373">
        <v>1.6348198136847576E-5</v>
      </c>
      <c r="G373">
        <v>9.0583334154397345E-7</v>
      </c>
      <c r="H373" t="b">
        <v>0</v>
      </c>
    </row>
    <row r="374" spans="1:8" x14ac:dyDescent="0.15">
      <c r="A374">
        <v>18</v>
      </c>
      <c r="B374">
        <v>12</v>
      </c>
      <c r="C374">
        <v>916381.8359375</v>
      </c>
      <c r="D374">
        <v>-4550747.8320545321</v>
      </c>
      <c r="E374">
        <v>1.6210544771711464E-5</v>
      </c>
      <c r="F374">
        <v>1.6348198136847576E-5</v>
      </c>
      <c r="G374">
        <v>-1.3765336513611194E-7</v>
      </c>
      <c r="H374" t="b">
        <v>1</v>
      </c>
    </row>
    <row r="375" spans="1:8" x14ac:dyDescent="0.15">
      <c r="A375">
        <v>18</v>
      </c>
      <c r="B375">
        <v>13</v>
      </c>
      <c r="C375">
        <v>917834.47265625</v>
      </c>
      <c r="D375">
        <v>13397187.545994598</v>
      </c>
      <c r="E375">
        <v>1.6724896547478684E-5</v>
      </c>
      <c r="F375">
        <v>1.6348198136847576E-5</v>
      </c>
      <c r="G375">
        <v>3.766984106311074E-7</v>
      </c>
      <c r="H375" t="b">
        <v>0</v>
      </c>
    </row>
    <row r="376" spans="1:8" x14ac:dyDescent="0.15">
      <c r="A376">
        <v>18</v>
      </c>
      <c r="B376">
        <v>14</v>
      </c>
      <c r="C376">
        <v>916634.47265625</v>
      </c>
      <c r="D376">
        <v>-1649301.5219218456</v>
      </c>
      <c r="E376">
        <v>1.6298953140921602E-5</v>
      </c>
      <c r="F376">
        <v>1.6348198136847576E-5</v>
      </c>
      <c r="G376">
        <v>-4.9244995925974033E-8</v>
      </c>
      <c r="H376" t="b">
        <v>1</v>
      </c>
    </row>
    <row r="377" spans="1:8" x14ac:dyDescent="0.15">
      <c r="A377">
        <v>18</v>
      </c>
      <c r="B377">
        <v>15</v>
      </c>
      <c r="C377">
        <v>917234.47265625</v>
      </c>
      <c r="D377">
        <v>5609545.042547686</v>
      </c>
      <c r="E377">
        <v>1.6510679520808833E-5</v>
      </c>
      <c r="F377">
        <v>1.6348198136847576E-5</v>
      </c>
      <c r="G377">
        <v>1.6248138396125666E-7</v>
      </c>
      <c r="H377" t="b">
        <v>0</v>
      </c>
    </row>
    <row r="378" spans="1:8" x14ac:dyDescent="0.15">
      <c r="A378">
        <v>18</v>
      </c>
      <c r="B378">
        <v>16</v>
      </c>
      <c r="C378">
        <v>916934.47265625</v>
      </c>
      <c r="D378">
        <v>1914818.8881014546</v>
      </c>
      <c r="E378">
        <v>1.6404504791834815E-5</v>
      </c>
      <c r="F378">
        <v>1.6348198136847576E-5</v>
      </c>
      <c r="G378">
        <v>5.6306654987238491E-8</v>
      </c>
      <c r="H378" t="b">
        <v>0</v>
      </c>
    </row>
    <row r="379" spans="1:8" x14ac:dyDescent="0.15">
      <c r="A379">
        <v>18</v>
      </c>
      <c r="B379">
        <v>17</v>
      </c>
      <c r="C379">
        <v>916574.47265625</v>
      </c>
      <c r="D379">
        <v>-2346613.9232747299</v>
      </c>
      <c r="E379">
        <v>1.6277917007009003E-5</v>
      </c>
      <c r="F379">
        <v>1.6348198136847576E-5</v>
      </c>
      <c r="G379">
        <v>-7.0281129838573243E-8</v>
      </c>
      <c r="H379" t="b">
        <v>1</v>
      </c>
    </row>
    <row r="380" spans="1:8" x14ac:dyDescent="0.15">
      <c r="A380">
        <v>18</v>
      </c>
      <c r="B380">
        <v>18</v>
      </c>
      <c r="C380">
        <v>916754.47265625</v>
      </c>
      <c r="D380">
        <v>-239206.06145357486</v>
      </c>
      <c r="E380">
        <v>1.6341099528451695E-5</v>
      </c>
      <c r="F380">
        <v>1.6348198136847576E-5</v>
      </c>
      <c r="G380">
        <v>-7.0986083958815311E-9</v>
      </c>
      <c r="H380" t="b">
        <v>1</v>
      </c>
    </row>
    <row r="381" spans="1:8" x14ac:dyDescent="0.15">
      <c r="A381">
        <v>18</v>
      </c>
      <c r="B381">
        <v>19</v>
      </c>
      <c r="C381">
        <v>916934.47265625</v>
      </c>
      <c r="D381">
        <v>1914818.8881014546</v>
      </c>
      <c r="E381">
        <v>1.6404504791834815E-5</v>
      </c>
      <c r="F381">
        <v>1.6348198136847576E-5</v>
      </c>
      <c r="G381">
        <v>5.6306654987238491E-8</v>
      </c>
      <c r="H381" t="b">
        <v>0</v>
      </c>
    </row>
    <row r="382" spans="1:8" x14ac:dyDescent="0.15">
      <c r="A382">
        <v>18</v>
      </c>
      <c r="B382">
        <v>20</v>
      </c>
      <c r="C382">
        <v>916844.47265625</v>
      </c>
      <c r="D382">
        <v>832035.67865780916</v>
      </c>
      <c r="E382">
        <v>1.6372776614420357E-5</v>
      </c>
      <c r="F382">
        <v>1.6348198136847576E-5</v>
      </c>
      <c r="G382">
        <v>2.4578477572780944E-8</v>
      </c>
      <c r="H382" t="b">
        <v>0</v>
      </c>
    </row>
    <row r="383" spans="1:8" x14ac:dyDescent="0.15">
      <c r="A383">
        <v>18</v>
      </c>
      <c r="B383">
        <v>21</v>
      </c>
      <c r="C383">
        <v>916889.47265625</v>
      </c>
      <c r="D383">
        <v>1372002.027993714</v>
      </c>
      <c r="E383">
        <v>1.6388634898207311E-5</v>
      </c>
      <c r="F383">
        <v>1.6348198136847576E-5</v>
      </c>
      <c r="G383">
        <v>4.0436761359734377E-8</v>
      </c>
      <c r="H383" t="b">
        <v>0</v>
      </c>
    </row>
    <row r="384" spans="1:8" x14ac:dyDescent="0.15">
      <c r="A384">
        <v>18</v>
      </c>
      <c r="B384">
        <v>22</v>
      </c>
      <c r="C384">
        <v>916866.97265625</v>
      </c>
      <c r="D384">
        <v>1101573.2555572125</v>
      </c>
      <c r="E384">
        <v>1.6380701675402463E-5</v>
      </c>
      <c r="F384">
        <v>1.6348198136847576E-5</v>
      </c>
      <c r="G384">
        <v>3.2503538554886231E-8</v>
      </c>
      <c r="H384" t="b">
        <v>0</v>
      </c>
    </row>
    <row r="385" spans="1:8" x14ac:dyDescent="0.15">
      <c r="A385">
        <v>18</v>
      </c>
      <c r="B385">
        <v>23</v>
      </c>
      <c r="C385">
        <v>916839.97265625</v>
      </c>
      <c r="D385">
        <v>778120.68842833862</v>
      </c>
      <c r="E385">
        <v>1.6371189216745299E-5</v>
      </c>
      <c r="F385">
        <v>1.6348198136847576E-5</v>
      </c>
      <c r="G385">
        <v>2.2991079897722753E-8</v>
      </c>
      <c r="H385" t="b">
        <v>0</v>
      </c>
    </row>
    <row r="386" spans="1:8" x14ac:dyDescent="0.15">
      <c r="A386">
        <v>18</v>
      </c>
      <c r="B386">
        <v>24</v>
      </c>
      <c r="C386">
        <v>916853.47265625</v>
      </c>
      <c r="D386">
        <v>939715.29285854136</v>
      </c>
      <c r="E386">
        <v>1.6375944818632333E-5</v>
      </c>
      <c r="F386">
        <v>1.6348198136847576E-5</v>
      </c>
      <c r="G386">
        <v>2.7746681784756542E-8</v>
      </c>
      <c r="H386" t="b">
        <v>0</v>
      </c>
    </row>
    <row r="387" spans="1:8" x14ac:dyDescent="0.15">
      <c r="A387">
        <v>18</v>
      </c>
      <c r="B387">
        <v>25</v>
      </c>
      <c r="C387">
        <v>916846.72265625</v>
      </c>
      <c r="D387">
        <v>858964.4771671833</v>
      </c>
      <c r="E387">
        <v>1.6373569197423983E-5</v>
      </c>
      <c r="F387">
        <v>1.6348198136847576E-5</v>
      </c>
      <c r="G387">
        <v>2.5371060576407034E-8</v>
      </c>
      <c r="H387" t="b">
        <v>0</v>
      </c>
    </row>
    <row r="388" spans="1:8" x14ac:dyDescent="0.15">
      <c r="A388">
        <v>18</v>
      </c>
      <c r="B388">
        <v>26</v>
      </c>
      <c r="C388">
        <v>916850.09765625</v>
      </c>
      <c r="D388">
        <v>899291.95797174936</v>
      </c>
      <c r="E388">
        <v>1.6374755800525571E-5</v>
      </c>
      <c r="F388">
        <v>1.6348198136847576E-5</v>
      </c>
      <c r="G388">
        <v>2.6557663677994963E-8</v>
      </c>
      <c r="H388" t="b">
        <v>0</v>
      </c>
    </row>
    <row r="389" spans="1:8" x14ac:dyDescent="0.15">
      <c r="A389">
        <v>18</v>
      </c>
      <c r="B389">
        <v>27</v>
      </c>
      <c r="C389">
        <v>916854.14765625005</v>
      </c>
      <c r="D389">
        <v>947801.93495788588</v>
      </c>
      <c r="E389">
        <v>1.6376182631665545E-5</v>
      </c>
      <c r="F389">
        <v>1.6348198136847576E-5</v>
      </c>
      <c r="G389">
        <v>2.7984494817968983E-8</v>
      </c>
      <c r="H389" t="b">
        <v>0</v>
      </c>
    </row>
    <row r="390" spans="1:8" x14ac:dyDescent="0.15">
      <c r="A390">
        <v>18</v>
      </c>
      <c r="B390">
        <v>28</v>
      </c>
      <c r="C390">
        <v>916852.12265625002</v>
      </c>
      <c r="D390">
        <v>923623.43351159396</v>
      </c>
      <c r="E390">
        <v>1.6375471538842052E-5</v>
      </c>
      <c r="F390">
        <v>1.6348198136847576E-5</v>
      </c>
      <c r="G390">
        <v>2.7273401994476086E-8</v>
      </c>
      <c r="H390" t="b">
        <v>0</v>
      </c>
    </row>
    <row r="391" spans="1:8" x14ac:dyDescent="0.15">
      <c r="A391">
        <v>19</v>
      </c>
      <c r="B391">
        <v>1</v>
      </c>
      <c r="C391">
        <v>6050000</v>
      </c>
      <c r="D391">
        <v>1.3021971132642478E+18</v>
      </c>
      <c r="E391">
        <v>536.87092200000006</v>
      </c>
      <c r="F391">
        <v>2.5762736072465486E-5</v>
      </c>
      <c r="G391">
        <v>536.87089623726399</v>
      </c>
      <c r="H391" t="b">
        <v>0</v>
      </c>
    </row>
    <row r="392" spans="1:8" x14ac:dyDescent="0.15">
      <c r="A392">
        <v>19</v>
      </c>
      <c r="B392">
        <v>2</v>
      </c>
      <c r="C392">
        <v>3075000</v>
      </c>
      <c r="D392">
        <v>1.3021971132642478E+18</v>
      </c>
      <c r="E392">
        <v>536.87092200000006</v>
      </c>
      <c r="F392">
        <v>2.5762736072465486E-5</v>
      </c>
      <c r="G392">
        <v>536.87089623726399</v>
      </c>
      <c r="H392" t="b">
        <v>0</v>
      </c>
    </row>
    <row r="393" spans="1:8" x14ac:dyDescent="0.15">
      <c r="A393">
        <v>19</v>
      </c>
      <c r="B393">
        <v>3</v>
      </c>
      <c r="C393">
        <v>1587500</v>
      </c>
      <c r="D393">
        <v>1.3021971132642478E+18</v>
      </c>
      <c r="E393">
        <v>536.87092200000006</v>
      </c>
      <c r="F393">
        <v>2.5762736072465486E-5</v>
      </c>
      <c r="G393">
        <v>536.87089623726399</v>
      </c>
      <c r="H393" t="b">
        <v>0</v>
      </c>
    </row>
    <row r="394" spans="1:8" x14ac:dyDescent="0.15">
      <c r="A394">
        <v>19</v>
      </c>
      <c r="B394">
        <v>4</v>
      </c>
      <c r="C394">
        <v>843750</v>
      </c>
      <c r="D394">
        <v>2544474068729.2886</v>
      </c>
      <c r="E394">
        <v>7.5458288786840405E-3</v>
      </c>
      <c r="F394">
        <v>2.5762736125966093E-5</v>
      </c>
      <c r="G394">
        <v>7.5200661425580744E-3</v>
      </c>
      <c r="H394" t="b">
        <v>0</v>
      </c>
    </row>
    <row r="395" spans="1:8" x14ac:dyDescent="0.15">
      <c r="A395">
        <v>19</v>
      </c>
      <c r="B395">
        <v>5</v>
      </c>
      <c r="C395">
        <v>471875</v>
      </c>
      <c r="D395">
        <v>-61856.616951490993</v>
      </c>
      <c r="E395">
        <v>-2.349916117609785E-6</v>
      </c>
      <c r="F395">
        <v>2.5762736125966368E-5</v>
      </c>
      <c r="G395">
        <v>-2.8112652243576153E-5</v>
      </c>
      <c r="H395" t="b">
        <v>1</v>
      </c>
    </row>
    <row r="396" spans="1:8" x14ac:dyDescent="0.15">
      <c r="A396">
        <v>19</v>
      </c>
      <c r="B396">
        <v>6</v>
      </c>
      <c r="C396">
        <v>657812.5</v>
      </c>
      <c r="D396">
        <v>570125162.69717765</v>
      </c>
      <c r="E396">
        <v>3.6862925911625671E-5</v>
      </c>
      <c r="F396">
        <v>2.5762736125966368E-5</v>
      </c>
      <c r="G396">
        <v>1.1100189785659304E-5</v>
      </c>
      <c r="H396" t="b">
        <v>0</v>
      </c>
    </row>
    <row r="397" spans="1:8" x14ac:dyDescent="0.15">
      <c r="A397">
        <v>19</v>
      </c>
      <c r="B397">
        <v>7</v>
      </c>
      <c r="C397">
        <v>564843.75</v>
      </c>
      <c r="D397">
        <v>-216273.96835536993</v>
      </c>
      <c r="E397">
        <v>3.9874279720643681E-6</v>
      </c>
      <c r="F397">
        <v>2.5762736125966368E-5</v>
      </c>
      <c r="G397">
        <v>-2.1775308153902E-5</v>
      </c>
      <c r="H397" t="b">
        <v>1</v>
      </c>
    </row>
    <row r="398" spans="1:8" x14ac:dyDescent="0.15">
      <c r="A398">
        <v>19</v>
      </c>
      <c r="B398">
        <v>8</v>
      </c>
      <c r="C398">
        <v>611328.125</v>
      </c>
      <c r="D398">
        <v>-2309806.302353947</v>
      </c>
      <c r="E398">
        <v>1.0330518402939449E-5</v>
      </c>
      <c r="F398">
        <v>2.5762736125966368E-5</v>
      </c>
      <c r="G398">
        <v>-1.5432217723026918E-5</v>
      </c>
      <c r="H398" t="b">
        <v>1</v>
      </c>
    </row>
    <row r="399" spans="1:8" x14ac:dyDescent="0.15">
      <c r="A399">
        <v>19</v>
      </c>
      <c r="B399">
        <v>9</v>
      </c>
      <c r="C399">
        <v>634570.3125</v>
      </c>
      <c r="D399">
        <v>-57953649.062460855</v>
      </c>
      <c r="E399">
        <v>1.6102193097085619E-5</v>
      </c>
      <c r="F399">
        <v>2.5762736125966368E-5</v>
      </c>
      <c r="G399">
        <v>-9.6605430288807481E-6</v>
      </c>
      <c r="H399" t="b">
        <v>1</v>
      </c>
    </row>
    <row r="400" spans="1:8" x14ac:dyDescent="0.15">
      <c r="A400">
        <v>19</v>
      </c>
      <c r="B400">
        <v>10</v>
      </c>
      <c r="C400">
        <v>646191.40625</v>
      </c>
      <c r="D400">
        <v>-47029659.679317139</v>
      </c>
      <c r="E400">
        <v>2.416572300082451E-5</v>
      </c>
      <c r="F400">
        <v>2.5762736125966368E-5</v>
      </c>
      <c r="G400">
        <v>-1.5970131251418579E-6</v>
      </c>
      <c r="H400" t="b">
        <v>1</v>
      </c>
    </row>
    <row r="401" spans="1:8" x14ac:dyDescent="0.15">
      <c r="A401">
        <v>19</v>
      </c>
      <c r="B401">
        <v>11</v>
      </c>
      <c r="C401">
        <v>652001.953125</v>
      </c>
      <c r="D401">
        <v>181778140.50914788</v>
      </c>
      <c r="E401">
        <v>2.9898598320552646E-5</v>
      </c>
      <c r="F401">
        <v>2.5762736125966368E-5</v>
      </c>
      <c r="G401">
        <v>4.1358621945862785E-6</v>
      </c>
      <c r="H401" t="b">
        <v>0</v>
      </c>
    </row>
    <row r="402" spans="1:8" x14ac:dyDescent="0.15">
      <c r="A402">
        <v>19</v>
      </c>
      <c r="B402">
        <v>12</v>
      </c>
      <c r="C402">
        <v>649096.6796875</v>
      </c>
      <c r="D402">
        <v>41390007.299526118</v>
      </c>
      <c r="E402">
        <v>2.6892305627134999E-5</v>
      </c>
      <c r="F402">
        <v>2.5762736125966368E-5</v>
      </c>
      <c r="G402">
        <v>1.1295695011686311E-6</v>
      </c>
      <c r="H402" t="b">
        <v>0</v>
      </c>
    </row>
    <row r="403" spans="1:8" x14ac:dyDescent="0.15">
      <c r="A403">
        <v>19</v>
      </c>
      <c r="B403">
        <v>13</v>
      </c>
      <c r="C403">
        <v>647644.04296875</v>
      </c>
      <c r="D403">
        <v>-8818554.9317126218</v>
      </c>
      <c r="E403">
        <v>2.5495594383919331E-5</v>
      </c>
      <c r="F403">
        <v>2.5762736125966368E-5</v>
      </c>
      <c r="G403">
        <v>-2.6714174204703697E-7</v>
      </c>
      <c r="H403" t="b">
        <v>1</v>
      </c>
    </row>
    <row r="404" spans="1:8" x14ac:dyDescent="0.15">
      <c r="A404">
        <v>19</v>
      </c>
      <c r="B404">
        <v>14</v>
      </c>
      <c r="C404">
        <v>648144.04296875</v>
      </c>
      <c r="D404">
        <v>7056992.5908268681</v>
      </c>
      <c r="E404">
        <v>2.5968759441214636E-5</v>
      </c>
      <c r="F404">
        <v>2.5762736125966368E-5</v>
      </c>
      <c r="G404">
        <v>2.0602331524826895E-7</v>
      </c>
      <c r="H404" t="b">
        <v>0</v>
      </c>
    </row>
    <row r="405" spans="1:8" x14ac:dyDescent="0.15">
      <c r="A405">
        <v>19</v>
      </c>
      <c r="B405">
        <v>15</v>
      </c>
      <c r="C405">
        <v>647894.04296875</v>
      </c>
      <c r="D405">
        <v>-1061571.855739597</v>
      </c>
      <c r="E405">
        <v>2.5731170877591331E-5</v>
      </c>
      <c r="F405">
        <v>2.5762736125966368E-5</v>
      </c>
      <c r="G405">
        <v>-3.1565248375036521E-8</v>
      </c>
      <c r="H405" t="b">
        <v>1</v>
      </c>
    </row>
    <row r="406" spans="1:8" x14ac:dyDescent="0.15">
      <c r="A406">
        <v>19</v>
      </c>
      <c r="B406">
        <v>16</v>
      </c>
      <c r="C406">
        <v>648019.04296875</v>
      </c>
      <c r="D406">
        <v>2952112.257208508</v>
      </c>
      <c r="E406">
        <v>2.5849711484939347E-5</v>
      </c>
      <c r="F406">
        <v>2.5762736125966368E-5</v>
      </c>
      <c r="G406">
        <v>8.6975358972979068E-8</v>
      </c>
      <c r="H406" t="b">
        <v>0</v>
      </c>
    </row>
    <row r="407" spans="1:8" x14ac:dyDescent="0.15">
      <c r="A407">
        <v>19</v>
      </c>
      <c r="B407">
        <v>17</v>
      </c>
      <c r="C407">
        <v>647956.54296875</v>
      </c>
      <c r="D407">
        <v>934036.34095809516</v>
      </c>
      <c r="E407">
        <v>2.5790381437506548E-5</v>
      </c>
      <c r="F407">
        <v>2.5762736125966368E-5</v>
      </c>
      <c r="G407">
        <v>2.7645311540180965E-8</v>
      </c>
      <c r="H407" t="b">
        <v>0</v>
      </c>
    </row>
    <row r="408" spans="1:8" x14ac:dyDescent="0.15">
      <c r="A408">
        <v>19</v>
      </c>
      <c r="B408">
        <v>18</v>
      </c>
      <c r="C408">
        <v>647881.54296875</v>
      </c>
      <c r="D408">
        <v>-1457852.8877391559</v>
      </c>
      <c r="E408">
        <v>2.5719347617828554E-5</v>
      </c>
      <c r="F408">
        <v>2.5762736125966368E-5</v>
      </c>
      <c r="G408">
        <v>-4.3388508137813645E-8</v>
      </c>
      <c r="H408" t="b">
        <v>1</v>
      </c>
    </row>
    <row r="409" spans="1:8" x14ac:dyDescent="0.15">
      <c r="A409">
        <v>19</v>
      </c>
      <c r="B409">
        <v>19</v>
      </c>
      <c r="C409">
        <v>647919.04296875</v>
      </c>
      <c r="D409">
        <v>-265981.23301289644</v>
      </c>
      <c r="E409">
        <v>2.575484191010373E-5</v>
      </c>
      <c r="F409">
        <v>2.5762736125966368E-5</v>
      </c>
      <c r="G409">
        <v>-7.8942158626372431E-9</v>
      </c>
      <c r="H409" t="b">
        <v>1</v>
      </c>
    </row>
    <row r="410" spans="1:8" x14ac:dyDescent="0.15">
      <c r="A410">
        <v>19</v>
      </c>
      <c r="B410">
        <v>20</v>
      </c>
      <c r="C410">
        <v>647956.54296875</v>
      </c>
      <c r="D410">
        <v>934036.34095809516</v>
      </c>
      <c r="E410">
        <v>2.5790381437506548E-5</v>
      </c>
      <c r="F410">
        <v>2.5762736125966368E-5</v>
      </c>
      <c r="G410">
        <v>2.7645311540180965E-8</v>
      </c>
      <c r="H410" t="b">
        <v>0</v>
      </c>
    </row>
    <row r="411" spans="1:8" x14ac:dyDescent="0.15">
      <c r="A411">
        <v>19</v>
      </c>
      <c r="B411">
        <v>21</v>
      </c>
      <c r="C411">
        <v>647937.79296875</v>
      </c>
      <c r="D411">
        <v>332901.62203644816</v>
      </c>
      <c r="E411">
        <v>2.5772602862612567E-5</v>
      </c>
      <c r="F411">
        <v>2.5762736125966368E-5</v>
      </c>
      <c r="G411">
        <v>9.8667366461990401E-9</v>
      </c>
      <c r="H411" t="b">
        <v>0</v>
      </c>
    </row>
    <row r="412" spans="1:8" x14ac:dyDescent="0.15">
      <c r="A412">
        <v>19</v>
      </c>
      <c r="B412">
        <v>22</v>
      </c>
      <c r="C412">
        <v>647947.16796875</v>
      </c>
      <c r="D412">
        <v>633160.54071206576</v>
      </c>
      <c r="E412">
        <v>2.5781489157314883E-5</v>
      </c>
      <c r="F412">
        <v>2.5762736125966368E-5</v>
      </c>
      <c r="G412">
        <v>1.8753031348515216E-8</v>
      </c>
      <c r="H412" t="b">
        <v>0</v>
      </c>
    </row>
    <row r="413" spans="1:8" x14ac:dyDescent="0.15">
      <c r="A413">
        <v>19</v>
      </c>
      <c r="B413">
        <v>23</v>
      </c>
      <c r="C413">
        <v>647958.41796875</v>
      </c>
      <c r="D413">
        <v>994251.39767840132</v>
      </c>
      <c r="E413">
        <v>2.5792159602239058E-5</v>
      </c>
      <c r="F413">
        <v>2.5762736125966368E-5</v>
      </c>
      <c r="G413">
        <v>2.9423476272690522E-8</v>
      </c>
      <c r="H413" t="b">
        <v>0</v>
      </c>
    </row>
    <row r="414" spans="1:8" x14ac:dyDescent="0.15">
      <c r="A414">
        <v>19</v>
      </c>
      <c r="B414">
        <v>24</v>
      </c>
      <c r="C414">
        <v>647952.79296875</v>
      </c>
      <c r="D414">
        <v>813667.46462358302</v>
      </c>
      <c r="E414">
        <v>2.5786825447684255E-5</v>
      </c>
      <c r="F414">
        <v>2.5762736125966368E-5</v>
      </c>
      <c r="G414">
        <v>2.4089321717887552E-8</v>
      </c>
      <c r="H414" t="b">
        <v>0</v>
      </c>
    </row>
    <row r="415" spans="1:8" x14ac:dyDescent="0.15">
      <c r="A415">
        <v>19</v>
      </c>
      <c r="B415">
        <v>25</v>
      </c>
      <c r="C415">
        <v>647946.04296875</v>
      </c>
      <c r="D415">
        <v>597102.54691378551</v>
      </c>
      <c r="E415">
        <v>2.5780422652560063E-5</v>
      </c>
      <c r="F415">
        <v>2.5762736125966368E-5</v>
      </c>
      <c r="G415">
        <v>1.768652659369502E-8</v>
      </c>
      <c r="H415" t="b">
        <v>0</v>
      </c>
    </row>
    <row r="416" spans="1:8" x14ac:dyDescent="0.15">
      <c r="A416">
        <v>19</v>
      </c>
      <c r="B416">
        <v>26</v>
      </c>
      <c r="C416">
        <v>647949.41796875</v>
      </c>
      <c r="D416">
        <v>705298.56195883895</v>
      </c>
      <c r="E416">
        <v>2.5783622289064076E-5</v>
      </c>
      <c r="F416">
        <v>2.5762736125966368E-5</v>
      </c>
      <c r="G416">
        <v>2.0886163097708614E-8</v>
      </c>
      <c r="H416" t="b">
        <v>0</v>
      </c>
    </row>
    <row r="417" spans="1:8" x14ac:dyDescent="0.15">
      <c r="A417">
        <v>19</v>
      </c>
      <c r="B417">
        <v>27</v>
      </c>
      <c r="C417">
        <v>647947.73046875</v>
      </c>
      <c r="D417">
        <v>651192.29163135006</v>
      </c>
      <c r="E417">
        <v>2.5782022424969371E-5</v>
      </c>
      <c r="F417">
        <v>2.5762736125966368E-5</v>
      </c>
      <c r="G417">
        <v>1.928629900300308E-8</v>
      </c>
      <c r="H417" t="b">
        <v>0</v>
      </c>
    </row>
    <row r="418" spans="1:8" x14ac:dyDescent="0.15">
      <c r="A418">
        <v>20</v>
      </c>
      <c r="B418">
        <v>1</v>
      </c>
      <c r="C418">
        <v>6050000</v>
      </c>
      <c r="D418">
        <v>2.1491936769004132E+18</v>
      </c>
      <c r="E418">
        <v>536.87092200000006</v>
      </c>
      <c r="F418">
        <v>1.6373376638512127E-5</v>
      </c>
      <c r="G418">
        <v>536.87090562662343</v>
      </c>
      <c r="H418" t="b">
        <v>0</v>
      </c>
    </row>
    <row r="419" spans="1:8" x14ac:dyDescent="0.15">
      <c r="A419">
        <v>20</v>
      </c>
      <c r="B419">
        <v>2</v>
      </c>
      <c r="C419">
        <v>3075000</v>
      </c>
      <c r="D419">
        <v>3.8657644557357632E+16</v>
      </c>
      <c r="E419">
        <v>15.860368928744359</v>
      </c>
      <c r="F419">
        <v>1.6373376592326849E-5</v>
      </c>
      <c r="G419">
        <v>15.860352555367767</v>
      </c>
      <c r="H419" t="b">
        <v>0</v>
      </c>
    </row>
    <row r="420" spans="1:8" x14ac:dyDescent="0.15">
      <c r="A420">
        <v>20</v>
      </c>
      <c r="B420">
        <v>3</v>
      </c>
      <c r="C420">
        <v>1587500</v>
      </c>
      <c r="D420">
        <v>253663578351.23816</v>
      </c>
      <c r="E420">
        <v>8.4839507797238121E-4</v>
      </c>
      <c r="F420">
        <v>1.6373376592761398E-5</v>
      </c>
      <c r="G420">
        <v>8.3202170137961981E-4</v>
      </c>
      <c r="H420" t="b">
        <v>0</v>
      </c>
    </row>
    <row r="421" spans="1:8" x14ac:dyDescent="0.15">
      <c r="A421">
        <v>20</v>
      </c>
      <c r="B421">
        <v>4</v>
      </c>
      <c r="C421">
        <v>843750</v>
      </c>
      <c r="D421">
        <v>-99545.744902886145</v>
      </c>
      <c r="E421">
        <v>-1.5112739830280366E-6</v>
      </c>
      <c r="F421">
        <v>1.6373376592761435E-5</v>
      </c>
      <c r="G421">
        <v>-1.7884650575789472E-5</v>
      </c>
      <c r="H421" t="b">
        <v>1</v>
      </c>
    </row>
    <row r="422" spans="1:8" x14ac:dyDescent="0.15">
      <c r="A422">
        <v>20</v>
      </c>
      <c r="B422">
        <v>5</v>
      </c>
      <c r="C422">
        <v>1215625</v>
      </c>
      <c r="D422">
        <v>-52659318.126870543</v>
      </c>
      <c r="E422">
        <v>1.221390614427924E-5</v>
      </c>
      <c r="F422">
        <v>1.6373376592761435E-5</v>
      </c>
      <c r="G422">
        <v>-4.1594704484821948E-6</v>
      </c>
      <c r="H422" t="b">
        <v>1</v>
      </c>
    </row>
    <row r="423" spans="1:8" x14ac:dyDescent="0.15">
      <c r="A423">
        <v>20</v>
      </c>
      <c r="B423">
        <v>6</v>
      </c>
      <c r="C423">
        <v>1401562.5</v>
      </c>
      <c r="D423">
        <v>14888282099.501688</v>
      </c>
      <c r="E423">
        <v>1.142774234277145E-4</v>
      </c>
      <c r="F423">
        <v>1.6373376592761438E-5</v>
      </c>
      <c r="G423">
        <v>9.790404683495306E-5</v>
      </c>
      <c r="H423" t="b">
        <v>0</v>
      </c>
    </row>
    <row r="424" spans="1:8" x14ac:dyDescent="0.15">
      <c r="A424">
        <v>20</v>
      </c>
      <c r="B424">
        <v>7</v>
      </c>
      <c r="C424">
        <v>1308593.75</v>
      </c>
      <c r="D424">
        <v>1580029468.7378569</v>
      </c>
      <c r="E424">
        <v>3.4712899293283926E-5</v>
      </c>
      <c r="F424">
        <v>1.6373376592761435E-5</v>
      </c>
      <c r="G424">
        <v>1.8339522700522492E-5</v>
      </c>
      <c r="H424" t="b">
        <v>0</v>
      </c>
    </row>
    <row r="425" spans="1:8" x14ac:dyDescent="0.15">
      <c r="A425">
        <v>20</v>
      </c>
      <c r="B425">
        <v>8</v>
      </c>
      <c r="C425">
        <v>1262109.375</v>
      </c>
      <c r="D425">
        <v>66599697.487764418</v>
      </c>
      <c r="E425">
        <v>1.8015131037840907E-5</v>
      </c>
      <c r="F425">
        <v>1.6373376592761435E-5</v>
      </c>
      <c r="G425">
        <v>1.6417544450794719E-6</v>
      </c>
      <c r="H425" t="b">
        <v>0</v>
      </c>
    </row>
    <row r="426" spans="1:8" x14ac:dyDescent="0.15">
      <c r="A426">
        <v>20</v>
      </c>
      <c r="B426">
        <v>9</v>
      </c>
      <c r="C426">
        <v>1238867.1875</v>
      </c>
      <c r="D426">
        <v>-45519839.213298462</v>
      </c>
      <c r="E426">
        <v>1.4435871508142896E-5</v>
      </c>
      <c r="F426">
        <v>1.6373376592761435E-5</v>
      </c>
      <c r="G426">
        <v>-1.9375050846185389E-6</v>
      </c>
      <c r="H426" t="b">
        <v>1</v>
      </c>
    </row>
    <row r="427" spans="1:8" x14ac:dyDescent="0.15">
      <c r="A427">
        <v>20</v>
      </c>
      <c r="B427">
        <v>10</v>
      </c>
      <c r="C427">
        <v>1250488.28125</v>
      </c>
      <c r="D427">
        <v>-20742014.332065236</v>
      </c>
      <c r="E427">
        <v>1.5670049640988193E-5</v>
      </c>
      <c r="F427">
        <v>1.6373376592761435E-5</v>
      </c>
      <c r="G427">
        <v>-7.033269517732417E-7</v>
      </c>
      <c r="H427" t="b">
        <v>1</v>
      </c>
    </row>
    <row r="428" spans="1:8" x14ac:dyDescent="0.15">
      <c r="A428">
        <v>20</v>
      </c>
      <c r="B428">
        <v>11</v>
      </c>
      <c r="C428">
        <v>1256298.828125</v>
      </c>
      <c r="D428">
        <v>5773659.2854045015</v>
      </c>
      <c r="E428">
        <v>1.6544812630287083E-5</v>
      </c>
      <c r="F428">
        <v>1.6373376592761435E-5</v>
      </c>
      <c r="G428">
        <v>1.7143603752564824E-7</v>
      </c>
      <c r="H428" t="b">
        <v>0</v>
      </c>
    </row>
    <row r="429" spans="1:8" x14ac:dyDescent="0.15">
      <c r="A429">
        <v>20</v>
      </c>
      <c r="B429">
        <v>12</v>
      </c>
      <c r="C429">
        <v>1253393.5546875</v>
      </c>
      <c r="D429">
        <v>-11832611.81363997</v>
      </c>
      <c r="E429">
        <v>1.5992173323043267E-5</v>
      </c>
      <c r="F429">
        <v>1.6373376592761435E-5</v>
      </c>
      <c r="G429">
        <v>-3.8120326971816763E-7</v>
      </c>
      <c r="H429" t="b">
        <v>1</v>
      </c>
    </row>
    <row r="430" spans="1:8" x14ac:dyDescent="0.15">
      <c r="A430">
        <v>20</v>
      </c>
      <c r="B430">
        <v>13</v>
      </c>
      <c r="C430">
        <v>1254846.19140625</v>
      </c>
      <c r="D430">
        <v>-5723952.0099962428</v>
      </c>
      <c r="E430">
        <v>1.6194554209530066E-5</v>
      </c>
      <c r="F430">
        <v>1.6373376592761435E-5</v>
      </c>
      <c r="G430">
        <v>-1.7882238323136903E-7</v>
      </c>
      <c r="H430" t="b">
        <v>1</v>
      </c>
    </row>
    <row r="431" spans="1:8" x14ac:dyDescent="0.15">
      <c r="A431">
        <v>20</v>
      </c>
      <c r="B431">
        <v>14</v>
      </c>
      <c r="C431">
        <v>1255346.19140625</v>
      </c>
      <c r="D431">
        <v>-1923040.0043147029</v>
      </c>
      <c r="E431">
        <v>1.6314353546767393E-5</v>
      </c>
      <c r="F431">
        <v>1.6373376592761435E-5</v>
      </c>
      <c r="G431">
        <v>-5.9023045994041699E-8</v>
      </c>
      <c r="H431" t="b">
        <v>1</v>
      </c>
    </row>
    <row r="432" spans="1:8" x14ac:dyDescent="0.15">
      <c r="A432">
        <v>20</v>
      </c>
      <c r="B432">
        <v>15</v>
      </c>
      <c r="C432">
        <v>1255846.19140625</v>
      </c>
      <c r="D432">
        <v>2041410.1019786145</v>
      </c>
      <c r="E432">
        <v>1.6434946848505534E-5</v>
      </c>
      <c r="F432">
        <v>1.6373376592761435E-5</v>
      </c>
      <c r="G432">
        <v>6.1570255744099558E-8</v>
      </c>
      <c r="H432" t="b">
        <v>0</v>
      </c>
    </row>
    <row r="433" spans="1:8" x14ac:dyDescent="0.15">
      <c r="A433">
        <v>20</v>
      </c>
      <c r="B433">
        <v>16</v>
      </c>
      <c r="C433">
        <v>1255596.19140625</v>
      </c>
      <c r="D433">
        <v>38540.030634359355</v>
      </c>
      <c r="E433">
        <v>1.6374549157451246E-5</v>
      </c>
      <c r="F433">
        <v>1.6373376592761435E-5</v>
      </c>
      <c r="G433">
        <v>1.1725646898110194E-9</v>
      </c>
      <c r="H433" t="b">
        <v>0</v>
      </c>
    </row>
    <row r="434" spans="1:8" x14ac:dyDescent="0.15">
      <c r="A434">
        <v>20</v>
      </c>
      <c r="B434">
        <v>17</v>
      </c>
      <c r="C434">
        <v>1255721.19140625</v>
      </c>
      <c r="D434">
        <v>1034802.7817113089</v>
      </c>
      <c r="E434">
        <v>1.64047229629087E-5</v>
      </c>
      <c r="F434">
        <v>1.6373376592761435E-5</v>
      </c>
      <c r="G434">
        <v>3.1346370147265453E-8</v>
      </c>
      <c r="H434" t="b">
        <v>0</v>
      </c>
    </row>
    <row r="435" spans="1:8" x14ac:dyDescent="0.15">
      <c r="A435">
        <v>20</v>
      </c>
      <c r="B435">
        <v>18</v>
      </c>
      <c r="C435">
        <v>1255871.19140625</v>
      </c>
      <c r="D435">
        <v>2243976.2910559396</v>
      </c>
      <c r="E435">
        <v>1.6440997640859272E-5</v>
      </c>
      <c r="F435">
        <v>1.6373376592761435E-5</v>
      </c>
      <c r="G435">
        <v>6.7621048097837503E-8</v>
      </c>
      <c r="H435" t="b">
        <v>0</v>
      </c>
    </row>
    <row r="436" spans="1:8" x14ac:dyDescent="0.15">
      <c r="A436">
        <v>20</v>
      </c>
      <c r="B436">
        <v>19</v>
      </c>
      <c r="C436">
        <v>1255796.19140625</v>
      </c>
      <c r="D436">
        <v>1637523.3694733316</v>
      </c>
      <c r="E436">
        <v>1.6422851280544665E-5</v>
      </c>
      <c r="F436">
        <v>1.6373376592761435E-5</v>
      </c>
      <c r="G436">
        <v>4.9474687783230496E-8</v>
      </c>
      <c r="H436" t="b">
        <v>0</v>
      </c>
    </row>
    <row r="437" spans="1:8" x14ac:dyDescent="0.15">
      <c r="A437">
        <v>20</v>
      </c>
      <c r="B437">
        <v>20</v>
      </c>
      <c r="C437">
        <v>1255706.19140625</v>
      </c>
      <c r="D437">
        <v>914771.16623419896</v>
      </c>
      <c r="E437">
        <v>1.6401101436064678E-5</v>
      </c>
      <c r="F437">
        <v>1.6373376592761435E-5</v>
      </c>
      <c r="G437">
        <v>2.7724843303243067E-8</v>
      </c>
      <c r="H437" t="b">
        <v>0</v>
      </c>
    </row>
    <row r="438" spans="1:8" x14ac:dyDescent="0.15">
      <c r="A438">
        <v>20</v>
      </c>
      <c r="B438">
        <v>21</v>
      </c>
      <c r="C438">
        <v>1255751.19140625</v>
      </c>
      <c r="D438">
        <v>1275509.2689573991</v>
      </c>
      <c r="E438">
        <v>1.6411974099881383E-5</v>
      </c>
      <c r="F438">
        <v>1.6373376592761435E-5</v>
      </c>
      <c r="G438">
        <v>3.8597507119948651E-8</v>
      </c>
      <c r="H438" t="b">
        <v>0</v>
      </c>
    </row>
    <row r="439" spans="1:8" x14ac:dyDescent="0.15">
      <c r="A439">
        <v>20</v>
      </c>
      <c r="B439">
        <v>22</v>
      </c>
      <c r="C439">
        <v>1255728.69140625</v>
      </c>
      <c r="D439">
        <v>1094972.5981732139</v>
      </c>
      <c r="E439">
        <v>1.6406536956609095E-5</v>
      </c>
      <c r="F439">
        <v>1.6373376592761435E-5</v>
      </c>
      <c r="G439">
        <v>3.3160363847660023E-8</v>
      </c>
      <c r="H439" t="b">
        <v>0</v>
      </c>
    </row>
    <row r="440" spans="1:8" x14ac:dyDescent="0.15">
      <c r="A440">
        <v>20</v>
      </c>
      <c r="B440">
        <v>23</v>
      </c>
      <c r="C440">
        <v>1255739.94140625</v>
      </c>
      <c r="D440">
        <v>1185133.4755593834</v>
      </c>
      <c r="E440">
        <v>1.6409253351566162E-5</v>
      </c>
      <c r="F440">
        <v>1.6373376592761435E-5</v>
      </c>
      <c r="G440">
        <v>3.5876758804726742E-8</v>
      </c>
      <c r="H440" t="b">
        <v>0</v>
      </c>
    </row>
    <row r="441" spans="1:8" x14ac:dyDescent="0.15">
      <c r="A441">
        <v>20</v>
      </c>
      <c r="B441">
        <v>24</v>
      </c>
      <c r="C441">
        <v>1255753.44140625</v>
      </c>
      <c r="D441">
        <v>1293515.7684193174</v>
      </c>
      <c r="E441">
        <v>1.6412515929240199E-5</v>
      </c>
      <c r="F441">
        <v>1.6373376592761435E-5</v>
      </c>
      <c r="G441">
        <v>3.9139336478763925E-8</v>
      </c>
      <c r="H441" t="b">
        <v>0</v>
      </c>
    </row>
    <row r="442" spans="1:8" x14ac:dyDescent="0.15">
      <c r="A442">
        <v>20</v>
      </c>
      <c r="B442">
        <v>25</v>
      </c>
      <c r="C442">
        <v>1255746.69140625</v>
      </c>
      <c r="D442">
        <v>1239375.1049368752</v>
      </c>
      <c r="E442">
        <v>1.6410886541390328E-5</v>
      </c>
      <c r="F442">
        <v>1.6373376592761435E-5</v>
      </c>
      <c r="G442">
        <v>3.7509948628893316E-8</v>
      </c>
      <c r="H442" t="b">
        <v>0</v>
      </c>
    </row>
    <row r="443" spans="1:8" x14ac:dyDescent="0.15">
      <c r="A443">
        <v>20</v>
      </c>
      <c r="B443">
        <v>26</v>
      </c>
      <c r="C443">
        <v>1255750.06640625</v>
      </c>
      <c r="D443">
        <v>1266408.8744844501</v>
      </c>
      <c r="E443">
        <v>1.6411700230044151E-5</v>
      </c>
      <c r="F443">
        <v>1.6373376592761435E-5</v>
      </c>
      <c r="G443">
        <v>3.8323637282716092E-8</v>
      </c>
      <c r="H443" t="b">
        <v>0</v>
      </c>
    </row>
    <row r="444" spans="1:8" x14ac:dyDescent="0.15">
      <c r="A444">
        <v>21</v>
      </c>
      <c r="B444">
        <v>1</v>
      </c>
      <c r="C444">
        <v>6050000</v>
      </c>
      <c r="D444">
        <v>2.3241556154524093E+18</v>
      </c>
      <c r="E444">
        <v>536.87092200000006</v>
      </c>
      <c r="F444">
        <v>1.5571994936181E-5</v>
      </c>
      <c r="G444">
        <v>536.87090642800513</v>
      </c>
      <c r="H444" t="b">
        <v>0</v>
      </c>
    </row>
    <row r="445" spans="1:8" x14ac:dyDescent="0.15">
      <c r="A445">
        <v>21</v>
      </c>
      <c r="B445">
        <v>2</v>
      </c>
      <c r="C445">
        <v>3075000</v>
      </c>
      <c r="D445">
        <v>203051795074107.09</v>
      </c>
      <c r="E445">
        <v>0.16937724894287742</v>
      </c>
      <c r="F445">
        <v>1.5571994950697166E-5</v>
      </c>
      <c r="G445">
        <v>0.16936167694792673</v>
      </c>
      <c r="H445" t="b">
        <v>0</v>
      </c>
    </row>
    <row r="446" spans="1:8" x14ac:dyDescent="0.15">
      <c r="A446">
        <v>21</v>
      </c>
      <c r="B446">
        <v>3</v>
      </c>
      <c r="C446">
        <v>1587500</v>
      </c>
      <c r="D446">
        <v>-35720257.986150742</v>
      </c>
      <c r="E446">
        <v>1.4257366179635124E-5</v>
      </c>
      <c r="F446">
        <v>1.5571994950689427E-5</v>
      </c>
      <c r="G446">
        <v>-1.3146287710543028E-6</v>
      </c>
      <c r="H446" t="b">
        <v>1</v>
      </c>
    </row>
    <row r="447" spans="1:8" x14ac:dyDescent="0.15">
      <c r="A447">
        <v>21</v>
      </c>
      <c r="B447">
        <v>4</v>
      </c>
      <c r="C447">
        <v>2331250</v>
      </c>
      <c r="D447">
        <v>2633310540637.167</v>
      </c>
      <c r="E447">
        <v>4.8957048827623119E-3</v>
      </c>
      <c r="F447">
        <v>1.5571994950689359E-5</v>
      </c>
      <c r="G447">
        <v>4.8801328878116225E-3</v>
      </c>
      <c r="H447" t="b">
        <v>0</v>
      </c>
    </row>
    <row r="448" spans="1:8" x14ac:dyDescent="0.15">
      <c r="A448">
        <v>21</v>
      </c>
      <c r="B448">
        <v>5</v>
      </c>
      <c r="C448">
        <v>1959375</v>
      </c>
      <c r="D448">
        <v>104534461156.88391</v>
      </c>
      <c r="E448">
        <v>4.1259622403779937E-4</v>
      </c>
      <c r="F448">
        <v>1.5571994950689414E-5</v>
      </c>
      <c r="G448">
        <v>3.9702422908710996E-4</v>
      </c>
      <c r="H448" t="b">
        <v>0</v>
      </c>
    </row>
    <row r="449" spans="1:8" x14ac:dyDescent="0.15">
      <c r="A449">
        <v>21</v>
      </c>
      <c r="B449">
        <v>6</v>
      </c>
      <c r="C449">
        <v>1773437.5</v>
      </c>
      <c r="D449">
        <v>10314708439.160799</v>
      </c>
      <c r="E449">
        <v>8.581821978240065E-5</v>
      </c>
      <c r="F449">
        <v>1.5571994950689427E-5</v>
      </c>
      <c r="G449">
        <v>7.0246224831711223E-5</v>
      </c>
      <c r="H449" t="b">
        <v>0</v>
      </c>
    </row>
    <row r="450" spans="1:8" x14ac:dyDescent="0.15">
      <c r="A450">
        <v>21</v>
      </c>
      <c r="B450">
        <v>7</v>
      </c>
      <c r="C450">
        <v>1680468.75</v>
      </c>
      <c r="D450">
        <v>1812741728.3229401</v>
      </c>
      <c r="E450">
        <v>3.4782022915815506E-5</v>
      </c>
      <c r="F450">
        <v>1.5571994950689427E-5</v>
      </c>
      <c r="G450">
        <v>1.9210027965126079E-5</v>
      </c>
      <c r="H450" t="b">
        <v>0</v>
      </c>
    </row>
    <row r="451" spans="1:8" x14ac:dyDescent="0.15">
      <c r="A451">
        <v>21</v>
      </c>
      <c r="B451">
        <v>8</v>
      </c>
      <c r="C451">
        <v>1633984.375</v>
      </c>
      <c r="D451">
        <v>365240095.16790432</v>
      </c>
      <c r="E451">
        <v>2.1367933565697486E-5</v>
      </c>
      <c r="F451">
        <v>1.5571994950689427E-5</v>
      </c>
      <c r="G451">
        <v>5.7959386150080585E-6</v>
      </c>
      <c r="H451" t="b">
        <v>0</v>
      </c>
    </row>
    <row r="452" spans="1:8" x14ac:dyDescent="0.15">
      <c r="A452">
        <v>21</v>
      </c>
      <c r="B452">
        <v>9</v>
      </c>
      <c r="C452">
        <v>1610742.1875</v>
      </c>
      <c r="D452">
        <v>39924917.999442115</v>
      </c>
      <c r="E452">
        <v>1.6583731669526182E-5</v>
      </c>
      <c r="F452">
        <v>1.5571994950689427E-5</v>
      </c>
      <c r="G452">
        <v>1.0117367188367546E-6</v>
      </c>
      <c r="H452" t="b">
        <v>0</v>
      </c>
    </row>
    <row r="453" spans="1:8" x14ac:dyDescent="0.15">
      <c r="A453">
        <v>21</v>
      </c>
      <c r="B453">
        <v>10</v>
      </c>
      <c r="C453">
        <v>1599121.09375</v>
      </c>
      <c r="D453">
        <v>-12979138.724780599</v>
      </c>
      <c r="E453">
        <v>1.5166782386603399E-5</v>
      </c>
      <c r="F453">
        <v>1.5571994950689427E-5</v>
      </c>
      <c r="G453">
        <v>-4.0521256408602826E-7</v>
      </c>
      <c r="H453" t="b">
        <v>1</v>
      </c>
    </row>
    <row r="454" spans="1:8" x14ac:dyDescent="0.15">
      <c r="A454">
        <v>21</v>
      </c>
      <c r="B454">
        <v>11</v>
      </c>
      <c r="C454">
        <v>1604931.640625</v>
      </c>
      <c r="D454">
        <v>2319880.1452621776</v>
      </c>
      <c r="E454">
        <v>1.5639181743602292E-5</v>
      </c>
      <c r="F454">
        <v>1.5571994950689427E-5</v>
      </c>
      <c r="G454">
        <v>6.7186792912864683E-8</v>
      </c>
      <c r="H454" t="b">
        <v>0</v>
      </c>
    </row>
    <row r="455" spans="1:8" x14ac:dyDescent="0.15">
      <c r="A455">
        <v>21</v>
      </c>
      <c r="B455">
        <v>12</v>
      </c>
      <c r="C455">
        <v>1602026.3671875</v>
      </c>
      <c r="D455">
        <v>-5674279.6039985437</v>
      </c>
      <c r="E455">
        <v>1.5401463191419113E-5</v>
      </c>
      <c r="F455">
        <v>1.5571994950689427E-5</v>
      </c>
      <c r="G455">
        <v>-1.7053175927031448E-7</v>
      </c>
      <c r="H455" t="b">
        <v>1</v>
      </c>
    </row>
    <row r="456" spans="1:8" x14ac:dyDescent="0.15">
      <c r="A456">
        <v>21</v>
      </c>
      <c r="B456">
        <v>13</v>
      </c>
      <c r="C456">
        <v>1603479.00390625</v>
      </c>
      <c r="D456">
        <v>-1764630.8805473472</v>
      </c>
      <c r="E456">
        <v>1.5519941007216611E-5</v>
      </c>
      <c r="F456">
        <v>1.5571994950689427E-5</v>
      </c>
      <c r="G456">
        <v>-5.2053943472815699E-8</v>
      </c>
      <c r="H456" t="b">
        <v>1</v>
      </c>
    </row>
    <row r="457" spans="1:8" x14ac:dyDescent="0.15">
      <c r="A457">
        <v>21</v>
      </c>
      <c r="B457">
        <v>14</v>
      </c>
      <c r="C457">
        <v>1603979.00390625</v>
      </c>
      <c r="D457">
        <v>-378599.1925740497</v>
      </c>
      <c r="E457">
        <v>1.5560897592773776E-5</v>
      </c>
      <c r="F457">
        <v>1.5571994950689427E-5</v>
      </c>
      <c r="G457">
        <v>-1.1097357915651333E-8</v>
      </c>
      <c r="H457" t="b">
        <v>1</v>
      </c>
    </row>
    <row r="458" spans="1:8" x14ac:dyDescent="0.15">
      <c r="A458">
        <v>21</v>
      </c>
      <c r="B458">
        <v>15</v>
      </c>
      <c r="C458">
        <v>1604479.00390625</v>
      </c>
      <c r="D458">
        <v>1028226.1467493658</v>
      </c>
      <c r="E458">
        <v>1.5601943932336024E-5</v>
      </c>
      <c r="F458">
        <v>1.5571994950689427E-5</v>
      </c>
      <c r="G458">
        <v>2.9948981646597036E-8</v>
      </c>
      <c r="H458" t="b">
        <v>0</v>
      </c>
    </row>
    <row r="459" spans="1:8" x14ac:dyDescent="0.15">
      <c r="A459">
        <v>21</v>
      </c>
      <c r="B459">
        <v>16</v>
      </c>
      <c r="C459">
        <v>1605079.00390625</v>
      </c>
      <c r="D459">
        <v>2744075.8062289651</v>
      </c>
      <c r="E459">
        <v>1.5651320129320696E-5</v>
      </c>
      <c r="F459">
        <v>1.5571994950689427E-5</v>
      </c>
      <c r="G459">
        <v>7.9325178631268974E-8</v>
      </c>
      <c r="H459" t="b">
        <v>0</v>
      </c>
    </row>
    <row r="460" spans="1:8" x14ac:dyDescent="0.15">
      <c r="A460">
        <v>21</v>
      </c>
      <c r="B460">
        <v>17</v>
      </c>
      <c r="C460">
        <v>1604779.00390625</v>
      </c>
      <c r="D460">
        <v>1882372.5439788119</v>
      </c>
      <c r="E460">
        <v>1.562661566897468E-5</v>
      </c>
      <c r="F460">
        <v>1.5571994950689427E-5</v>
      </c>
      <c r="G460">
        <v>5.4620718285253015E-8</v>
      </c>
      <c r="H460" t="b">
        <v>0</v>
      </c>
    </row>
    <row r="461" spans="1:8" x14ac:dyDescent="0.15">
      <c r="A461">
        <v>21</v>
      </c>
      <c r="B461">
        <v>18</v>
      </c>
      <c r="C461">
        <v>1604419.00390625</v>
      </c>
      <c r="D461">
        <v>858300.95120453229</v>
      </c>
      <c r="E461">
        <v>1.5597013486977458E-5</v>
      </c>
      <c r="F461">
        <v>1.5571994950689427E-5</v>
      </c>
      <c r="G461">
        <v>2.5018536288031097E-8</v>
      </c>
      <c r="H461" t="b">
        <v>0</v>
      </c>
    </row>
    <row r="462" spans="1:8" x14ac:dyDescent="0.15">
      <c r="A462">
        <v>21</v>
      </c>
      <c r="B462">
        <v>19</v>
      </c>
      <c r="C462">
        <v>1604599.00390625</v>
      </c>
      <c r="D462">
        <v>1369008.3836096777</v>
      </c>
      <c r="E462">
        <v>1.5611809542258505E-5</v>
      </c>
      <c r="F462">
        <v>1.5571994950689427E-5</v>
      </c>
      <c r="G462">
        <v>3.9814591569078359E-8</v>
      </c>
      <c r="H462" t="b">
        <v>0</v>
      </c>
    </row>
    <row r="463" spans="1:8" x14ac:dyDescent="0.15">
      <c r="A463">
        <v>21</v>
      </c>
      <c r="B463">
        <v>20</v>
      </c>
      <c r="C463">
        <v>1604815.00390625</v>
      </c>
      <c r="D463">
        <v>1985405.4635983321</v>
      </c>
      <c r="E463">
        <v>1.5629579280056776E-5</v>
      </c>
      <c r="F463">
        <v>1.5571994950689427E-5</v>
      </c>
      <c r="G463">
        <v>5.7584329367349187E-8</v>
      </c>
      <c r="H463" t="b">
        <v>0</v>
      </c>
    </row>
    <row r="464" spans="1:8" x14ac:dyDescent="0.15">
      <c r="A464">
        <v>21</v>
      </c>
      <c r="B464">
        <v>21</v>
      </c>
      <c r="C464">
        <v>1604707.00390625</v>
      </c>
      <c r="D464">
        <v>1676716.6605491368</v>
      </c>
      <c r="E464">
        <v>1.5620692264351372E-5</v>
      </c>
      <c r="F464">
        <v>1.5571994950689427E-5</v>
      </c>
      <c r="G464">
        <v>4.8697313661945184E-8</v>
      </c>
      <c r="H464" t="b">
        <v>0</v>
      </c>
    </row>
    <row r="465" spans="1:8" x14ac:dyDescent="0.15">
      <c r="A465">
        <v>21</v>
      </c>
      <c r="B465">
        <v>22</v>
      </c>
      <c r="C465">
        <v>1604577.4039062499</v>
      </c>
      <c r="D465">
        <v>1307583.5374199979</v>
      </c>
      <c r="E465">
        <v>1.5610033490954806E-5</v>
      </c>
      <c r="F465">
        <v>1.5571994950689427E-5</v>
      </c>
      <c r="G465">
        <v>3.8038540265378744E-8</v>
      </c>
      <c r="H465" t="b">
        <v>0</v>
      </c>
    </row>
    <row r="466" spans="1:8" x14ac:dyDescent="0.15">
      <c r="A466">
        <v>21</v>
      </c>
      <c r="B466">
        <v>23</v>
      </c>
      <c r="C466">
        <v>1604642.20390625</v>
      </c>
      <c r="D466">
        <v>1491945.3494319932</v>
      </c>
      <c r="E466">
        <v>1.5615361285797657E-5</v>
      </c>
      <c r="F466">
        <v>1.5571994950689427E-5</v>
      </c>
      <c r="G466">
        <v>4.3366335108230313E-8</v>
      </c>
      <c r="H466" t="b">
        <v>0</v>
      </c>
    </row>
    <row r="467" spans="1:8" x14ac:dyDescent="0.15">
      <c r="A467">
        <v>21</v>
      </c>
      <c r="B467">
        <v>24</v>
      </c>
      <c r="C467">
        <v>1604719.96390625</v>
      </c>
      <c r="D467">
        <v>1713707.6342106205</v>
      </c>
      <c r="E467">
        <v>1.5621758482675865E-5</v>
      </c>
      <c r="F467">
        <v>1.5571994950689427E-5</v>
      </c>
      <c r="G467">
        <v>4.9763531986438358E-8</v>
      </c>
      <c r="H467" t="b">
        <v>0</v>
      </c>
    </row>
    <row r="468" spans="1:8" x14ac:dyDescent="0.15">
      <c r="A468">
        <v>21</v>
      </c>
      <c r="B468">
        <v>25</v>
      </c>
      <c r="C468">
        <v>1604681.0839062501</v>
      </c>
      <c r="D468">
        <v>1602776.9803829659</v>
      </c>
      <c r="E468">
        <v>1.5618560010589244E-5</v>
      </c>
      <c r="F468">
        <v>1.5571994950689427E-5</v>
      </c>
      <c r="G468">
        <v>4.6565059899816754E-8</v>
      </c>
      <c r="H468" t="b">
        <v>0</v>
      </c>
    </row>
    <row r="469" spans="1:8" x14ac:dyDescent="0.15">
      <c r="A469">
        <v>22</v>
      </c>
      <c r="B469">
        <v>1</v>
      </c>
      <c r="C469">
        <v>6050000</v>
      </c>
      <c r="D469">
        <v>1.3444255161857001E+18</v>
      </c>
      <c r="E469">
        <v>536.87092200000006</v>
      </c>
      <c r="F469">
        <v>2.5240337663490209E-5</v>
      </c>
      <c r="G469">
        <v>536.8708967596624</v>
      </c>
      <c r="H469" t="b">
        <v>0</v>
      </c>
    </row>
    <row r="470" spans="1:8" x14ac:dyDescent="0.15">
      <c r="A470">
        <v>22</v>
      </c>
      <c r="B470">
        <v>2</v>
      </c>
      <c r="C470">
        <v>3075000</v>
      </c>
      <c r="D470">
        <v>1.3444255161856998E+18</v>
      </c>
      <c r="E470">
        <v>536.87092199999995</v>
      </c>
      <c r="F470">
        <v>2.5240337663490209E-5</v>
      </c>
      <c r="G470">
        <v>536.87089675966229</v>
      </c>
      <c r="H470" t="b">
        <v>0</v>
      </c>
    </row>
    <row r="471" spans="1:8" x14ac:dyDescent="0.15">
      <c r="A471">
        <v>22</v>
      </c>
      <c r="B471">
        <v>3</v>
      </c>
      <c r="C471">
        <v>1587500</v>
      </c>
      <c r="D471">
        <v>144835363971295.25</v>
      </c>
      <c r="E471">
        <v>0.2015150584184435</v>
      </c>
      <c r="F471">
        <v>2.5240337618470665E-5</v>
      </c>
      <c r="G471">
        <v>0.20148981808082503</v>
      </c>
      <c r="H471" t="b">
        <v>0</v>
      </c>
    </row>
    <row r="472" spans="1:8" x14ac:dyDescent="0.15">
      <c r="A472">
        <v>22</v>
      </c>
      <c r="B472">
        <v>4</v>
      </c>
      <c r="C472">
        <v>843750</v>
      </c>
      <c r="D472">
        <v>-195432.23932245493</v>
      </c>
      <c r="E472">
        <v>3.4773860053479907E-6</v>
      </c>
      <c r="F472">
        <v>2.5240337618482405E-5</v>
      </c>
      <c r="G472">
        <v>-2.1762951613134415E-5</v>
      </c>
      <c r="H472" t="b">
        <v>1</v>
      </c>
    </row>
    <row r="473" spans="1:8" x14ac:dyDescent="0.15">
      <c r="A473">
        <v>22</v>
      </c>
      <c r="B473">
        <v>5</v>
      </c>
      <c r="C473">
        <v>1215625</v>
      </c>
      <c r="D473">
        <v>442215061911.22205</v>
      </c>
      <c r="E473">
        <v>1.8544273527580203E-3</v>
      </c>
      <c r="F473">
        <v>2.5240337618482375E-5</v>
      </c>
      <c r="G473">
        <v>1.829187015139538E-3</v>
      </c>
      <c r="H473" t="b">
        <v>0</v>
      </c>
    </row>
    <row r="474" spans="1:8" x14ac:dyDescent="0.15">
      <c r="A474">
        <v>22</v>
      </c>
      <c r="B474">
        <v>6</v>
      </c>
      <c r="C474">
        <v>1029687.5</v>
      </c>
      <c r="D474">
        <v>2899585291.3322973</v>
      </c>
      <c r="E474">
        <v>6.4608263384771609E-5</v>
      </c>
      <c r="F474">
        <v>2.5240337618482402E-5</v>
      </c>
      <c r="G474">
        <v>3.9367925766289208E-5</v>
      </c>
      <c r="H474" t="b">
        <v>0</v>
      </c>
    </row>
    <row r="475" spans="1:8" x14ac:dyDescent="0.15">
      <c r="A475">
        <v>22</v>
      </c>
      <c r="B475">
        <v>7</v>
      </c>
      <c r="C475">
        <v>936718.75</v>
      </c>
      <c r="D475">
        <v>-4759147.6246931255</v>
      </c>
      <c r="E475">
        <v>1.1386608557432066E-5</v>
      </c>
      <c r="F475">
        <v>2.5240337618482405E-5</v>
      </c>
      <c r="G475">
        <v>-1.3853729061050339E-5</v>
      </c>
      <c r="H475" t="b">
        <v>1</v>
      </c>
    </row>
    <row r="476" spans="1:8" x14ac:dyDescent="0.15">
      <c r="A476">
        <v>22</v>
      </c>
      <c r="B476">
        <v>8</v>
      </c>
      <c r="C476">
        <v>983203.125</v>
      </c>
      <c r="D476">
        <v>-54038236.656562403</v>
      </c>
      <c r="E476">
        <v>2.3386225561185591E-5</v>
      </c>
      <c r="F476">
        <v>2.5240337618482405E-5</v>
      </c>
      <c r="G476">
        <v>-1.8541120572968145E-6</v>
      </c>
      <c r="H476" t="b">
        <v>1</v>
      </c>
    </row>
    <row r="477" spans="1:8" x14ac:dyDescent="0.15">
      <c r="A477">
        <v>22</v>
      </c>
      <c r="B477">
        <v>9</v>
      </c>
      <c r="C477">
        <v>1006445.3125</v>
      </c>
      <c r="D477">
        <v>782107554.58973658</v>
      </c>
      <c r="E477">
        <v>3.9291972090294667E-5</v>
      </c>
      <c r="F477">
        <v>2.5240337618482405E-5</v>
      </c>
      <c r="G477">
        <v>1.4051634471812262E-5</v>
      </c>
      <c r="H477" t="b">
        <v>0</v>
      </c>
    </row>
    <row r="478" spans="1:8" x14ac:dyDescent="0.15">
      <c r="A478">
        <v>22</v>
      </c>
      <c r="B478">
        <v>10</v>
      </c>
      <c r="C478">
        <v>994824.21875</v>
      </c>
      <c r="D478">
        <v>239211879.93249229</v>
      </c>
      <c r="E478">
        <v>3.0397980910204476E-5</v>
      </c>
      <c r="F478">
        <v>2.5240337618482405E-5</v>
      </c>
      <c r="G478">
        <v>5.157643291722071E-6</v>
      </c>
      <c r="H478" t="b">
        <v>0</v>
      </c>
    </row>
    <row r="479" spans="1:8" x14ac:dyDescent="0.15">
      <c r="A479">
        <v>22</v>
      </c>
      <c r="B479">
        <v>11</v>
      </c>
      <c r="C479">
        <v>989013.671875</v>
      </c>
      <c r="D479">
        <v>55069445.064256333</v>
      </c>
      <c r="E479">
        <v>2.6681336609021246E-5</v>
      </c>
      <c r="F479">
        <v>2.5240337618482405E-5</v>
      </c>
      <c r="G479">
        <v>1.4409989905388411E-6</v>
      </c>
      <c r="H479" t="b">
        <v>0</v>
      </c>
    </row>
    <row r="480" spans="1:8" x14ac:dyDescent="0.15">
      <c r="A480">
        <v>22</v>
      </c>
      <c r="B480">
        <v>12</v>
      </c>
      <c r="C480">
        <v>986108.3984375</v>
      </c>
      <c r="D480">
        <v>-8621814.3903584741</v>
      </c>
      <c r="E480">
        <v>2.49839318325525E-5</v>
      </c>
      <c r="F480">
        <v>2.5240337618482405E-5</v>
      </c>
      <c r="G480">
        <v>-2.5640578592990486E-7</v>
      </c>
      <c r="H480" t="b">
        <v>1</v>
      </c>
    </row>
    <row r="481" spans="1:8" x14ac:dyDescent="0.15">
      <c r="A481">
        <v>22</v>
      </c>
      <c r="B481">
        <v>13</v>
      </c>
      <c r="C481">
        <v>987561.03515625</v>
      </c>
      <c r="D481">
        <v>20808105.947744224</v>
      </c>
      <c r="E481">
        <v>2.5819828773168276E-5</v>
      </c>
      <c r="F481">
        <v>2.5240337618482405E-5</v>
      </c>
      <c r="G481">
        <v>5.7949115468587054E-7</v>
      </c>
      <c r="H481" t="b">
        <v>0</v>
      </c>
    </row>
    <row r="482" spans="1:8" x14ac:dyDescent="0.15">
      <c r="A482">
        <v>22</v>
      </c>
      <c r="B482">
        <v>14</v>
      </c>
      <c r="C482">
        <v>986361.03515625</v>
      </c>
      <c r="D482">
        <v>-3838786.1608910412</v>
      </c>
      <c r="E482">
        <v>2.5127500428236141E-5</v>
      </c>
      <c r="F482">
        <v>2.5240337618482405E-5</v>
      </c>
      <c r="G482">
        <v>-1.1283719024626426E-7</v>
      </c>
      <c r="H482" t="b">
        <v>1</v>
      </c>
    </row>
    <row r="483" spans="1:8" x14ac:dyDescent="0.15">
      <c r="A483">
        <v>22</v>
      </c>
      <c r="B483">
        <v>15</v>
      </c>
      <c r="C483">
        <v>986961.03515625</v>
      </c>
      <c r="D483">
        <v>8081901.9973682547</v>
      </c>
      <c r="E483">
        <v>2.5471501724028965E-5</v>
      </c>
      <c r="F483">
        <v>2.5240337618482405E-5</v>
      </c>
      <c r="G483">
        <v>2.3116410554656E-7</v>
      </c>
      <c r="H483" t="b">
        <v>0</v>
      </c>
    </row>
    <row r="484" spans="1:8" x14ac:dyDescent="0.15">
      <c r="A484">
        <v>22</v>
      </c>
      <c r="B484">
        <v>16</v>
      </c>
      <c r="C484">
        <v>986661.03515625</v>
      </c>
      <c r="D484">
        <v>2022108.5013645024</v>
      </c>
      <c r="E484">
        <v>2.5298965452526245E-5</v>
      </c>
      <c r="F484">
        <v>2.5240337618482405E-5</v>
      </c>
      <c r="G484">
        <v>5.8627834043839587E-8</v>
      </c>
      <c r="H484" t="b">
        <v>0</v>
      </c>
    </row>
    <row r="485" spans="1:8" x14ac:dyDescent="0.15">
      <c r="A485">
        <v>22</v>
      </c>
      <c r="B485">
        <v>17</v>
      </c>
      <c r="C485">
        <v>986301.03515625</v>
      </c>
      <c r="D485">
        <v>-4987371.5686123399</v>
      </c>
      <c r="E485">
        <v>2.5093333320217498E-5</v>
      </c>
      <c r="F485">
        <v>2.5240337618482405E-5</v>
      </c>
      <c r="G485">
        <v>-1.4700429826490675E-7</v>
      </c>
      <c r="H485" t="b">
        <v>1</v>
      </c>
    </row>
    <row r="486" spans="1:8" x14ac:dyDescent="0.15">
      <c r="A486">
        <v>22</v>
      </c>
      <c r="B486">
        <v>18</v>
      </c>
      <c r="C486">
        <v>986481.03515625</v>
      </c>
      <c r="D486">
        <v>-1518160.7305908347</v>
      </c>
      <c r="E486">
        <v>2.5195957907809048E-5</v>
      </c>
      <c r="F486">
        <v>2.5240337618482405E-5</v>
      </c>
      <c r="G486">
        <v>-4.4379710673356714E-8</v>
      </c>
      <c r="H486" t="b">
        <v>1</v>
      </c>
    </row>
    <row r="487" spans="1:8" x14ac:dyDescent="0.15">
      <c r="A487">
        <v>22</v>
      </c>
      <c r="B487">
        <v>19</v>
      </c>
      <c r="C487">
        <v>986661.03515625</v>
      </c>
      <c r="D487">
        <v>2022108.5013645024</v>
      </c>
      <c r="E487">
        <v>2.5298965452526245E-5</v>
      </c>
      <c r="F487">
        <v>2.5240337618482405E-5</v>
      </c>
      <c r="G487">
        <v>5.8627834043839587E-8</v>
      </c>
      <c r="H487" t="b">
        <v>0</v>
      </c>
    </row>
    <row r="488" spans="1:8" x14ac:dyDescent="0.15">
      <c r="A488">
        <v>22</v>
      </c>
      <c r="B488">
        <v>20</v>
      </c>
      <c r="C488">
        <v>986571.03515625</v>
      </c>
      <c r="D488">
        <v>243054.73990191944</v>
      </c>
      <c r="E488">
        <v>2.5247413558474579E-5</v>
      </c>
      <c r="F488">
        <v>2.5240337618482405E-5</v>
      </c>
      <c r="G488">
        <v>7.0759399921741276E-9</v>
      </c>
      <c r="H488" t="b">
        <v>0</v>
      </c>
    </row>
    <row r="489" spans="1:8" x14ac:dyDescent="0.15">
      <c r="A489">
        <v>22</v>
      </c>
      <c r="B489">
        <v>21</v>
      </c>
      <c r="C489">
        <v>986616.03515625</v>
      </c>
      <c r="D489">
        <v>1130343.1761829667</v>
      </c>
      <c r="E489">
        <v>2.5273177326940045E-5</v>
      </c>
      <c r="F489">
        <v>2.5240337618482405E-5</v>
      </c>
      <c r="G489">
        <v>3.2839708457639587E-8</v>
      </c>
      <c r="H489" t="b">
        <v>0</v>
      </c>
    </row>
    <row r="490" spans="1:8" x14ac:dyDescent="0.15">
      <c r="A490">
        <v>22</v>
      </c>
      <c r="B490">
        <v>22</v>
      </c>
      <c r="C490">
        <v>986593.53515625</v>
      </c>
      <c r="D490">
        <v>686049.41121492803</v>
      </c>
      <c r="E490">
        <v>2.5260289773552838E-5</v>
      </c>
      <c r="F490">
        <v>2.5240337618482405E-5</v>
      </c>
      <c r="G490">
        <v>1.9952155070433329E-8</v>
      </c>
      <c r="H490" t="b">
        <v>0</v>
      </c>
    </row>
    <row r="491" spans="1:8" x14ac:dyDescent="0.15">
      <c r="A491">
        <v>22</v>
      </c>
      <c r="B491">
        <v>23</v>
      </c>
      <c r="C491">
        <v>986604.78515625</v>
      </c>
      <c r="D491">
        <v>908012.71743946639</v>
      </c>
      <c r="E491">
        <v>2.5266731521964912E-5</v>
      </c>
      <c r="F491">
        <v>2.5240337618482405E-5</v>
      </c>
      <c r="G491">
        <v>2.6393903482507114E-8</v>
      </c>
      <c r="H491" t="b">
        <v>0</v>
      </c>
    </row>
    <row r="492" spans="1:8" x14ac:dyDescent="0.15">
      <c r="A492">
        <v>22</v>
      </c>
      <c r="B492">
        <v>24</v>
      </c>
      <c r="C492">
        <v>986618.28515625</v>
      </c>
      <c r="D492">
        <v>1174825.224077973</v>
      </c>
      <c r="E492">
        <v>2.5274466159596596E-5</v>
      </c>
      <c r="F492">
        <v>2.5240337618482405E-5</v>
      </c>
      <c r="G492">
        <v>3.4128541114191374E-8</v>
      </c>
      <c r="H492" t="b">
        <v>0</v>
      </c>
    </row>
    <row r="493" spans="1:8" x14ac:dyDescent="0.15">
      <c r="A493">
        <v>22</v>
      </c>
      <c r="B493">
        <v>25</v>
      </c>
      <c r="C493">
        <v>986611.53515625</v>
      </c>
      <c r="D493">
        <v>1041324.7228232468</v>
      </c>
      <c r="E493">
        <v>2.5270597295196539E-5</v>
      </c>
      <c r="F493">
        <v>2.5240337618482405E-5</v>
      </c>
      <c r="G493">
        <v>3.0259676714133687E-8</v>
      </c>
      <c r="H493" t="b">
        <v>0</v>
      </c>
    </row>
    <row r="494" spans="1:8" x14ac:dyDescent="0.15">
      <c r="A494">
        <v>22</v>
      </c>
      <c r="B494">
        <v>26</v>
      </c>
      <c r="C494">
        <v>986603.43515625002</v>
      </c>
      <c r="D494">
        <v>881450.17637144355</v>
      </c>
      <c r="E494">
        <v>2.5265960979510505E-5</v>
      </c>
      <c r="F494">
        <v>2.5240337618482405E-5</v>
      </c>
      <c r="G494">
        <v>2.5623361028100056E-8</v>
      </c>
      <c r="H494" t="b">
        <v>0</v>
      </c>
    </row>
    <row r="495" spans="1:8" x14ac:dyDescent="0.15">
      <c r="A495">
        <v>22</v>
      </c>
      <c r="B495">
        <v>27</v>
      </c>
      <c r="C495">
        <v>986607.48515625007</v>
      </c>
      <c r="D495">
        <v>961325.45548364369</v>
      </c>
      <c r="E495">
        <v>2.5268277766075934E-5</v>
      </c>
      <c r="F495">
        <v>2.5240337618482405E-5</v>
      </c>
      <c r="G495">
        <v>2.7940147593528931E-8</v>
      </c>
      <c r="H495" t="b">
        <v>0</v>
      </c>
    </row>
    <row r="496" spans="1:8" x14ac:dyDescent="0.15">
      <c r="A496">
        <v>22</v>
      </c>
      <c r="B496">
        <v>28</v>
      </c>
      <c r="C496">
        <v>986612.34515625006</v>
      </c>
      <c r="D496">
        <v>1057416.8067854831</v>
      </c>
      <c r="E496">
        <v>2.5271063772058874E-5</v>
      </c>
      <c r="F496">
        <v>2.5240337618482405E-5</v>
      </c>
      <c r="G496">
        <v>3.0726153576469321E-8</v>
      </c>
      <c r="H496" t="b">
        <v>0</v>
      </c>
    </row>
    <row r="497" spans="1:8" x14ac:dyDescent="0.15">
      <c r="A497">
        <v>22</v>
      </c>
      <c r="B497">
        <v>29</v>
      </c>
      <c r="C497">
        <v>986609.91515625</v>
      </c>
      <c r="D497">
        <v>1009408.5348282832</v>
      </c>
      <c r="E497">
        <v>2.5269672007501015E-5</v>
      </c>
      <c r="F497">
        <v>2.5240337618482405E-5</v>
      </c>
      <c r="G497">
        <v>2.9334389018610159E-8</v>
      </c>
      <c r="H497" t="b">
        <v>0</v>
      </c>
    </row>
    <row r="498" spans="1:8" x14ac:dyDescent="0.15">
      <c r="A498">
        <v>22</v>
      </c>
      <c r="B498">
        <v>30</v>
      </c>
      <c r="C498">
        <v>986606.99915625004</v>
      </c>
      <c r="D498">
        <v>951815.8082712813</v>
      </c>
      <c r="E498">
        <v>2.5268001982957021E-5</v>
      </c>
      <c r="F498">
        <v>2.5240337618482405E-5</v>
      </c>
      <c r="G498">
        <v>2.7664364474615932E-8</v>
      </c>
      <c r="H498" t="b">
        <v>0</v>
      </c>
    </row>
    <row r="499" spans="1:8" x14ac:dyDescent="0.15">
      <c r="A499">
        <v>22</v>
      </c>
      <c r="B499">
        <v>31</v>
      </c>
      <c r="C499">
        <v>986608.45715625002</v>
      </c>
      <c r="D499">
        <v>980521.97864072281</v>
      </c>
      <c r="E499">
        <v>2.5268834435227677E-5</v>
      </c>
      <c r="F499">
        <v>2.5240337618482405E-5</v>
      </c>
      <c r="G499">
        <v>2.8496816745272223E-8</v>
      </c>
      <c r="H499" t="b">
        <v>0</v>
      </c>
    </row>
    <row r="500" spans="1:8" x14ac:dyDescent="0.15">
      <c r="A500">
        <v>23</v>
      </c>
      <c r="B500">
        <v>1</v>
      </c>
      <c r="C500">
        <v>6050000</v>
      </c>
      <c r="D500">
        <v>2.2933935499701117E+18</v>
      </c>
      <c r="E500">
        <v>536.87092200000006</v>
      </c>
      <c r="F500">
        <v>1.7916480828716885E-5</v>
      </c>
      <c r="G500">
        <v>536.87090408351924</v>
      </c>
      <c r="H500" t="b">
        <v>0</v>
      </c>
    </row>
    <row r="501" spans="1:8" x14ac:dyDescent="0.15">
      <c r="A501">
        <v>23</v>
      </c>
      <c r="B501">
        <v>2</v>
      </c>
      <c r="C501">
        <v>3075000</v>
      </c>
      <c r="D501">
        <v>2.2933935499701117E+18</v>
      </c>
      <c r="E501">
        <v>536.87092200000006</v>
      </c>
      <c r="F501">
        <v>1.7916480828716885E-5</v>
      </c>
      <c r="G501">
        <v>536.87090408351924</v>
      </c>
      <c r="H501" t="b">
        <v>0</v>
      </c>
    </row>
    <row r="502" spans="1:8" x14ac:dyDescent="0.15">
      <c r="A502">
        <v>23</v>
      </c>
      <c r="B502">
        <v>3</v>
      </c>
      <c r="C502">
        <v>1587500</v>
      </c>
      <c r="D502">
        <v>2.2933935499701117E+18</v>
      </c>
      <c r="E502">
        <v>536.87092200000006</v>
      </c>
      <c r="F502">
        <v>1.7916480828716885E-5</v>
      </c>
      <c r="G502">
        <v>536.87090408351924</v>
      </c>
      <c r="H502" t="b">
        <v>0</v>
      </c>
    </row>
    <row r="503" spans="1:8" x14ac:dyDescent="0.15">
      <c r="A503">
        <v>23</v>
      </c>
      <c r="B503">
        <v>4</v>
      </c>
      <c r="C503">
        <v>843750</v>
      </c>
      <c r="D503">
        <v>2.2933935499701117E+18</v>
      </c>
      <c r="E503">
        <v>536.87092200000006</v>
      </c>
      <c r="F503">
        <v>1.7916480828716885E-5</v>
      </c>
      <c r="G503">
        <v>536.87090408351924</v>
      </c>
      <c r="H503" t="b">
        <v>0</v>
      </c>
    </row>
    <row r="504" spans="1:8" x14ac:dyDescent="0.15">
      <c r="A504">
        <v>23</v>
      </c>
      <c r="B504">
        <v>5</v>
      </c>
      <c r="C504">
        <v>471875</v>
      </c>
      <c r="D504">
        <v>64636375135026.914</v>
      </c>
      <c r="E504">
        <v>6.5549484001641831E-2</v>
      </c>
      <c r="F504">
        <v>1.7916480839874627E-5</v>
      </c>
      <c r="G504">
        <v>6.5531567520801956E-2</v>
      </c>
      <c r="H504" t="b">
        <v>0</v>
      </c>
    </row>
    <row r="505" spans="1:8" x14ac:dyDescent="0.15">
      <c r="A505">
        <v>23</v>
      </c>
      <c r="B505">
        <v>6</v>
      </c>
      <c r="C505">
        <v>285937.5</v>
      </c>
      <c r="D505">
        <v>-222261.58411129407</v>
      </c>
      <c r="E505">
        <v>2.4210856187499462E-6</v>
      </c>
      <c r="F505">
        <v>1.7916480839867945E-5</v>
      </c>
      <c r="G505">
        <v>-1.5495395221117999E-5</v>
      </c>
      <c r="H505" t="b">
        <v>1</v>
      </c>
    </row>
    <row r="506" spans="1:8" x14ac:dyDescent="0.15">
      <c r="A506">
        <v>23</v>
      </c>
      <c r="B506">
        <v>7</v>
      </c>
      <c r="C506">
        <v>378906.25</v>
      </c>
      <c r="D506">
        <v>163346061106.86194</v>
      </c>
      <c r="E506">
        <v>5.6864895052043509E-4</v>
      </c>
      <c r="F506">
        <v>1.7916480839867905E-5</v>
      </c>
      <c r="G506">
        <v>5.5073246968056718E-4</v>
      </c>
      <c r="H506" t="b">
        <v>0</v>
      </c>
    </row>
    <row r="507" spans="1:8" x14ac:dyDescent="0.15">
      <c r="A507">
        <v>23</v>
      </c>
      <c r="B507">
        <v>8</v>
      </c>
      <c r="C507">
        <v>332421.875</v>
      </c>
      <c r="D507">
        <v>284152729.91475385</v>
      </c>
      <c r="E507">
        <v>2.2077702052273259E-5</v>
      </c>
      <c r="F507">
        <v>1.7916480839867945E-5</v>
      </c>
      <c r="G507">
        <v>4.1612212124053132E-6</v>
      </c>
      <c r="H507" t="b">
        <v>0</v>
      </c>
    </row>
    <row r="508" spans="1:8" x14ac:dyDescent="0.15">
      <c r="A508">
        <v>23</v>
      </c>
      <c r="B508">
        <v>9</v>
      </c>
      <c r="C508">
        <v>309179.6875</v>
      </c>
      <c r="D508">
        <v>-1779151.1378248648</v>
      </c>
      <c r="E508">
        <v>6.7397291731092875E-6</v>
      </c>
      <c r="F508">
        <v>1.7916480839867945E-5</v>
      </c>
      <c r="G508">
        <v>-1.1176751666758658E-5</v>
      </c>
      <c r="H508" t="b">
        <v>1</v>
      </c>
    </row>
    <row r="509" spans="1:8" x14ac:dyDescent="0.15">
      <c r="A509">
        <v>23</v>
      </c>
      <c r="B509">
        <v>10</v>
      </c>
      <c r="C509">
        <v>320800.78125</v>
      </c>
      <c r="D509">
        <v>-39706414.364296123</v>
      </c>
      <c r="E509">
        <v>1.0953291943456426E-5</v>
      </c>
      <c r="F509">
        <v>1.7916480839867945E-5</v>
      </c>
      <c r="G509">
        <v>-6.9631888964115191E-6</v>
      </c>
      <c r="H509" t="b">
        <v>1</v>
      </c>
    </row>
    <row r="510" spans="1:8" x14ac:dyDescent="0.15">
      <c r="A510">
        <v>23</v>
      </c>
      <c r="B510">
        <v>11</v>
      </c>
      <c r="C510">
        <v>326611.328125</v>
      </c>
      <c r="D510">
        <v>-91039560.347566053</v>
      </c>
      <c r="E510">
        <v>1.3854653933151445E-5</v>
      </c>
      <c r="F510">
        <v>1.7916480839867945E-5</v>
      </c>
      <c r="G510">
        <v>-4.0618269067164999E-6</v>
      </c>
      <c r="H510" t="b">
        <v>1</v>
      </c>
    </row>
    <row r="511" spans="1:8" x14ac:dyDescent="0.15">
      <c r="A511">
        <v>23</v>
      </c>
      <c r="B511">
        <v>12</v>
      </c>
      <c r="C511">
        <v>329516.6015625</v>
      </c>
      <c r="D511">
        <v>-17226835.549395416</v>
      </c>
      <c r="E511">
        <v>1.7524811875419639E-5</v>
      </c>
      <c r="F511">
        <v>1.7916480839867945E-5</v>
      </c>
      <c r="G511">
        <v>-3.9166896444830623E-7</v>
      </c>
      <c r="H511" t="b">
        <v>1</v>
      </c>
    </row>
    <row r="512" spans="1:8" x14ac:dyDescent="0.15">
      <c r="A512">
        <v>23</v>
      </c>
      <c r="B512">
        <v>13</v>
      </c>
      <c r="C512">
        <v>330969.23828125</v>
      </c>
      <c r="D512">
        <v>98410384.829034224</v>
      </c>
      <c r="E512">
        <v>1.9679197465661667E-5</v>
      </c>
      <c r="F512">
        <v>1.7916480839867945E-5</v>
      </c>
      <c r="G512">
        <v>1.7627166257937213E-6</v>
      </c>
      <c r="H512" t="b">
        <v>0</v>
      </c>
    </row>
    <row r="513" spans="1:8" x14ac:dyDescent="0.15">
      <c r="A513">
        <v>23</v>
      </c>
      <c r="B513">
        <v>14</v>
      </c>
      <c r="C513">
        <v>329769.23828125</v>
      </c>
      <c r="D513">
        <v>-1540401.2063567368</v>
      </c>
      <c r="E513">
        <v>1.7882991823551436E-5</v>
      </c>
      <c r="F513">
        <v>1.7916480839867945E-5</v>
      </c>
      <c r="G513">
        <v>-3.3489016316509684E-8</v>
      </c>
      <c r="H513" t="b">
        <v>1</v>
      </c>
    </row>
    <row r="514" spans="1:8" x14ac:dyDescent="0.15">
      <c r="A514">
        <v>23</v>
      </c>
      <c r="B514">
        <v>15</v>
      </c>
      <c r="C514">
        <v>330369.23828125</v>
      </c>
      <c r="D514">
        <v>42957967.359835647</v>
      </c>
      <c r="E514">
        <v>1.8761123477447443E-5</v>
      </c>
      <c r="F514">
        <v>1.7916480839867945E-5</v>
      </c>
      <c r="G514">
        <v>8.4464263757949749E-7</v>
      </c>
      <c r="H514" t="b">
        <v>0</v>
      </c>
    </row>
    <row r="515" spans="1:8" x14ac:dyDescent="0.15">
      <c r="A515">
        <v>23</v>
      </c>
      <c r="B515">
        <v>16</v>
      </c>
      <c r="C515">
        <v>330069.23828125</v>
      </c>
      <c r="D515">
        <v>19399099.904487275</v>
      </c>
      <c r="E515">
        <v>1.8317167751346869E-5</v>
      </c>
      <c r="F515">
        <v>1.7916480839867945E-5</v>
      </c>
      <c r="G515">
        <v>4.0068691147892332E-7</v>
      </c>
      <c r="H515" t="b">
        <v>0</v>
      </c>
    </row>
    <row r="516" spans="1:8" x14ac:dyDescent="0.15">
      <c r="A516">
        <v>23</v>
      </c>
      <c r="B516">
        <v>17</v>
      </c>
      <c r="C516">
        <v>329709.23828125</v>
      </c>
      <c r="D516">
        <v>-5423958.5885986006</v>
      </c>
      <c r="E516">
        <v>1.779731770570262E-5</v>
      </c>
      <c r="F516">
        <v>1.7916480839867945E-5</v>
      </c>
      <c r="G516">
        <v>-1.1916313416532553E-7</v>
      </c>
      <c r="H516" t="b">
        <v>1</v>
      </c>
    </row>
    <row r="517" spans="1:8" x14ac:dyDescent="0.15">
      <c r="A517">
        <v>23</v>
      </c>
      <c r="B517">
        <v>18</v>
      </c>
      <c r="C517">
        <v>329889.23828125</v>
      </c>
      <c r="D517">
        <v>6528613.3847368686</v>
      </c>
      <c r="E517">
        <v>1.8055503276303203E-5</v>
      </c>
      <c r="F517">
        <v>1.7916480839867945E-5</v>
      </c>
      <c r="G517">
        <v>1.3902243643525755E-7</v>
      </c>
      <c r="H517" t="b">
        <v>0</v>
      </c>
    </row>
    <row r="518" spans="1:8" x14ac:dyDescent="0.15">
      <c r="A518">
        <v>23</v>
      </c>
      <c r="B518">
        <v>19</v>
      </c>
      <c r="C518">
        <v>329799.23828125</v>
      </c>
      <c r="D518">
        <v>438963.63607885438</v>
      </c>
      <c r="E518">
        <v>1.7925974470818415E-5</v>
      </c>
      <c r="F518">
        <v>1.7916480839867945E-5</v>
      </c>
      <c r="G518">
        <v>9.4936309504696991E-9</v>
      </c>
      <c r="H518" t="b">
        <v>0</v>
      </c>
    </row>
    <row r="519" spans="1:8" x14ac:dyDescent="0.15">
      <c r="A519">
        <v>23</v>
      </c>
      <c r="B519">
        <v>20</v>
      </c>
      <c r="C519">
        <v>329691.23828125</v>
      </c>
      <c r="D519">
        <v>-6569856.8844813444</v>
      </c>
      <c r="E519">
        <v>1.7771684989326684E-5</v>
      </c>
      <c r="F519">
        <v>1.7916480839867945E-5</v>
      </c>
      <c r="G519">
        <v>-1.4479585054126152E-7</v>
      </c>
      <c r="H519" t="b">
        <v>1</v>
      </c>
    </row>
    <row r="520" spans="1:8" x14ac:dyDescent="0.15">
      <c r="A520">
        <v>23</v>
      </c>
      <c r="B520">
        <v>21</v>
      </c>
      <c r="C520">
        <v>329745.23828125</v>
      </c>
      <c r="D520">
        <v>-3105860.2881124946</v>
      </c>
      <c r="E520">
        <v>1.7848674721460356E-5</v>
      </c>
      <c r="F520">
        <v>1.7916480839867945E-5</v>
      </c>
      <c r="G520">
        <v>-6.7806118407588836E-8</v>
      </c>
      <c r="H520" t="b">
        <v>1</v>
      </c>
    </row>
    <row r="521" spans="1:8" x14ac:dyDescent="0.15">
      <c r="A521">
        <v>23</v>
      </c>
      <c r="B521">
        <v>22</v>
      </c>
      <c r="C521">
        <v>329799.23828125</v>
      </c>
      <c r="D521">
        <v>438963.63607885438</v>
      </c>
      <c r="E521">
        <v>1.7925974470818415E-5</v>
      </c>
      <c r="F521">
        <v>1.7916480839867945E-5</v>
      </c>
      <c r="G521">
        <v>9.4936309504696991E-9</v>
      </c>
      <c r="H521" t="b">
        <v>0</v>
      </c>
    </row>
    <row r="522" spans="1:8" x14ac:dyDescent="0.15">
      <c r="A522">
        <v>23</v>
      </c>
      <c r="B522">
        <v>23</v>
      </c>
      <c r="C522">
        <v>329772.23828125</v>
      </c>
      <c r="D522">
        <v>-1343593.3136753379</v>
      </c>
      <c r="E522">
        <v>1.7887285772128441E-5</v>
      </c>
      <c r="F522">
        <v>1.7916480839867945E-5</v>
      </c>
      <c r="G522">
        <v>-2.9195067739504308E-8</v>
      </c>
      <c r="H522" t="b">
        <v>1</v>
      </c>
    </row>
    <row r="523" spans="1:8" x14ac:dyDescent="0.15">
      <c r="A523">
        <v>23</v>
      </c>
      <c r="B523">
        <v>24</v>
      </c>
      <c r="C523">
        <v>329785.73828125</v>
      </c>
      <c r="D523">
        <v>-454856.29113885784</v>
      </c>
      <c r="E523">
        <v>1.7906620406480365E-5</v>
      </c>
      <c r="F523">
        <v>1.7916480839867945E-5</v>
      </c>
      <c r="G523">
        <v>-9.860433387580723E-9</v>
      </c>
      <c r="H523" t="b">
        <v>1</v>
      </c>
    </row>
    <row r="524" spans="1:8" x14ac:dyDescent="0.15">
      <c r="A524">
        <v>23</v>
      </c>
      <c r="B524">
        <v>25</v>
      </c>
      <c r="C524">
        <v>329799.23828125</v>
      </c>
      <c r="D524">
        <v>438963.63607885438</v>
      </c>
      <c r="E524">
        <v>1.7925974470818415E-5</v>
      </c>
      <c r="F524">
        <v>1.7916480839867945E-5</v>
      </c>
      <c r="G524">
        <v>9.4936309504696991E-9</v>
      </c>
      <c r="H524" t="b">
        <v>0</v>
      </c>
    </row>
    <row r="525" spans="1:8" x14ac:dyDescent="0.15">
      <c r="A525">
        <v>23</v>
      </c>
      <c r="B525">
        <v>26</v>
      </c>
      <c r="C525">
        <v>329792.48828125</v>
      </c>
      <c r="D525">
        <v>-8403.426340955999</v>
      </c>
      <c r="E525">
        <v>1.7916298882870726E-5</v>
      </c>
      <c r="F525">
        <v>1.7916480839867945E-5</v>
      </c>
      <c r="G525">
        <v>-1.8195699721929416E-10</v>
      </c>
      <c r="H525" t="b">
        <v>1</v>
      </c>
    </row>
    <row r="526" spans="1:8" x14ac:dyDescent="0.15">
      <c r="A526">
        <v>23</v>
      </c>
      <c r="B526">
        <v>27</v>
      </c>
      <c r="C526">
        <v>329795.86328125</v>
      </c>
      <c r="D526">
        <v>215210.73681122708</v>
      </c>
      <c r="E526">
        <v>1.7921138007353453E-5</v>
      </c>
      <c r="F526">
        <v>1.7916480839867945E-5</v>
      </c>
      <c r="G526">
        <v>4.6571674855077282E-9</v>
      </c>
      <c r="H526" t="b">
        <v>0</v>
      </c>
    </row>
    <row r="527" spans="1:8" x14ac:dyDescent="0.15">
      <c r="A527">
        <v>23</v>
      </c>
      <c r="B527">
        <v>28</v>
      </c>
      <c r="C527">
        <v>329799.91328124999</v>
      </c>
      <c r="D527">
        <v>483788.24585358449</v>
      </c>
      <c r="E527">
        <v>1.7926942684400207E-5</v>
      </c>
      <c r="F527">
        <v>1.7916480839867945E-5</v>
      </c>
      <c r="G527">
        <v>1.0461844532261337E-8</v>
      </c>
      <c r="H527" t="b">
        <v>0</v>
      </c>
    </row>
    <row r="528" spans="1:8" x14ac:dyDescent="0.15">
      <c r="A528">
        <v>23</v>
      </c>
      <c r="B528">
        <v>29</v>
      </c>
      <c r="C528">
        <v>329797.88828124997</v>
      </c>
      <c r="D528">
        <v>349531.94598276739</v>
      </c>
      <c r="E528">
        <v>1.7924042065329952E-5</v>
      </c>
      <c r="F528">
        <v>1.7916480839867945E-5</v>
      </c>
      <c r="G528">
        <v>7.5612254620064908E-9</v>
      </c>
      <c r="H528" t="b">
        <v>0</v>
      </c>
    </row>
    <row r="529" spans="1:8" x14ac:dyDescent="0.15">
      <c r="A529">
        <v>23</v>
      </c>
      <c r="B529">
        <v>30</v>
      </c>
      <c r="C529">
        <v>329795.45828124997</v>
      </c>
      <c r="D529">
        <v>188360.24086921994</v>
      </c>
      <c r="E529">
        <v>1.7920557248253483E-5</v>
      </c>
      <c r="F529">
        <v>1.7916480839867945E-5</v>
      </c>
      <c r="G529">
        <v>4.0764083855377006E-9</v>
      </c>
      <c r="H529" t="b">
        <v>0</v>
      </c>
    </row>
    <row r="530" spans="1:8" x14ac:dyDescent="0.15">
      <c r="A530">
        <v>23</v>
      </c>
      <c r="B530">
        <v>31</v>
      </c>
      <c r="C530">
        <v>329796.67328125</v>
      </c>
      <c r="D530">
        <v>268746.23672256497</v>
      </c>
      <c r="E530">
        <v>1.7922295702624274E-5</v>
      </c>
      <c r="F530">
        <v>1.7916480839867945E-5</v>
      </c>
      <c r="G530">
        <v>5.8148627563291968E-9</v>
      </c>
      <c r="H530" t="b">
        <v>0</v>
      </c>
    </row>
    <row r="531" spans="1:8" x14ac:dyDescent="0.15">
      <c r="A531">
        <v>23</v>
      </c>
      <c r="B531">
        <v>32</v>
      </c>
      <c r="C531">
        <v>329798.13128124998</v>
      </c>
      <c r="D531">
        <v>365658.18995823833</v>
      </c>
      <c r="E531">
        <v>1.7924390581689224E-5</v>
      </c>
      <c r="F531">
        <v>1.7916480839867945E-5</v>
      </c>
      <c r="G531">
        <v>7.9097418212789464E-9</v>
      </c>
      <c r="H531" t="b">
        <v>0</v>
      </c>
    </row>
    <row r="532" spans="1:8" x14ac:dyDescent="0.15">
      <c r="A532">
        <v>23</v>
      </c>
      <c r="B532">
        <v>33</v>
      </c>
      <c r="C532">
        <v>329797.40228124999</v>
      </c>
      <c r="D532">
        <v>317284.40764250053</v>
      </c>
      <c r="E532">
        <v>1.792334505151231E-5</v>
      </c>
      <c r="F532">
        <v>1.7916480839867945E-5</v>
      </c>
      <c r="G532">
        <v>6.8642116443648287E-9</v>
      </c>
      <c r="H532" t="b">
        <v>0</v>
      </c>
    </row>
    <row r="533" spans="1:8" x14ac:dyDescent="0.15">
      <c r="A533">
        <v>23</v>
      </c>
      <c r="B533">
        <v>34</v>
      </c>
      <c r="C533">
        <v>329797.76678125001</v>
      </c>
      <c r="D533">
        <v>341469.44272406423</v>
      </c>
      <c r="E533">
        <v>1.79238678095133E-5</v>
      </c>
      <c r="F533">
        <v>1.7916480839867945E-5</v>
      </c>
      <c r="G533">
        <v>7.3869696453550166E-9</v>
      </c>
      <c r="H533" t="b">
        <v>0</v>
      </c>
    </row>
    <row r="534" spans="1:8" x14ac:dyDescent="0.15">
      <c r="A534">
        <v>23</v>
      </c>
      <c r="B534">
        <v>35</v>
      </c>
      <c r="C534">
        <v>329797.58453125</v>
      </c>
      <c r="D534">
        <v>329376.46127001889</v>
      </c>
      <c r="E534">
        <v>1.7923606428742971E-5</v>
      </c>
      <c r="F534">
        <v>1.7916480839867945E-5</v>
      </c>
      <c r="G534">
        <v>7.1255888750252369E-9</v>
      </c>
      <c r="H534" t="b">
        <v>0</v>
      </c>
    </row>
    <row r="535" spans="1:8" x14ac:dyDescent="0.15">
      <c r="A535">
        <v>24</v>
      </c>
      <c r="B535">
        <v>1</v>
      </c>
      <c r="C535">
        <v>6050000</v>
      </c>
      <c r="D535">
        <v>3.8647596783502408E+18</v>
      </c>
      <c r="E535">
        <v>536.87092199999995</v>
      </c>
      <c r="F535">
        <v>1.1332711551403918E-5</v>
      </c>
      <c r="G535">
        <v>536.8709106672884</v>
      </c>
      <c r="H535" t="b">
        <v>0</v>
      </c>
    </row>
    <row r="536" spans="1:8" x14ac:dyDescent="0.15">
      <c r="A536">
        <v>24</v>
      </c>
      <c r="B536">
        <v>2</v>
      </c>
      <c r="C536">
        <v>3075000</v>
      </c>
      <c r="D536">
        <v>3.8647596783502418E+18</v>
      </c>
      <c r="E536">
        <v>536.87092200000006</v>
      </c>
      <c r="F536">
        <v>1.1332711551403918E-5</v>
      </c>
      <c r="G536">
        <v>536.87091066728851</v>
      </c>
      <c r="H536" t="b">
        <v>0</v>
      </c>
    </row>
    <row r="537" spans="1:8" x14ac:dyDescent="0.15">
      <c r="A537">
        <v>24</v>
      </c>
      <c r="B537">
        <v>3</v>
      </c>
      <c r="C537">
        <v>1587500</v>
      </c>
      <c r="D537">
        <v>6.4391403159308685E+17</v>
      </c>
      <c r="E537">
        <v>110.47921017720182</v>
      </c>
      <c r="F537">
        <v>1.1332711522982208E-5</v>
      </c>
      <c r="G537">
        <v>110.4791988444903</v>
      </c>
      <c r="H537" t="b">
        <v>0</v>
      </c>
    </row>
    <row r="538" spans="1:8" x14ac:dyDescent="0.15">
      <c r="A538">
        <v>24</v>
      </c>
      <c r="B538">
        <v>4</v>
      </c>
      <c r="C538">
        <v>843750</v>
      </c>
      <c r="D538">
        <v>15995811533140.852</v>
      </c>
      <c r="E538">
        <v>1.3650367234284668E-2</v>
      </c>
      <c r="F538">
        <v>1.1332711520924826E-5</v>
      </c>
      <c r="G538">
        <v>1.3639034522763743E-2</v>
      </c>
      <c r="H538" t="b">
        <v>0</v>
      </c>
    </row>
    <row r="539" spans="1:8" x14ac:dyDescent="0.15">
      <c r="A539">
        <v>24</v>
      </c>
      <c r="B539">
        <v>5</v>
      </c>
      <c r="C539">
        <v>471875</v>
      </c>
      <c r="D539">
        <v>-299055.06319196429</v>
      </c>
      <c r="E539">
        <v>1.3373062302071059E-6</v>
      </c>
      <c r="F539">
        <v>1.1332711520924359E-5</v>
      </c>
      <c r="G539">
        <v>-9.9954052907172535E-6</v>
      </c>
      <c r="H539" t="b">
        <v>1</v>
      </c>
    </row>
    <row r="540" spans="1:8" x14ac:dyDescent="0.15">
      <c r="A540">
        <v>24</v>
      </c>
      <c r="B540">
        <v>6</v>
      </c>
      <c r="C540">
        <v>657812.5</v>
      </c>
      <c r="D540">
        <v>36996503068.65802</v>
      </c>
      <c r="E540">
        <v>1.3345908903711676E-4</v>
      </c>
      <c r="F540">
        <v>1.1332711520924366E-5</v>
      </c>
      <c r="G540">
        <v>1.221263775161924E-4</v>
      </c>
      <c r="H540" t="b">
        <v>0</v>
      </c>
    </row>
    <row r="541" spans="1:8" x14ac:dyDescent="0.15">
      <c r="A541">
        <v>24</v>
      </c>
      <c r="B541">
        <v>7</v>
      </c>
      <c r="C541">
        <v>564843.75</v>
      </c>
      <c r="D541">
        <v>-45403368.38274499</v>
      </c>
      <c r="E541">
        <v>8.5137418753394246E-6</v>
      </c>
      <c r="F541">
        <v>1.1332711520924359E-5</v>
      </c>
      <c r="G541">
        <v>-2.8189696455849342E-6</v>
      </c>
      <c r="H541" t="b">
        <v>1</v>
      </c>
    </row>
    <row r="542" spans="1:8" x14ac:dyDescent="0.15">
      <c r="A542">
        <v>24</v>
      </c>
      <c r="B542">
        <v>8</v>
      </c>
      <c r="C542">
        <v>611328.125</v>
      </c>
      <c r="D542">
        <v>2745861360.6801682</v>
      </c>
      <c r="E542">
        <v>2.9253185232754441E-5</v>
      </c>
      <c r="F542">
        <v>1.1332711520924359E-5</v>
      </c>
      <c r="G542">
        <v>1.7920473711830082E-5</v>
      </c>
      <c r="H542" t="b">
        <v>0</v>
      </c>
    </row>
    <row r="543" spans="1:8" x14ac:dyDescent="0.15">
      <c r="A543">
        <v>24</v>
      </c>
      <c r="B543">
        <v>9</v>
      </c>
      <c r="C543">
        <v>588085.9375</v>
      </c>
      <c r="D543">
        <v>99943276.352942988</v>
      </c>
      <c r="E543">
        <v>1.297055358200221E-5</v>
      </c>
      <c r="F543">
        <v>1.1332711520924359E-5</v>
      </c>
      <c r="G543">
        <v>1.6378420610778515E-6</v>
      </c>
      <c r="H543" t="b">
        <v>0</v>
      </c>
    </row>
    <row r="544" spans="1:8" x14ac:dyDescent="0.15">
      <c r="A544">
        <v>24</v>
      </c>
      <c r="B544">
        <v>10</v>
      </c>
      <c r="C544">
        <v>576464.84375</v>
      </c>
      <c r="D544">
        <v>-29114813.21903979</v>
      </c>
      <c r="E544">
        <v>1.0532398715201646E-5</v>
      </c>
      <c r="F544">
        <v>1.1332711520924359E-5</v>
      </c>
      <c r="G544">
        <v>-8.0031280572271261E-7</v>
      </c>
      <c r="H544" t="b">
        <v>1</v>
      </c>
    </row>
    <row r="545" spans="1:8" x14ac:dyDescent="0.15">
      <c r="A545">
        <v>24</v>
      </c>
      <c r="B545">
        <v>11</v>
      </c>
      <c r="C545">
        <v>582275.390625</v>
      </c>
      <c r="D545">
        <v>17485724.005724333</v>
      </c>
      <c r="E545">
        <v>1.1695180165381533E-5</v>
      </c>
      <c r="F545">
        <v>1.1332711520924359E-5</v>
      </c>
      <c r="G545">
        <v>3.6246864445717385E-7</v>
      </c>
      <c r="H545" t="b">
        <v>0</v>
      </c>
    </row>
    <row r="546" spans="1:8" x14ac:dyDescent="0.15">
      <c r="A546">
        <v>24</v>
      </c>
      <c r="B546">
        <v>12</v>
      </c>
      <c r="C546">
        <v>579370.1171875</v>
      </c>
      <c r="D546">
        <v>-9809536.1689590439</v>
      </c>
      <c r="E546">
        <v>1.1100185103704647E-5</v>
      </c>
      <c r="F546">
        <v>1.1332711520924359E-5</v>
      </c>
      <c r="G546">
        <v>-2.3252641721971135E-7</v>
      </c>
      <c r="H546" t="b">
        <v>1</v>
      </c>
    </row>
    <row r="547" spans="1:8" x14ac:dyDescent="0.15">
      <c r="A547">
        <v>24</v>
      </c>
      <c r="B547">
        <v>13</v>
      </c>
      <c r="C547">
        <v>580822.75390625</v>
      </c>
      <c r="D547">
        <v>2779109.2768929405</v>
      </c>
      <c r="E547">
        <v>1.1394218001019963E-5</v>
      </c>
      <c r="F547">
        <v>1.1332711520924359E-5</v>
      </c>
      <c r="G547">
        <v>6.1506480095603724E-8</v>
      </c>
      <c r="H547" t="b">
        <v>0</v>
      </c>
    </row>
    <row r="548" spans="1:8" x14ac:dyDescent="0.15">
      <c r="A548">
        <v>24</v>
      </c>
      <c r="B548">
        <v>14</v>
      </c>
      <c r="C548">
        <v>579622.75390625</v>
      </c>
      <c r="D548">
        <v>-7767010.3961086646</v>
      </c>
      <c r="E548">
        <v>1.1150829960264081E-5</v>
      </c>
      <c r="F548">
        <v>1.1332711520924359E-5</v>
      </c>
      <c r="G548">
        <v>-1.818815606602782E-7</v>
      </c>
      <c r="H548" t="b">
        <v>1</v>
      </c>
    </row>
    <row r="549" spans="1:8" x14ac:dyDescent="0.15">
      <c r="A549">
        <v>24</v>
      </c>
      <c r="B549">
        <v>15</v>
      </c>
      <c r="C549">
        <v>580222.75390625</v>
      </c>
      <c r="D549">
        <v>-2670282.9422007021</v>
      </c>
      <c r="E549">
        <v>1.1271938622309786E-5</v>
      </c>
      <c r="F549">
        <v>1.1332711520924359E-5</v>
      </c>
      <c r="G549">
        <v>-6.077289861457329E-8</v>
      </c>
      <c r="H549" t="b">
        <v>1</v>
      </c>
    </row>
    <row r="550" spans="1:8" x14ac:dyDescent="0.15">
      <c r="A550">
        <v>24</v>
      </c>
      <c r="B550">
        <v>16</v>
      </c>
      <c r="C550">
        <v>580822.75390625</v>
      </c>
      <c r="D550">
        <v>2779109.2768929405</v>
      </c>
      <c r="E550">
        <v>1.1394218001019963E-5</v>
      </c>
      <c r="F550">
        <v>1.1332711520924359E-5</v>
      </c>
      <c r="G550">
        <v>6.1506480095603724E-8</v>
      </c>
      <c r="H550" t="b">
        <v>0</v>
      </c>
    </row>
    <row r="551" spans="1:8" x14ac:dyDescent="0.15">
      <c r="A551">
        <v>24</v>
      </c>
      <c r="B551">
        <v>17</v>
      </c>
      <c r="C551">
        <v>580522.75390625</v>
      </c>
      <c r="D551">
        <v>9812.0592419525874</v>
      </c>
      <c r="E551">
        <v>1.1332931719289912E-5</v>
      </c>
      <c r="F551">
        <v>1.1332711520924359E-5</v>
      </c>
      <c r="G551">
        <v>2.2019836555338857E-10</v>
      </c>
      <c r="H551" t="b">
        <v>0</v>
      </c>
    </row>
    <row r="552" spans="1:8" x14ac:dyDescent="0.15">
      <c r="A552">
        <v>24</v>
      </c>
      <c r="B552">
        <v>18</v>
      </c>
      <c r="C552">
        <v>580672.75390625</v>
      </c>
      <c r="D552">
        <v>1383209.5953887096</v>
      </c>
      <c r="E552">
        <v>1.1363537382351575E-5</v>
      </c>
      <c r="F552">
        <v>1.1332711520924359E-5</v>
      </c>
      <c r="G552">
        <v>3.0825861427216618E-8</v>
      </c>
      <c r="H552" t="b">
        <v>0</v>
      </c>
    </row>
    <row r="553" spans="1:8" x14ac:dyDescent="0.15">
      <c r="A553">
        <v>24</v>
      </c>
      <c r="B553">
        <v>19</v>
      </c>
      <c r="C553">
        <v>580597.75390625</v>
      </c>
      <c r="D553">
        <v>693686.13829623349</v>
      </c>
      <c r="E553">
        <v>1.1348224735205977E-5</v>
      </c>
      <c r="F553">
        <v>1.1332711520924359E-5</v>
      </c>
      <c r="G553">
        <v>1.5513214281618096E-8</v>
      </c>
      <c r="H553" t="b">
        <v>0</v>
      </c>
    </row>
    <row r="554" spans="1:8" x14ac:dyDescent="0.15">
      <c r="A554">
        <v>24</v>
      </c>
      <c r="B554">
        <v>20</v>
      </c>
      <c r="C554">
        <v>580507.75390625</v>
      </c>
      <c r="D554">
        <v>-126303.69349191466</v>
      </c>
      <c r="E554">
        <v>1.1329875081690012E-5</v>
      </c>
      <c r="F554">
        <v>1.1332711520924359E-5</v>
      </c>
      <c r="G554">
        <v>-2.8364392343468493E-9</v>
      </c>
      <c r="H554" t="b">
        <v>1</v>
      </c>
    </row>
    <row r="555" spans="1:8" x14ac:dyDescent="0.15">
      <c r="A555">
        <v>24</v>
      </c>
      <c r="B555">
        <v>21</v>
      </c>
      <c r="C555">
        <v>580552.75390625</v>
      </c>
      <c r="D555">
        <v>282658.88197040278</v>
      </c>
      <c r="E555">
        <v>1.1339045988657116E-5</v>
      </c>
      <c r="F555">
        <v>1.1332711520924359E-5</v>
      </c>
      <c r="G555">
        <v>6.3344677327572266E-9</v>
      </c>
      <c r="H555" t="b">
        <v>0</v>
      </c>
    </row>
    <row r="556" spans="1:8" x14ac:dyDescent="0.15">
      <c r="A556">
        <v>24</v>
      </c>
      <c r="B556">
        <v>22</v>
      </c>
      <c r="C556">
        <v>580606.75390625</v>
      </c>
      <c r="D556">
        <v>776187.77251768089</v>
      </c>
      <c r="E556">
        <v>1.1350062495357932E-5</v>
      </c>
      <c r="F556">
        <v>1.1332711520924359E-5</v>
      </c>
      <c r="G556">
        <v>1.7350974433572733E-8</v>
      </c>
      <c r="H556" t="b">
        <v>0</v>
      </c>
    </row>
    <row r="557" spans="1:8" x14ac:dyDescent="0.15">
      <c r="A557">
        <v>24</v>
      </c>
      <c r="B557">
        <v>23</v>
      </c>
      <c r="C557">
        <v>580579.75390625</v>
      </c>
      <c r="D557">
        <v>529088.13593119872</v>
      </c>
      <c r="E557">
        <v>1.1344553655804986E-5</v>
      </c>
      <c r="F557">
        <v>1.1332711520924359E-5</v>
      </c>
      <c r="G557">
        <v>1.1842134880627324E-8</v>
      </c>
      <c r="H557" t="b">
        <v>0</v>
      </c>
    </row>
    <row r="558" spans="1:8" x14ac:dyDescent="0.15">
      <c r="A558">
        <v>24</v>
      </c>
      <c r="B558">
        <v>24</v>
      </c>
      <c r="C558">
        <v>580593.25390625</v>
      </c>
      <c r="D558">
        <v>652547.32641375985</v>
      </c>
      <c r="E558">
        <v>1.1347307777228094E-5</v>
      </c>
      <c r="F558">
        <v>1.1332711520924359E-5</v>
      </c>
      <c r="G558">
        <v>1.4596256303735648E-8</v>
      </c>
      <c r="H558" t="b">
        <v>0</v>
      </c>
    </row>
    <row r="559" spans="1:8" x14ac:dyDescent="0.15">
      <c r="A559">
        <v>24</v>
      </c>
      <c r="B559">
        <v>25</v>
      </c>
      <c r="C559">
        <v>580586.50390625</v>
      </c>
      <c r="D559">
        <v>590795.0803269773</v>
      </c>
      <c r="E559">
        <v>1.1345930641935081E-5</v>
      </c>
      <c r="F559">
        <v>1.1332711520924359E-5</v>
      </c>
      <c r="G559">
        <v>1.321912101072211E-8</v>
      </c>
      <c r="H559" t="b">
        <v>0</v>
      </c>
    </row>
    <row r="560" spans="1:8" x14ac:dyDescent="0.15">
      <c r="A560">
        <v>24</v>
      </c>
      <c r="B560">
        <v>26</v>
      </c>
      <c r="C560">
        <v>580578.40390625002</v>
      </c>
      <c r="D560">
        <v>516697.77485915908</v>
      </c>
      <c r="E560">
        <v>1.1344277061849414E-5</v>
      </c>
      <c r="F560">
        <v>1.1332711520924359E-5</v>
      </c>
      <c r="G560">
        <v>1.1565540925054804E-8</v>
      </c>
      <c r="H560" t="b">
        <v>0</v>
      </c>
    </row>
    <row r="561" spans="1:8" x14ac:dyDescent="0.15">
      <c r="A561">
        <v>24</v>
      </c>
      <c r="B561">
        <v>27</v>
      </c>
      <c r="C561">
        <v>580582.45390625007</v>
      </c>
      <c r="D561">
        <v>553711.04609838594</v>
      </c>
      <c r="E561">
        <v>1.1345103217631954E-5</v>
      </c>
      <c r="F561">
        <v>1.1332711520924359E-5</v>
      </c>
      <c r="G561">
        <v>1.2391696707594839E-8</v>
      </c>
      <c r="H561" t="b">
        <v>0</v>
      </c>
    </row>
    <row r="562" spans="1:8" x14ac:dyDescent="0.15">
      <c r="A562">
        <v>24</v>
      </c>
      <c r="B562">
        <v>28</v>
      </c>
      <c r="C562">
        <v>580587.31390625006</v>
      </c>
      <c r="D562">
        <v>598202.95768827165</v>
      </c>
      <c r="E562">
        <v>1.1346095890294189E-5</v>
      </c>
      <c r="F562">
        <v>1.1332711520924359E-5</v>
      </c>
      <c r="G562">
        <v>1.3384369369829935E-8</v>
      </c>
      <c r="H562" t="b">
        <v>0</v>
      </c>
    </row>
    <row r="563" spans="1:8" x14ac:dyDescent="0.15">
      <c r="A563">
        <v>24</v>
      </c>
      <c r="B563">
        <v>29</v>
      </c>
      <c r="C563">
        <v>580584.88390625</v>
      </c>
      <c r="D563">
        <v>575981.28259720583</v>
      </c>
      <c r="E563">
        <v>1.134560015166025E-5</v>
      </c>
      <c r="F563">
        <v>1.1332711520924359E-5</v>
      </c>
      <c r="G563">
        <v>1.2888630735891172E-8</v>
      </c>
      <c r="H563" t="b">
        <v>0</v>
      </c>
    </row>
    <row r="564" spans="1:8" x14ac:dyDescent="0.15">
      <c r="A564">
        <v>25</v>
      </c>
      <c r="B564">
        <v>1</v>
      </c>
      <c r="C564">
        <v>6050000</v>
      </c>
      <c r="D564">
        <v>3.7644665636476134E+18</v>
      </c>
      <c r="E564">
        <v>536.87092200000006</v>
      </c>
      <c r="F564">
        <v>1.3037581538810628E-5</v>
      </c>
      <c r="G564">
        <v>536.87090896241853</v>
      </c>
      <c r="H564" t="b">
        <v>0</v>
      </c>
    </row>
    <row r="565" spans="1:8" x14ac:dyDescent="0.15">
      <c r="A565">
        <v>25</v>
      </c>
      <c r="B565">
        <v>2</v>
      </c>
      <c r="C565">
        <v>3075000</v>
      </c>
      <c r="D565">
        <v>3.7644665636476134E+18</v>
      </c>
      <c r="E565">
        <v>536.87092200000006</v>
      </c>
      <c r="F565">
        <v>1.3037581538810628E-5</v>
      </c>
      <c r="G565">
        <v>536.87090896241853</v>
      </c>
      <c r="H565" t="b">
        <v>0</v>
      </c>
    </row>
    <row r="566" spans="1:8" x14ac:dyDescent="0.15">
      <c r="A566">
        <v>25</v>
      </c>
      <c r="B566">
        <v>3</v>
      </c>
      <c r="C566">
        <v>1587500</v>
      </c>
      <c r="D566">
        <v>3.7644665636476124E+18</v>
      </c>
      <c r="E566">
        <v>536.87092199999995</v>
      </c>
      <c r="F566">
        <v>1.3037581538810628E-5</v>
      </c>
      <c r="G566">
        <v>536.87090896241841</v>
      </c>
      <c r="H566" t="b">
        <v>0</v>
      </c>
    </row>
    <row r="567" spans="1:8" x14ac:dyDescent="0.15">
      <c r="A567">
        <v>25</v>
      </c>
      <c r="B567">
        <v>4</v>
      </c>
      <c r="C567">
        <v>843750</v>
      </c>
      <c r="D567">
        <v>2.9344875564002048E+16</v>
      </c>
      <c r="E567">
        <v>7.637685691164422</v>
      </c>
      <c r="F567">
        <v>1.3037581583219549E-5</v>
      </c>
      <c r="G567">
        <v>7.6376726535828388</v>
      </c>
      <c r="H567" t="b">
        <v>0</v>
      </c>
    </row>
    <row r="568" spans="1:8" x14ac:dyDescent="0.15">
      <c r="A568">
        <v>25</v>
      </c>
      <c r="B568">
        <v>5</v>
      </c>
      <c r="C568">
        <v>471875</v>
      </c>
      <c r="D568">
        <v>17295400908.119518</v>
      </c>
      <c r="E568">
        <v>8.1825730765025935E-5</v>
      </c>
      <c r="F568">
        <v>1.30375815828695E-5</v>
      </c>
      <c r="G568">
        <v>6.8788149182156435E-5</v>
      </c>
      <c r="H568" t="b">
        <v>0</v>
      </c>
    </row>
    <row r="569" spans="1:8" x14ac:dyDescent="0.15">
      <c r="A569">
        <v>25</v>
      </c>
      <c r="B569">
        <v>6</v>
      </c>
      <c r="C569">
        <v>285937.5</v>
      </c>
      <c r="D569">
        <v>-28935.881616081733</v>
      </c>
      <c r="E569">
        <v>-5.8050716611633784E-6</v>
      </c>
      <c r="F569">
        <v>1.3037581582869497E-5</v>
      </c>
      <c r="G569">
        <v>-1.8842653244032875E-5</v>
      </c>
      <c r="H569" t="b">
        <v>1</v>
      </c>
    </row>
    <row r="570" spans="1:8" x14ac:dyDescent="0.15">
      <c r="A570">
        <v>25</v>
      </c>
      <c r="B570">
        <v>7</v>
      </c>
      <c r="C570">
        <v>378906.25</v>
      </c>
      <c r="D570">
        <v>-278642.39260622323</v>
      </c>
      <c r="E570">
        <v>1.9629280094608009E-6</v>
      </c>
      <c r="F570">
        <v>1.3037581582869497E-5</v>
      </c>
      <c r="G570">
        <v>-1.1074653573408697E-5</v>
      </c>
      <c r="H570" t="b">
        <v>1</v>
      </c>
    </row>
    <row r="571" spans="1:8" x14ac:dyDescent="0.15">
      <c r="A571">
        <v>25</v>
      </c>
      <c r="B571">
        <v>8</v>
      </c>
      <c r="C571">
        <v>425390.625</v>
      </c>
      <c r="D571">
        <v>-49002994.116289832</v>
      </c>
      <c r="E571">
        <v>8.5201848185640426E-6</v>
      </c>
      <c r="F571">
        <v>1.3037581582869497E-5</v>
      </c>
      <c r="G571">
        <v>-4.5173967643054543E-6</v>
      </c>
      <c r="H571" t="b">
        <v>1</v>
      </c>
    </row>
    <row r="572" spans="1:8" x14ac:dyDescent="0.15">
      <c r="A572">
        <v>25</v>
      </c>
      <c r="B572">
        <v>9</v>
      </c>
      <c r="C572">
        <v>448632.8125</v>
      </c>
      <c r="D572">
        <v>1440300012.9409626</v>
      </c>
      <c r="E572">
        <v>2.3648662899322319E-5</v>
      </c>
      <c r="F572">
        <v>1.3037581582869497E-5</v>
      </c>
      <c r="G572">
        <v>1.0611081316452822E-5</v>
      </c>
      <c r="H572" t="b">
        <v>0</v>
      </c>
    </row>
    <row r="573" spans="1:8" x14ac:dyDescent="0.15">
      <c r="A573">
        <v>25</v>
      </c>
      <c r="B573">
        <v>10</v>
      </c>
      <c r="C573">
        <v>437011.71875</v>
      </c>
      <c r="D573">
        <v>-44900594.014641523</v>
      </c>
      <c r="E573">
        <v>1.2146829237430035E-5</v>
      </c>
      <c r="F573">
        <v>1.3037581582869497E-5</v>
      </c>
      <c r="G573">
        <v>-8.9075234543946212E-7</v>
      </c>
      <c r="H573" t="b">
        <v>1</v>
      </c>
    </row>
    <row r="574" spans="1:8" x14ac:dyDescent="0.15">
      <c r="A574">
        <v>25</v>
      </c>
      <c r="B574">
        <v>11</v>
      </c>
      <c r="C574">
        <v>442822.265625</v>
      </c>
      <c r="D574">
        <v>400390970.7102403</v>
      </c>
      <c r="E574">
        <v>1.7017397178942719E-5</v>
      </c>
      <c r="F574">
        <v>1.3037581582869497E-5</v>
      </c>
      <c r="G574">
        <v>3.9798155960732224E-6</v>
      </c>
      <c r="H574" t="b">
        <v>0</v>
      </c>
    </row>
    <row r="575" spans="1:8" x14ac:dyDescent="0.15">
      <c r="A575">
        <v>25</v>
      </c>
      <c r="B575">
        <v>12</v>
      </c>
      <c r="C575">
        <v>439916.9921875</v>
      </c>
      <c r="D575">
        <v>100771798.86806874</v>
      </c>
      <c r="E575">
        <v>1.4392174952370938E-5</v>
      </c>
      <c r="F575">
        <v>1.3037581582869497E-5</v>
      </c>
      <c r="G575">
        <v>1.3545933695014415E-6</v>
      </c>
      <c r="H575" t="b">
        <v>0</v>
      </c>
    </row>
    <row r="576" spans="1:8" x14ac:dyDescent="0.15">
      <c r="A576">
        <v>25</v>
      </c>
      <c r="B576">
        <v>13</v>
      </c>
      <c r="C576">
        <v>438464.35546875</v>
      </c>
      <c r="D576">
        <v>11662150.085238889</v>
      </c>
      <c r="E576">
        <v>1.3225369955292866E-5</v>
      </c>
      <c r="F576">
        <v>1.3037581582869497E-5</v>
      </c>
      <c r="G576">
        <v>1.8778837242336897E-7</v>
      </c>
      <c r="H576" t="b">
        <v>0</v>
      </c>
    </row>
    <row r="577" spans="1:8" x14ac:dyDescent="0.15">
      <c r="A577">
        <v>25</v>
      </c>
      <c r="B577">
        <v>14</v>
      </c>
      <c r="C577">
        <v>437264.35546875</v>
      </c>
      <c r="D577">
        <v>-37161537.92468968</v>
      </c>
      <c r="E577">
        <v>1.2328342167431461E-5</v>
      </c>
      <c r="F577">
        <v>1.3037581582869497E-5</v>
      </c>
      <c r="G577">
        <v>-7.0923941543803574E-7</v>
      </c>
      <c r="H577" t="b">
        <v>1</v>
      </c>
    </row>
    <row r="578" spans="1:8" x14ac:dyDescent="0.15">
      <c r="A578">
        <v>25</v>
      </c>
      <c r="B578">
        <v>15</v>
      </c>
      <c r="C578">
        <v>437864.35546875</v>
      </c>
      <c r="D578">
        <v>-15330559.476956222</v>
      </c>
      <c r="E578">
        <v>1.2769550279813038E-5</v>
      </c>
      <c r="F578">
        <v>1.3037581582869497E-5</v>
      </c>
      <c r="G578">
        <v>-2.6803130305645852E-7</v>
      </c>
      <c r="H578" t="b">
        <v>1</v>
      </c>
    </row>
    <row r="579" spans="1:8" x14ac:dyDescent="0.15">
      <c r="A579">
        <v>25</v>
      </c>
      <c r="B579">
        <v>16</v>
      </c>
      <c r="C579">
        <v>438464.35546875</v>
      </c>
      <c r="D579">
        <v>11662150.085238889</v>
      </c>
      <c r="E579">
        <v>1.3225369955292866E-5</v>
      </c>
      <c r="F579">
        <v>1.3037581582869497E-5</v>
      </c>
      <c r="G579">
        <v>1.8778837242336897E-7</v>
      </c>
      <c r="H579" t="b">
        <v>0</v>
      </c>
    </row>
    <row r="580" spans="1:8" x14ac:dyDescent="0.15">
      <c r="A580">
        <v>25</v>
      </c>
      <c r="B580">
        <v>17</v>
      </c>
      <c r="C580">
        <v>438164.35546875</v>
      </c>
      <c r="D580">
        <v>-2503262.8399475669</v>
      </c>
      <c r="E580">
        <v>1.2995606501890794E-5</v>
      </c>
      <c r="F580">
        <v>1.3037581582869497E-5</v>
      </c>
      <c r="G580">
        <v>-4.1975080978703375E-8</v>
      </c>
      <c r="H580" t="b">
        <v>1</v>
      </c>
    </row>
    <row r="581" spans="1:8" x14ac:dyDescent="0.15">
      <c r="A581">
        <v>25</v>
      </c>
      <c r="B581">
        <v>18</v>
      </c>
      <c r="C581">
        <v>438314.35546875</v>
      </c>
      <c r="D581">
        <v>4409316.8322892357</v>
      </c>
      <c r="E581">
        <v>1.3110023903622195E-5</v>
      </c>
      <c r="F581">
        <v>1.3037581582869497E-5</v>
      </c>
      <c r="G581">
        <v>7.2442320752697754E-8</v>
      </c>
      <c r="H581" t="b">
        <v>0</v>
      </c>
    </row>
    <row r="582" spans="1:8" x14ac:dyDescent="0.15">
      <c r="A582">
        <v>25</v>
      </c>
      <c r="B582">
        <v>19</v>
      </c>
      <c r="C582">
        <v>438239.35546875</v>
      </c>
      <c r="D582">
        <v>910909.97308265697</v>
      </c>
      <c r="E582">
        <v>1.3052700183299493E-5</v>
      </c>
      <c r="F582">
        <v>1.3037581582869497E-5</v>
      </c>
      <c r="G582">
        <v>1.511860042999606E-8</v>
      </c>
      <c r="H582" t="b">
        <v>0</v>
      </c>
    </row>
    <row r="583" spans="1:8" x14ac:dyDescent="0.15">
      <c r="A583">
        <v>25</v>
      </c>
      <c r="B583">
        <v>20</v>
      </c>
      <c r="C583">
        <v>438149.35546875</v>
      </c>
      <c r="D583">
        <v>-3176007.1935931961</v>
      </c>
      <c r="E583">
        <v>1.2984216104503817E-5</v>
      </c>
      <c r="F583">
        <v>1.3037581582869497E-5</v>
      </c>
      <c r="G583">
        <v>-5.3365478365679914E-8</v>
      </c>
      <c r="H583" t="b">
        <v>1</v>
      </c>
    </row>
    <row r="584" spans="1:8" x14ac:dyDescent="0.15">
      <c r="A584">
        <v>25</v>
      </c>
      <c r="B584">
        <v>21</v>
      </c>
      <c r="C584">
        <v>438194.35546875</v>
      </c>
      <c r="D584">
        <v>-1147732.6884569754</v>
      </c>
      <c r="E584">
        <v>1.3018415107196336E-5</v>
      </c>
      <c r="F584">
        <v>1.3037581582869497E-5</v>
      </c>
      <c r="G584">
        <v>-1.9166475673161015E-8</v>
      </c>
      <c r="H584" t="b">
        <v>1</v>
      </c>
    </row>
    <row r="585" spans="1:8" x14ac:dyDescent="0.15">
      <c r="A585">
        <v>25</v>
      </c>
      <c r="B585">
        <v>22</v>
      </c>
      <c r="C585">
        <v>438239.35546875</v>
      </c>
      <c r="D585">
        <v>910909.97308265697</v>
      </c>
      <c r="E585">
        <v>1.3052700183299493E-5</v>
      </c>
      <c r="F585">
        <v>1.3037581582869497E-5</v>
      </c>
      <c r="G585">
        <v>1.511860042999606E-8</v>
      </c>
      <c r="H585" t="b">
        <v>0</v>
      </c>
    </row>
    <row r="586" spans="1:8" x14ac:dyDescent="0.15">
      <c r="A586">
        <v>25</v>
      </c>
      <c r="B586">
        <v>23</v>
      </c>
      <c r="C586">
        <v>438216.85546875</v>
      </c>
      <c r="D586">
        <v>-122122.88927208928</v>
      </c>
      <c r="E586">
        <v>1.3035548456976939E-5</v>
      </c>
      <c r="F586">
        <v>1.3037581582869497E-5</v>
      </c>
      <c r="G586">
        <v>-2.0331258925583535E-9</v>
      </c>
      <c r="H586" t="b">
        <v>1</v>
      </c>
    </row>
    <row r="587" spans="1:8" x14ac:dyDescent="0.15">
      <c r="A587">
        <v>25</v>
      </c>
      <c r="B587">
        <v>24</v>
      </c>
      <c r="C587">
        <v>438228.10546875</v>
      </c>
      <c r="D587">
        <v>393445.50546448433</v>
      </c>
      <c r="E587">
        <v>1.3044121705253073E-5</v>
      </c>
      <c r="F587">
        <v>1.3037581582869497E-5</v>
      </c>
      <c r="G587">
        <v>6.540122383575823E-9</v>
      </c>
      <c r="H587" t="b">
        <v>0</v>
      </c>
    </row>
    <row r="588" spans="1:8" x14ac:dyDescent="0.15">
      <c r="A588">
        <v>25</v>
      </c>
      <c r="B588">
        <v>25</v>
      </c>
      <c r="C588">
        <v>438241.60546875</v>
      </c>
      <c r="D588">
        <v>1014630.6200126868</v>
      </c>
      <c r="E588">
        <v>1.3054416506741733E-5</v>
      </c>
      <c r="F588">
        <v>1.3037581582869497E-5</v>
      </c>
      <c r="G588">
        <v>1.6834923872236562E-8</v>
      </c>
      <c r="H588" t="b">
        <v>0</v>
      </c>
    </row>
    <row r="589" spans="1:8" x14ac:dyDescent="0.15">
      <c r="A589">
        <v>25</v>
      </c>
      <c r="B589">
        <v>26</v>
      </c>
      <c r="C589">
        <v>438234.85546875</v>
      </c>
      <c r="D589">
        <v>703543.41221840656</v>
      </c>
      <c r="E589">
        <v>1.3049265627318745E-5</v>
      </c>
      <c r="F589">
        <v>1.3037581582869497E-5</v>
      </c>
      <c r="G589">
        <v>1.1684044449248026E-8</v>
      </c>
      <c r="H589" t="b">
        <v>0</v>
      </c>
    </row>
    <row r="590" spans="1:8" x14ac:dyDescent="0.15">
      <c r="A590">
        <v>25</v>
      </c>
      <c r="B590">
        <v>27</v>
      </c>
      <c r="C590">
        <v>438226.75546875002</v>
      </c>
      <c r="D590">
        <v>331477.23552194395</v>
      </c>
      <c r="E590">
        <v>1.3043092639382419E-5</v>
      </c>
      <c r="F590">
        <v>1.3037581582869497E-5</v>
      </c>
      <c r="G590">
        <v>5.5110565129221447E-9</v>
      </c>
      <c r="H590" t="b">
        <v>0</v>
      </c>
    </row>
    <row r="591" spans="1:8" x14ac:dyDescent="0.15">
      <c r="A591">
        <v>25</v>
      </c>
      <c r="B591">
        <v>28</v>
      </c>
      <c r="C591">
        <v>438230.80546875001</v>
      </c>
      <c r="D591">
        <v>517311.08357088472</v>
      </c>
      <c r="E591">
        <v>1.3046177526535136E-5</v>
      </c>
      <c r="F591">
        <v>1.3037581582869497E-5</v>
      </c>
      <c r="G591">
        <v>8.5959436656387353E-9</v>
      </c>
      <c r="H591" t="b">
        <v>0</v>
      </c>
    </row>
    <row r="592" spans="1:8" x14ac:dyDescent="0.15">
      <c r="A592">
        <v>25</v>
      </c>
      <c r="B592">
        <v>29</v>
      </c>
      <c r="C592">
        <v>438228.78046874999</v>
      </c>
      <c r="D592">
        <v>424287.10552432499</v>
      </c>
      <c r="E592">
        <v>1.3044633730352638E-5</v>
      </c>
      <c r="F592">
        <v>1.3037581582869497E-5</v>
      </c>
      <c r="G592">
        <v>7.0521474831412997E-9</v>
      </c>
      <c r="H592" t="b">
        <v>0</v>
      </c>
    </row>
    <row r="593" spans="1:8" x14ac:dyDescent="0.15">
      <c r="A593">
        <v>25</v>
      </c>
      <c r="B593">
        <v>30</v>
      </c>
      <c r="C593">
        <v>438229.79296875</v>
      </c>
      <c r="D593">
        <v>470791.4138958918</v>
      </c>
      <c r="E593">
        <v>1.3045405607261363E-5</v>
      </c>
      <c r="F593">
        <v>1.3037581582869497E-5</v>
      </c>
      <c r="G593">
        <v>7.8240243918663055E-9</v>
      </c>
      <c r="H593" t="b">
        <v>0</v>
      </c>
    </row>
    <row r="594" spans="1:8" x14ac:dyDescent="0.15">
      <c r="A594">
        <v>25</v>
      </c>
      <c r="B594">
        <v>31</v>
      </c>
      <c r="C594">
        <v>438229.28671875002</v>
      </c>
      <c r="D594">
        <v>447690.13854643889</v>
      </c>
      <c r="E594">
        <v>1.3045022199660958E-5</v>
      </c>
      <c r="F594">
        <v>1.3037581582869497E-5</v>
      </c>
      <c r="G594">
        <v>7.4406167914608926E-9</v>
      </c>
      <c r="H594" t="b">
        <v>0</v>
      </c>
    </row>
    <row r="595" spans="1:8" x14ac:dyDescent="0.15">
      <c r="A595">
        <v>25</v>
      </c>
      <c r="B595">
        <v>32</v>
      </c>
      <c r="C595">
        <v>438228.67921875004</v>
      </c>
      <c r="D595">
        <v>419637.51946796448</v>
      </c>
      <c r="E595">
        <v>1.3044556544991441E-5</v>
      </c>
      <c r="F595">
        <v>1.3037581582869497E-5</v>
      </c>
      <c r="G595">
        <v>6.9749621219436432E-9</v>
      </c>
      <c r="H595" t="b">
        <v>0</v>
      </c>
    </row>
    <row r="596" spans="1:8" x14ac:dyDescent="0.15">
      <c r="A596">
        <v>25</v>
      </c>
      <c r="B596">
        <v>33</v>
      </c>
      <c r="C596">
        <v>438228.98296875006</v>
      </c>
      <c r="D596">
        <v>433739.52190817869</v>
      </c>
      <c r="E596">
        <v>1.3044790638449361E-5</v>
      </c>
      <c r="F596">
        <v>1.3037581582869497E-5</v>
      </c>
      <c r="G596">
        <v>7.2090555798643921E-9</v>
      </c>
      <c r="H596" t="b">
        <v>0</v>
      </c>
    </row>
    <row r="597" spans="1:8" x14ac:dyDescent="0.15">
      <c r="A597">
        <v>25</v>
      </c>
      <c r="B597">
        <v>34</v>
      </c>
      <c r="C597">
        <v>438229.34746875009</v>
      </c>
      <c r="D597">
        <v>450480.42776048981</v>
      </c>
      <c r="E597">
        <v>1.3045068512360739E-5</v>
      </c>
      <c r="F597">
        <v>1.3037581582869497E-5</v>
      </c>
      <c r="G597">
        <v>7.4869294912416811E-9</v>
      </c>
      <c r="H597" t="b">
        <v>0</v>
      </c>
    </row>
    <row r="598" spans="1:8" x14ac:dyDescent="0.15">
      <c r="A598">
        <v>25</v>
      </c>
      <c r="B598">
        <v>35</v>
      </c>
      <c r="C598">
        <v>438229.16521875007</v>
      </c>
      <c r="D598">
        <v>441956.93325980613</v>
      </c>
      <c r="E598">
        <v>1.3044927038587446E-5</v>
      </c>
      <c r="F598">
        <v>1.3037581582869497E-5</v>
      </c>
      <c r="G598">
        <v>7.3454557179495201E-9</v>
      </c>
      <c r="H598" t="b">
        <v>0</v>
      </c>
    </row>
    <row r="599" spans="1:8" x14ac:dyDescent="0.15">
      <c r="A599">
        <v>26</v>
      </c>
      <c r="B599">
        <v>1</v>
      </c>
      <c r="C599">
        <v>6050000</v>
      </c>
      <c r="D599">
        <v>6.1396600037568246E+18</v>
      </c>
      <c r="E599">
        <v>536.87092200000006</v>
      </c>
      <c r="F599">
        <v>8.4234741279942682E-6</v>
      </c>
      <c r="G599">
        <v>536.87091357652594</v>
      </c>
      <c r="H599" t="b">
        <v>0</v>
      </c>
    </row>
    <row r="600" spans="1:8" x14ac:dyDescent="0.15">
      <c r="A600">
        <v>26</v>
      </c>
      <c r="B600">
        <v>2</v>
      </c>
      <c r="C600">
        <v>3075000</v>
      </c>
      <c r="D600">
        <v>6.1396600037568246E+18</v>
      </c>
      <c r="E600">
        <v>536.87092200000006</v>
      </c>
      <c r="F600">
        <v>8.4234741279942682E-6</v>
      </c>
      <c r="G600">
        <v>536.87091357652594</v>
      </c>
      <c r="H600" t="b">
        <v>0</v>
      </c>
    </row>
    <row r="601" spans="1:8" x14ac:dyDescent="0.15">
      <c r="A601">
        <v>26</v>
      </c>
      <c r="B601">
        <v>3</v>
      </c>
      <c r="C601">
        <v>1587500</v>
      </c>
      <c r="D601">
        <v>1.4353825928877371E+17</v>
      </c>
      <c r="E601">
        <v>19.805932071243824</v>
      </c>
      <c r="F601">
        <v>8.4234741457578366E-6</v>
      </c>
      <c r="G601">
        <v>19.805923647769678</v>
      </c>
      <c r="H601" t="b">
        <v>0</v>
      </c>
    </row>
    <row r="602" spans="1:8" x14ac:dyDescent="0.15">
      <c r="A602">
        <v>26</v>
      </c>
      <c r="B602">
        <v>4</v>
      </c>
      <c r="C602">
        <v>843750</v>
      </c>
      <c r="D602">
        <v>1213203792174.5481</v>
      </c>
      <c r="E602">
        <v>1.2083980004389506E-3</v>
      </c>
      <c r="F602">
        <v>8.4234741448605509E-6</v>
      </c>
      <c r="G602">
        <v>1.19997452629409E-3</v>
      </c>
      <c r="H602" t="b">
        <v>0</v>
      </c>
    </row>
    <row r="603" spans="1:8" x14ac:dyDescent="0.15">
      <c r="A603">
        <v>26</v>
      </c>
      <c r="B603">
        <v>5</v>
      </c>
      <c r="C603">
        <v>471875</v>
      </c>
      <c r="D603">
        <v>-114494.26614785596</v>
      </c>
      <c r="E603">
        <v>-1.1017732461884029E-6</v>
      </c>
      <c r="F603">
        <v>8.4234741448604967E-6</v>
      </c>
      <c r="G603">
        <v>-9.5252473910488996E-6</v>
      </c>
      <c r="H603" t="b">
        <v>1</v>
      </c>
    </row>
    <row r="604" spans="1:8" x14ac:dyDescent="0.15">
      <c r="A604">
        <v>26</v>
      </c>
      <c r="B604">
        <v>6</v>
      </c>
      <c r="C604">
        <v>657812.5</v>
      </c>
      <c r="D604">
        <v>112336547.08302073</v>
      </c>
      <c r="E604">
        <v>9.8219820558081626E-6</v>
      </c>
      <c r="F604">
        <v>8.4234741448604967E-6</v>
      </c>
      <c r="G604">
        <v>1.3985079109476659E-6</v>
      </c>
      <c r="H604" t="b">
        <v>0</v>
      </c>
    </row>
    <row r="605" spans="1:8" x14ac:dyDescent="0.15">
      <c r="A605">
        <v>26</v>
      </c>
      <c r="B605">
        <v>7</v>
      </c>
      <c r="C605">
        <v>564843.75</v>
      </c>
      <c r="D605">
        <v>-760969.67381344084</v>
      </c>
      <c r="E605">
        <v>2.1340700684319761E-6</v>
      </c>
      <c r="F605">
        <v>8.4234741448604967E-6</v>
      </c>
      <c r="G605">
        <v>-6.2894040764285202E-6</v>
      </c>
      <c r="H605" t="b">
        <v>1</v>
      </c>
    </row>
    <row r="606" spans="1:8" x14ac:dyDescent="0.15">
      <c r="A606">
        <v>26</v>
      </c>
      <c r="B606">
        <v>8</v>
      </c>
      <c r="C606">
        <v>611328.125</v>
      </c>
      <c r="D606">
        <v>-9474238.9009176753</v>
      </c>
      <c r="E606">
        <v>4.6111360113616357E-6</v>
      </c>
      <c r="F606">
        <v>8.4234741448604967E-6</v>
      </c>
      <c r="G606">
        <v>-3.812338133498861E-6</v>
      </c>
      <c r="H606" t="b">
        <v>1</v>
      </c>
    </row>
    <row r="607" spans="1:8" x14ac:dyDescent="0.15">
      <c r="A607">
        <v>26</v>
      </c>
      <c r="B607">
        <v>9</v>
      </c>
      <c r="C607">
        <v>634570.3125</v>
      </c>
      <c r="D607">
        <v>-41909039.308055766</v>
      </c>
      <c r="E607">
        <v>6.769314653417751E-6</v>
      </c>
      <c r="F607">
        <v>8.4234741448604967E-6</v>
      </c>
      <c r="G607">
        <v>-1.6541594914427457E-6</v>
      </c>
      <c r="H607" t="b">
        <v>1</v>
      </c>
    </row>
    <row r="608" spans="1:8" x14ac:dyDescent="0.15">
      <c r="A608">
        <v>26</v>
      </c>
      <c r="B608">
        <v>10</v>
      </c>
      <c r="C608">
        <v>646191.40625</v>
      </c>
      <c r="D608">
        <v>-12859422.235037958</v>
      </c>
      <c r="E608">
        <v>8.1675698928852358E-6</v>
      </c>
      <c r="F608">
        <v>8.4234741448604967E-6</v>
      </c>
      <c r="G608">
        <v>-2.5590425197526084E-7</v>
      </c>
      <c r="H608" t="b">
        <v>1</v>
      </c>
    </row>
    <row r="609" spans="1:8" x14ac:dyDescent="0.15">
      <c r="A609">
        <v>26</v>
      </c>
      <c r="B609">
        <v>11</v>
      </c>
      <c r="C609">
        <v>652001.953125</v>
      </c>
      <c r="D609">
        <v>34762405.628732868</v>
      </c>
      <c r="E609">
        <v>8.9605900136360899E-6</v>
      </c>
      <c r="F609">
        <v>8.4234741448604967E-6</v>
      </c>
      <c r="G609">
        <v>5.3711586877559321E-7</v>
      </c>
      <c r="H609" t="b">
        <v>0</v>
      </c>
    </row>
    <row r="610" spans="1:8" x14ac:dyDescent="0.15">
      <c r="A610">
        <v>26</v>
      </c>
      <c r="B610">
        <v>12</v>
      </c>
      <c r="C610">
        <v>649096.6796875</v>
      </c>
      <c r="D610">
        <v>7587730.8253864087</v>
      </c>
      <c r="E610">
        <v>8.5558119301922436E-6</v>
      </c>
      <c r="F610">
        <v>8.4234741448604967E-6</v>
      </c>
      <c r="G610">
        <v>1.3233778533174696E-7</v>
      </c>
      <c r="H610" t="b">
        <v>0</v>
      </c>
    </row>
    <row r="611" spans="1:8" x14ac:dyDescent="0.15">
      <c r="A611">
        <v>26</v>
      </c>
      <c r="B611">
        <v>13</v>
      </c>
      <c r="C611">
        <v>647644.04296875</v>
      </c>
      <c r="D611">
        <v>-3430452.622546298</v>
      </c>
      <c r="E611">
        <v>8.359657700625982E-6</v>
      </c>
      <c r="F611">
        <v>8.4234741448604967E-6</v>
      </c>
      <c r="G611">
        <v>-6.3816444234514693E-8</v>
      </c>
      <c r="H611" t="b">
        <v>1</v>
      </c>
    </row>
    <row r="612" spans="1:8" x14ac:dyDescent="0.15">
      <c r="A612">
        <v>26</v>
      </c>
      <c r="B612">
        <v>14</v>
      </c>
      <c r="C612">
        <v>648144.04296875</v>
      </c>
      <c r="D612">
        <v>178066.60305775129</v>
      </c>
      <c r="E612">
        <v>8.4267129527597095E-6</v>
      </c>
      <c r="F612">
        <v>8.4234741448604967E-6</v>
      </c>
      <c r="G612">
        <v>3.2388078992128054E-9</v>
      </c>
      <c r="H612" t="b">
        <v>0</v>
      </c>
    </row>
    <row r="613" spans="1:8" x14ac:dyDescent="0.15">
      <c r="A613">
        <v>26</v>
      </c>
      <c r="B613">
        <v>15</v>
      </c>
      <c r="C613">
        <v>648744.04296875</v>
      </c>
      <c r="D613">
        <v>4762030.2542356513</v>
      </c>
      <c r="E613">
        <v>8.5078178500425721E-6</v>
      </c>
      <c r="F613">
        <v>8.4234741448604967E-6</v>
      </c>
      <c r="G613">
        <v>8.4343705182075469E-8</v>
      </c>
      <c r="H613" t="b">
        <v>0</v>
      </c>
    </row>
    <row r="614" spans="1:8" x14ac:dyDescent="0.15">
      <c r="A614">
        <v>26</v>
      </c>
      <c r="B614">
        <v>16</v>
      </c>
      <c r="C614">
        <v>648444.04296875</v>
      </c>
      <c r="D614">
        <v>2435078.444182239</v>
      </c>
      <c r="E614">
        <v>8.4671779066569479E-6</v>
      </c>
      <c r="F614">
        <v>8.4234741448604967E-6</v>
      </c>
      <c r="G614">
        <v>4.3703761796451196E-8</v>
      </c>
      <c r="H614" t="b">
        <v>0</v>
      </c>
    </row>
    <row r="615" spans="1:8" x14ac:dyDescent="0.15">
      <c r="A615">
        <v>26</v>
      </c>
      <c r="B615">
        <v>17</v>
      </c>
      <c r="C615">
        <v>648084.04296875</v>
      </c>
      <c r="D615">
        <v>-265064.27426770335</v>
      </c>
      <c r="E615">
        <v>8.4186399998456744E-6</v>
      </c>
      <c r="F615">
        <v>8.4234741448604967E-6</v>
      </c>
      <c r="G615">
        <v>-4.8341450148222547E-9</v>
      </c>
      <c r="H615" t="b">
        <v>1</v>
      </c>
    </row>
    <row r="616" spans="1:8" x14ac:dyDescent="0.15">
      <c r="A616">
        <v>26</v>
      </c>
      <c r="B616">
        <v>18</v>
      </c>
      <c r="C616">
        <v>648264.04296875</v>
      </c>
      <c r="D616">
        <v>1072479.9516471664</v>
      </c>
      <c r="E616">
        <v>8.4428770629475505E-6</v>
      </c>
      <c r="F616">
        <v>8.4234741448604967E-6</v>
      </c>
      <c r="G616">
        <v>1.9402918087053783E-8</v>
      </c>
      <c r="H616" t="b">
        <v>0</v>
      </c>
    </row>
    <row r="617" spans="1:8" x14ac:dyDescent="0.15">
      <c r="A617">
        <v>26</v>
      </c>
      <c r="B617">
        <v>19</v>
      </c>
      <c r="C617">
        <v>648174.04296875</v>
      </c>
      <c r="D617">
        <v>400643.67901768105</v>
      </c>
      <c r="E617">
        <v>8.4307515907116853E-6</v>
      </c>
      <c r="F617">
        <v>8.4234741448604967E-6</v>
      </c>
      <c r="G617">
        <v>7.2774458511886423E-9</v>
      </c>
      <c r="H617" t="b">
        <v>0</v>
      </c>
    </row>
    <row r="618" spans="1:8" x14ac:dyDescent="0.15">
      <c r="A618">
        <v>26</v>
      </c>
      <c r="B618">
        <v>20</v>
      </c>
      <c r="C618">
        <v>648219.04296875</v>
      </c>
      <c r="D618">
        <v>735807.19467587466</v>
      </c>
      <c r="E618">
        <v>8.4368128187636239E-6</v>
      </c>
      <c r="F618">
        <v>8.4234741448604967E-6</v>
      </c>
      <c r="G618">
        <v>1.3338673903127217E-8</v>
      </c>
      <c r="H618" t="b">
        <v>0</v>
      </c>
    </row>
    <row r="619" spans="1:8" x14ac:dyDescent="0.15">
      <c r="A619">
        <v>26</v>
      </c>
      <c r="B619">
        <v>21</v>
      </c>
      <c r="C619">
        <v>648196.54296875</v>
      </c>
      <c r="D619">
        <v>568030.61827012955</v>
      </c>
      <c r="E619">
        <v>8.4337817139701294E-6</v>
      </c>
      <c r="F619">
        <v>8.4234741448604967E-6</v>
      </c>
      <c r="G619">
        <v>1.0307569109632706E-8</v>
      </c>
      <c r="H619" t="b">
        <v>0</v>
      </c>
    </row>
    <row r="620" spans="1:8" x14ac:dyDescent="0.15">
      <c r="A620">
        <v>26</v>
      </c>
      <c r="B620">
        <v>22</v>
      </c>
      <c r="C620">
        <v>648207.79296875</v>
      </c>
      <c r="D620">
        <v>651819.80447372713</v>
      </c>
      <c r="E620">
        <v>8.4352962335513047E-6</v>
      </c>
      <c r="F620">
        <v>8.4234741448604967E-6</v>
      </c>
      <c r="G620">
        <v>1.1822088690808003E-8</v>
      </c>
      <c r="H620" t="b">
        <v>0</v>
      </c>
    </row>
    <row r="621" spans="1:8" x14ac:dyDescent="0.15">
      <c r="A621">
        <v>27</v>
      </c>
      <c r="B621">
        <v>1</v>
      </c>
      <c r="C621">
        <v>6050000</v>
      </c>
      <c r="D621">
        <v>3.8367849841394714E+18</v>
      </c>
      <c r="E621">
        <v>536.87092200000006</v>
      </c>
      <c r="F621">
        <v>1.1385607990632707E-5</v>
      </c>
      <c r="G621">
        <v>536.87091061439207</v>
      </c>
      <c r="H621" t="b">
        <v>0</v>
      </c>
    </row>
    <row r="622" spans="1:8" x14ac:dyDescent="0.15">
      <c r="A622">
        <v>27</v>
      </c>
      <c r="B622">
        <v>2</v>
      </c>
      <c r="C622">
        <v>3075000</v>
      </c>
      <c r="D622">
        <v>1.3368425008253258E+18</v>
      </c>
      <c r="E622">
        <v>211.47134746251666</v>
      </c>
      <c r="F622">
        <v>1.1385607962210997E-5</v>
      </c>
      <c r="G622">
        <v>211.4713360769087</v>
      </c>
      <c r="H622" t="b">
        <v>0</v>
      </c>
    </row>
    <row r="623" spans="1:8" x14ac:dyDescent="0.15">
      <c r="A623">
        <v>27</v>
      </c>
      <c r="B623">
        <v>3</v>
      </c>
      <c r="C623">
        <v>1587500</v>
      </c>
      <c r="D623">
        <v>26766668714708.887</v>
      </c>
      <c r="E623">
        <v>2.086016457541183E-2</v>
      </c>
      <c r="F623">
        <v>1.1385607960680971E-5</v>
      </c>
      <c r="G623">
        <v>2.0848778967451149E-2</v>
      </c>
      <c r="H623" t="b">
        <v>0</v>
      </c>
    </row>
    <row r="624" spans="1:8" x14ac:dyDescent="0.15">
      <c r="A624">
        <v>27</v>
      </c>
      <c r="B624">
        <v>4</v>
      </c>
      <c r="C624">
        <v>843750</v>
      </c>
      <c r="D624">
        <v>-481692.94052221428</v>
      </c>
      <c r="E624">
        <v>2.2602225131258693E-6</v>
      </c>
      <c r="F624">
        <v>1.1385607960680792E-5</v>
      </c>
      <c r="G624">
        <v>-9.1253854475549228E-6</v>
      </c>
      <c r="H624" t="b">
        <v>1</v>
      </c>
    </row>
    <row r="625" spans="1:8" x14ac:dyDescent="0.15">
      <c r="A625">
        <v>27</v>
      </c>
      <c r="B625">
        <v>5</v>
      </c>
      <c r="C625">
        <v>1215625</v>
      </c>
      <c r="D625">
        <v>119422282009.9648</v>
      </c>
      <c r="E625">
        <v>3.0667506795206754E-4</v>
      </c>
      <c r="F625">
        <v>1.1385607960680809E-5</v>
      </c>
      <c r="G625">
        <v>2.9528945999138674E-4</v>
      </c>
      <c r="H625" t="b">
        <v>0</v>
      </c>
    </row>
    <row r="626" spans="1:8" x14ac:dyDescent="0.15">
      <c r="A626">
        <v>27</v>
      </c>
      <c r="B626">
        <v>6</v>
      </c>
      <c r="C626">
        <v>1029687.5</v>
      </c>
      <c r="D626">
        <v>246858016.24450362</v>
      </c>
      <c r="E626">
        <v>1.4627188202410349E-5</v>
      </c>
      <c r="F626">
        <v>1.1385607960680792E-5</v>
      </c>
      <c r="G626">
        <v>3.2415802417295573E-6</v>
      </c>
      <c r="H626" t="b">
        <v>0</v>
      </c>
    </row>
    <row r="627" spans="1:8" x14ac:dyDescent="0.15">
      <c r="A627">
        <v>27</v>
      </c>
      <c r="B627">
        <v>7</v>
      </c>
      <c r="C627">
        <v>936718.75</v>
      </c>
      <c r="D627">
        <v>-6813736.6207945673</v>
      </c>
      <c r="E627">
        <v>5.7242191023306726E-6</v>
      </c>
      <c r="F627">
        <v>1.1385607960680792E-5</v>
      </c>
      <c r="G627">
        <v>-5.6613888583501191E-6</v>
      </c>
      <c r="H627" t="b">
        <v>1</v>
      </c>
    </row>
    <row r="628" spans="1:8" x14ac:dyDescent="0.15">
      <c r="A628">
        <v>27</v>
      </c>
      <c r="B628">
        <v>8</v>
      </c>
      <c r="C628">
        <v>983203.125</v>
      </c>
      <c r="D628">
        <v>-48677501.817019813</v>
      </c>
      <c r="E628">
        <v>9.0235668561040279E-6</v>
      </c>
      <c r="F628">
        <v>1.1385607960680792E-5</v>
      </c>
      <c r="G628">
        <v>-2.3620411045767638E-6</v>
      </c>
      <c r="H628" t="b">
        <v>1</v>
      </c>
    </row>
    <row r="629" spans="1:8" x14ac:dyDescent="0.15">
      <c r="A629">
        <v>27</v>
      </c>
      <c r="B629">
        <v>9</v>
      </c>
      <c r="C629">
        <v>1006445.3125</v>
      </c>
      <c r="D629">
        <v>-6336129.7304377127</v>
      </c>
      <c r="E629">
        <v>1.1237965515439026E-5</v>
      </c>
      <c r="F629">
        <v>1.1385607960680792E-5</v>
      </c>
      <c r="G629">
        <v>-1.4764244524176585E-7</v>
      </c>
      <c r="H629" t="b">
        <v>1</v>
      </c>
    </row>
    <row r="630" spans="1:8" x14ac:dyDescent="0.15">
      <c r="A630">
        <v>27</v>
      </c>
      <c r="B630">
        <v>10</v>
      </c>
      <c r="C630">
        <v>1018066.40625</v>
      </c>
      <c r="D630">
        <v>62772310.857731991</v>
      </c>
      <c r="E630">
        <v>1.251287726807664E-5</v>
      </c>
      <c r="F630">
        <v>1.1385607960680792E-5</v>
      </c>
      <c r="G630">
        <v>1.1272693073958481E-6</v>
      </c>
      <c r="H630" t="b">
        <v>0</v>
      </c>
    </row>
    <row r="631" spans="1:8" x14ac:dyDescent="0.15">
      <c r="A631">
        <v>27</v>
      </c>
      <c r="B631">
        <v>11</v>
      </c>
      <c r="C631">
        <v>1012255.859375</v>
      </c>
      <c r="D631">
        <v>23360464.555074703</v>
      </c>
      <c r="E631">
        <v>1.1860570924258522E-5</v>
      </c>
      <c r="F631">
        <v>1.1385607960680792E-5</v>
      </c>
      <c r="G631">
        <v>4.749629635777308E-7</v>
      </c>
      <c r="H631" t="b">
        <v>0</v>
      </c>
    </row>
    <row r="632" spans="1:8" x14ac:dyDescent="0.15">
      <c r="A632">
        <v>27</v>
      </c>
      <c r="B632">
        <v>12</v>
      </c>
      <c r="C632">
        <v>1009350.5859375</v>
      </c>
      <c r="D632">
        <v>7363715.6894863239</v>
      </c>
      <c r="E632">
        <v>1.1545621349488942E-5</v>
      </c>
      <c r="F632">
        <v>1.1385607960680792E-5</v>
      </c>
      <c r="G632">
        <v>1.6001338880815077E-7</v>
      </c>
      <c r="H632" t="b">
        <v>0</v>
      </c>
    </row>
    <row r="633" spans="1:8" x14ac:dyDescent="0.15">
      <c r="A633">
        <v>27</v>
      </c>
      <c r="B633">
        <v>13</v>
      </c>
      <c r="C633">
        <v>1007897.94921875</v>
      </c>
      <c r="D633">
        <v>234807.4046753085</v>
      </c>
      <c r="E633">
        <v>1.1390889317704613E-5</v>
      </c>
      <c r="F633">
        <v>1.1385607960680792E-5</v>
      </c>
      <c r="G633">
        <v>5.2813570238208999E-9</v>
      </c>
      <c r="H633" t="b">
        <v>0</v>
      </c>
    </row>
    <row r="634" spans="1:8" x14ac:dyDescent="0.15">
      <c r="A634">
        <v>27</v>
      </c>
      <c r="B634">
        <v>14</v>
      </c>
      <c r="C634">
        <v>1008397.94921875</v>
      </c>
      <c r="D634">
        <v>2624821.1120415586</v>
      </c>
      <c r="E634">
        <v>1.1443944049845723E-5</v>
      </c>
      <c r="F634">
        <v>1.1385607960680792E-5</v>
      </c>
      <c r="G634">
        <v>5.8336089164931588E-8</v>
      </c>
      <c r="H634" t="b">
        <v>0</v>
      </c>
    </row>
    <row r="635" spans="1:8" x14ac:dyDescent="0.15">
      <c r="A635">
        <v>27</v>
      </c>
      <c r="B635">
        <v>15</v>
      </c>
      <c r="C635">
        <v>1008147.94921875</v>
      </c>
      <c r="D635">
        <v>1421527.8517622803</v>
      </c>
      <c r="E635">
        <v>1.1417390269107854E-5</v>
      </c>
      <c r="F635">
        <v>1.1385607960680792E-5</v>
      </c>
      <c r="G635">
        <v>3.1782308427062198E-8</v>
      </c>
      <c r="H635" t="b">
        <v>0</v>
      </c>
    </row>
    <row r="636" spans="1:8" x14ac:dyDescent="0.15">
      <c r="A636">
        <v>27</v>
      </c>
      <c r="B636">
        <v>16</v>
      </c>
      <c r="C636">
        <v>1007847.94921875</v>
      </c>
      <c r="D636">
        <v>-543.92716922823274</v>
      </c>
      <c r="E636">
        <v>1.1385595711795866E-5</v>
      </c>
      <c r="F636">
        <v>1.1385607960680792E-5</v>
      </c>
      <c r="G636">
        <v>-1.224888492534998E-11</v>
      </c>
      <c r="H636" t="b">
        <v>1</v>
      </c>
    </row>
    <row r="637" spans="1:8" x14ac:dyDescent="0.15">
      <c r="A637">
        <v>27</v>
      </c>
      <c r="B637">
        <v>17</v>
      </c>
      <c r="C637">
        <v>1007997.94921875</v>
      </c>
      <c r="D637">
        <v>707493.73498816951</v>
      </c>
      <c r="E637">
        <v>1.1401482954202918E-5</v>
      </c>
      <c r="F637">
        <v>1.1385607960680792E-5</v>
      </c>
      <c r="G637">
        <v>1.5874993522126728E-8</v>
      </c>
      <c r="H637" t="b">
        <v>0</v>
      </c>
    </row>
    <row r="638" spans="1:8" x14ac:dyDescent="0.15">
      <c r="A638">
        <v>27</v>
      </c>
      <c r="B638">
        <v>18</v>
      </c>
      <c r="C638">
        <v>1008177.94921875</v>
      </c>
      <c r="D638">
        <v>1565044.5175999997</v>
      </c>
      <c r="E638">
        <v>1.1420573890259359E-5</v>
      </c>
      <c r="F638">
        <v>1.1385607960680792E-5</v>
      </c>
      <c r="G638">
        <v>3.4965929578567606E-8</v>
      </c>
      <c r="H638" t="b">
        <v>0</v>
      </c>
    </row>
    <row r="639" spans="1:8" x14ac:dyDescent="0.15">
      <c r="A639">
        <v>27</v>
      </c>
      <c r="B639">
        <v>19</v>
      </c>
      <c r="C639">
        <v>1008087.94921875</v>
      </c>
      <c r="D639">
        <v>1135211.8345603889</v>
      </c>
      <c r="E639">
        <v>1.1411025342864209E-5</v>
      </c>
      <c r="F639">
        <v>1.1385607960680792E-5</v>
      </c>
      <c r="G639">
        <v>2.541738218341689E-8</v>
      </c>
      <c r="H639" t="b">
        <v>0</v>
      </c>
    </row>
    <row r="640" spans="1:8" x14ac:dyDescent="0.15">
      <c r="A640">
        <v>27</v>
      </c>
      <c r="B640">
        <v>20</v>
      </c>
      <c r="C640">
        <v>1007979.94921875</v>
      </c>
      <c r="D640">
        <v>622214.8307663718</v>
      </c>
      <c r="E640">
        <v>1.139957546727351E-5</v>
      </c>
      <c r="F640">
        <v>1.1385607960680792E-5</v>
      </c>
      <c r="G640">
        <v>1.396750659271794E-8</v>
      </c>
      <c r="H640" t="b">
        <v>0</v>
      </c>
    </row>
    <row r="641" spans="1:8" x14ac:dyDescent="0.15">
      <c r="A641">
        <v>27</v>
      </c>
      <c r="B641">
        <v>21</v>
      </c>
      <c r="C641">
        <v>1008033.94921875</v>
      </c>
      <c r="D641">
        <v>878344.37470142706</v>
      </c>
      <c r="E641">
        <v>1.1405299548775567E-5</v>
      </c>
      <c r="F641">
        <v>1.1385607960680792E-5</v>
      </c>
      <c r="G641">
        <v>1.9691588094774916E-8</v>
      </c>
      <c r="H641" t="b">
        <v>0</v>
      </c>
    </row>
    <row r="642" spans="1:8" x14ac:dyDescent="0.15">
      <c r="A642">
        <v>27</v>
      </c>
      <c r="B642">
        <v>22</v>
      </c>
      <c r="C642">
        <v>1008098.74921875</v>
      </c>
      <c r="D642">
        <v>1186642.7489891718</v>
      </c>
      <c r="E642">
        <v>1.141217001355659E-5</v>
      </c>
      <c r="F642">
        <v>1.1385607960680792E-5</v>
      </c>
      <c r="G642">
        <v>2.6562052875798054E-8</v>
      </c>
      <c r="H642" t="b">
        <v>0</v>
      </c>
    </row>
    <row r="643" spans="1:8" x14ac:dyDescent="0.15">
      <c r="A643">
        <v>27</v>
      </c>
      <c r="B643">
        <v>23</v>
      </c>
      <c r="C643">
        <v>1008066.34921875</v>
      </c>
      <c r="D643">
        <v>1032336.6709447236</v>
      </c>
      <c r="E643">
        <v>1.1408733937312209E-5</v>
      </c>
      <c r="F643">
        <v>1.1385607960680792E-5</v>
      </c>
      <c r="G643">
        <v>2.3125976631417359E-8</v>
      </c>
      <c r="H643" t="b">
        <v>0</v>
      </c>
    </row>
    <row r="644" spans="1:8" x14ac:dyDescent="0.15">
      <c r="A644">
        <v>27</v>
      </c>
      <c r="B644">
        <v>24</v>
      </c>
      <c r="C644">
        <v>1008027.46921875</v>
      </c>
      <c r="D644">
        <v>847536.97294741159</v>
      </c>
      <c r="E644">
        <v>1.1404611833920665E-5</v>
      </c>
      <c r="F644">
        <v>1.1385607960680792E-5</v>
      </c>
      <c r="G644">
        <v>1.9003873239873079E-8</v>
      </c>
      <c r="H644" t="b">
        <v>0</v>
      </c>
    </row>
    <row r="645" spans="1:8" x14ac:dyDescent="0.15">
      <c r="A645">
        <v>27</v>
      </c>
      <c r="B645">
        <v>25</v>
      </c>
      <c r="C645">
        <v>1008046.90921875</v>
      </c>
      <c r="D645">
        <v>939886.71257814346</v>
      </c>
      <c r="E645">
        <v>1.1406672723620049E-5</v>
      </c>
      <c r="F645">
        <v>1.1385607960680792E-5</v>
      </c>
      <c r="G645">
        <v>2.1064762939257439E-8</v>
      </c>
      <c r="H645" t="b">
        <v>0</v>
      </c>
    </row>
    <row r="646" spans="1:8" x14ac:dyDescent="0.15">
      <c r="A646">
        <v>27</v>
      </c>
      <c r="B646">
        <v>26</v>
      </c>
      <c r="C646">
        <v>1008070.2372187499</v>
      </c>
      <c r="D646">
        <v>1050838.692302428</v>
      </c>
      <c r="E646">
        <v>1.140914621893342E-5</v>
      </c>
      <c r="F646">
        <v>1.1385607960680792E-5</v>
      </c>
      <c r="G646">
        <v>2.3538258252628786E-8</v>
      </c>
      <c r="H646" t="b">
        <v>0</v>
      </c>
    </row>
    <row r="647" spans="1:8" x14ac:dyDescent="0.15">
      <c r="A647">
        <v>27</v>
      </c>
      <c r="B647">
        <v>27</v>
      </c>
      <c r="C647">
        <v>1008058.57321875</v>
      </c>
      <c r="D647">
        <v>995379.99794447701</v>
      </c>
      <c r="E647">
        <v>1.1407910200781493E-5</v>
      </c>
      <c r="F647">
        <v>1.1385607960680792E-5</v>
      </c>
      <c r="G647">
        <v>2.2302240100701478E-8</v>
      </c>
      <c r="H647" t="b">
        <v>0</v>
      </c>
    </row>
    <row r="648" spans="1:8" x14ac:dyDescent="0.15">
      <c r="A648">
        <v>27</v>
      </c>
      <c r="B648">
        <v>28</v>
      </c>
      <c r="C648">
        <v>1008064.40521875</v>
      </c>
      <c r="D648">
        <v>1023087.1641712623</v>
      </c>
      <c r="E648">
        <v>1.1408527801362564E-5</v>
      </c>
      <c r="F648">
        <v>1.1385607960680792E-5</v>
      </c>
      <c r="G648">
        <v>2.2919840681771947E-8</v>
      </c>
      <c r="H648" t="b">
        <v>0</v>
      </c>
    </row>
    <row r="649" spans="1:8" x14ac:dyDescent="0.15">
      <c r="A649">
        <v>27</v>
      </c>
      <c r="B649">
        <v>29</v>
      </c>
      <c r="C649">
        <v>1008061.48921875</v>
      </c>
      <c r="D649">
        <v>1009250.1288223262</v>
      </c>
      <c r="E649">
        <v>1.1408219391365118E-5</v>
      </c>
      <c r="F649">
        <v>1.1385607960680792E-5</v>
      </c>
      <c r="G649">
        <v>2.2611430684326138E-8</v>
      </c>
      <c r="H649" t="b">
        <v>0</v>
      </c>
    </row>
    <row r="650" spans="1:8" x14ac:dyDescent="0.15">
      <c r="A650">
        <v>28</v>
      </c>
      <c r="B650">
        <v>1</v>
      </c>
      <c r="C650">
        <v>6050000</v>
      </c>
      <c r="D650">
        <v>2.3172942357250068E+18</v>
      </c>
      <c r="E650">
        <v>536.87092200000006</v>
      </c>
      <c r="F650">
        <v>1.7797705027078337E-5</v>
      </c>
      <c r="G650">
        <v>536.87090420229504</v>
      </c>
      <c r="H650" t="b">
        <v>0</v>
      </c>
    </row>
    <row r="651" spans="1:8" x14ac:dyDescent="0.15">
      <c r="A651">
        <v>28</v>
      </c>
      <c r="B651">
        <v>2</v>
      </c>
      <c r="C651">
        <v>3075000</v>
      </c>
      <c r="D651">
        <v>2.3172942357250063E+18</v>
      </c>
      <c r="E651">
        <v>536.87092199999995</v>
      </c>
      <c r="F651">
        <v>1.7797705027078337E-5</v>
      </c>
      <c r="G651">
        <v>536.87090420229492</v>
      </c>
      <c r="H651" t="b">
        <v>0</v>
      </c>
    </row>
    <row r="652" spans="1:8" x14ac:dyDescent="0.15">
      <c r="A652">
        <v>28</v>
      </c>
      <c r="B652">
        <v>3</v>
      </c>
      <c r="C652">
        <v>1587500</v>
      </c>
      <c r="D652">
        <v>2.8921603136277306E+17</v>
      </c>
      <c r="E652">
        <v>85.727448206880823</v>
      </c>
      <c r="F652">
        <v>1.7797704998656627E-5</v>
      </c>
      <c r="G652">
        <v>85.727430409175824</v>
      </c>
      <c r="H652" t="b">
        <v>0</v>
      </c>
    </row>
    <row r="653" spans="1:8" x14ac:dyDescent="0.15">
      <c r="A653">
        <v>28</v>
      </c>
      <c r="B653">
        <v>4</v>
      </c>
      <c r="C653">
        <v>843750</v>
      </c>
      <c r="D653">
        <v>338887055020.78156</v>
      </c>
      <c r="E653">
        <v>9.7686746476821087E-4</v>
      </c>
      <c r="F653">
        <v>1.7797704991570065E-5</v>
      </c>
      <c r="G653">
        <v>9.590697597766408E-4</v>
      </c>
      <c r="H653" t="b">
        <v>0</v>
      </c>
    </row>
    <row r="654" spans="1:8" x14ac:dyDescent="0.15">
      <c r="A654">
        <v>28</v>
      </c>
      <c r="B654">
        <v>5</v>
      </c>
      <c r="C654">
        <v>471875</v>
      </c>
      <c r="D654">
        <v>-40164.790217586407</v>
      </c>
      <c r="E654">
        <v>-4.7634320432394065E-6</v>
      </c>
      <c r="F654">
        <v>1.7797704991570021E-5</v>
      </c>
      <c r="G654">
        <v>-2.2561137034809427E-5</v>
      </c>
      <c r="H654" t="b">
        <v>1</v>
      </c>
    </row>
    <row r="655" spans="1:8" x14ac:dyDescent="0.15">
      <c r="A655">
        <v>28</v>
      </c>
      <c r="B655">
        <v>6</v>
      </c>
      <c r="C655">
        <v>657812.5</v>
      </c>
      <c r="D655">
        <v>-2219724.7683060439</v>
      </c>
      <c r="E655">
        <v>7.0190904151375191E-6</v>
      </c>
      <c r="F655">
        <v>1.7797704991570021E-5</v>
      </c>
      <c r="G655">
        <v>-1.0778614576432501E-5</v>
      </c>
      <c r="H655" t="b">
        <v>1</v>
      </c>
    </row>
    <row r="656" spans="1:8" x14ac:dyDescent="0.15">
      <c r="A656">
        <v>28</v>
      </c>
      <c r="B656">
        <v>7</v>
      </c>
      <c r="C656">
        <v>750781.25</v>
      </c>
      <c r="D656">
        <v>9018479736.7896919</v>
      </c>
      <c r="E656">
        <v>7.9196289696981172E-5</v>
      </c>
      <c r="F656">
        <v>1.7797704991570024E-5</v>
      </c>
      <c r="G656">
        <v>6.1398584705411147E-5</v>
      </c>
      <c r="H656" t="b">
        <v>0</v>
      </c>
    </row>
    <row r="657" spans="1:8" x14ac:dyDescent="0.15">
      <c r="A657">
        <v>28</v>
      </c>
      <c r="B657">
        <v>8</v>
      </c>
      <c r="C657">
        <v>704296.875</v>
      </c>
      <c r="D657">
        <v>11786901.743966438</v>
      </c>
      <c r="E657">
        <v>1.8044095215106956E-5</v>
      </c>
      <c r="F657">
        <v>1.7797704991570021E-5</v>
      </c>
      <c r="G657">
        <v>2.4639022353693555E-7</v>
      </c>
      <c r="H657" t="b">
        <v>0</v>
      </c>
    </row>
    <row r="658" spans="1:8" x14ac:dyDescent="0.15">
      <c r="A658">
        <v>28</v>
      </c>
      <c r="B658">
        <v>9</v>
      </c>
      <c r="C658">
        <v>681054.6875</v>
      </c>
      <c r="D658">
        <v>-33107427.967694622</v>
      </c>
      <c r="E658">
        <v>1.0607221098739615E-5</v>
      </c>
      <c r="F658">
        <v>1.7797704991570021E-5</v>
      </c>
      <c r="G658">
        <v>-7.1904838928304061E-6</v>
      </c>
      <c r="H658" t="b">
        <v>1</v>
      </c>
    </row>
    <row r="659" spans="1:8" x14ac:dyDescent="0.15">
      <c r="A659">
        <v>28</v>
      </c>
      <c r="B659">
        <v>10</v>
      </c>
      <c r="C659">
        <v>692675.78125</v>
      </c>
      <c r="D659">
        <v>-84953722.671247944</v>
      </c>
      <c r="E659">
        <v>1.2943496785215446E-5</v>
      </c>
      <c r="F659">
        <v>1.7797704991570021E-5</v>
      </c>
      <c r="G659">
        <v>-4.8542082063545751E-6</v>
      </c>
      <c r="H659" t="b">
        <v>1</v>
      </c>
    </row>
    <row r="660" spans="1:8" x14ac:dyDescent="0.15">
      <c r="A660">
        <v>28</v>
      </c>
      <c r="B660">
        <v>11</v>
      </c>
      <c r="C660">
        <v>698486.328125</v>
      </c>
      <c r="D660">
        <v>-86341615.395236731</v>
      </c>
      <c r="E660">
        <v>1.4809208029242863E-5</v>
      </c>
      <c r="F660">
        <v>1.7797704991570021E-5</v>
      </c>
      <c r="G660">
        <v>-2.9884969623271581E-6</v>
      </c>
      <c r="H660" t="b">
        <v>1</v>
      </c>
    </row>
    <row r="661" spans="1:8" x14ac:dyDescent="0.15">
      <c r="A661">
        <v>28</v>
      </c>
      <c r="B661">
        <v>12</v>
      </c>
      <c r="C661">
        <v>701391.6015625</v>
      </c>
      <c r="D661">
        <v>-55053314.042686082</v>
      </c>
      <c r="E661">
        <v>1.6352953264477095E-5</v>
      </c>
      <c r="F661">
        <v>1.7797704991570021E-5</v>
      </c>
      <c r="G661">
        <v>-1.4447517270929255E-6</v>
      </c>
      <c r="H661" t="b">
        <v>1</v>
      </c>
    </row>
    <row r="662" spans="1:8" x14ac:dyDescent="0.15">
      <c r="A662">
        <v>28</v>
      </c>
      <c r="B662">
        <v>13</v>
      </c>
      <c r="C662">
        <v>702844.23828125</v>
      </c>
      <c r="D662">
        <v>-26535709.658032209</v>
      </c>
      <c r="E662">
        <v>1.7179323838836595E-5</v>
      </c>
      <c r="F662">
        <v>1.7797704991570021E-5</v>
      </c>
      <c r="G662">
        <v>-6.1838115273342561E-7</v>
      </c>
      <c r="H662" t="b">
        <v>1</v>
      </c>
    </row>
    <row r="663" spans="1:8" x14ac:dyDescent="0.15">
      <c r="A663">
        <v>28</v>
      </c>
      <c r="B663">
        <v>14</v>
      </c>
      <c r="C663">
        <v>703344.23828125</v>
      </c>
      <c r="D663">
        <v>-14499255.238706676</v>
      </c>
      <c r="E663">
        <v>1.7472566438951192E-5</v>
      </c>
      <c r="F663">
        <v>1.7797704991570021E-5</v>
      </c>
      <c r="G663">
        <v>-3.2513855261882845E-7</v>
      </c>
      <c r="H663" t="b">
        <v>1</v>
      </c>
    </row>
    <row r="664" spans="1:8" x14ac:dyDescent="0.15">
      <c r="A664">
        <v>28</v>
      </c>
      <c r="B664">
        <v>15</v>
      </c>
      <c r="C664">
        <v>703844.23828125</v>
      </c>
      <c r="D664">
        <v>-1262997.2774098557</v>
      </c>
      <c r="E664">
        <v>1.7770420902340966E-5</v>
      </c>
      <c r="F664">
        <v>1.7797704991570021E-5</v>
      </c>
      <c r="G664">
        <v>-2.728408922905457E-8</v>
      </c>
      <c r="H664" t="b">
        <v>1</v>
      </c>
    </row>
    <row r="665" spans="1:8" x14ac:dyDescent="0.15">
      <c r="A665">
        <v>28</v>
      </c>
      <c r="B665">
        <v>16</v>
      </c>
      <c r="C665">
        <v>704344.23828125</v>
      </c>
      <c r="D665">
        <v>13212301.923277222</v>
      </c>
      <c r="E665">
        <v>1.8072955835267075E-5</v>
      </c>
      <c r="F665">
        <v>1.7797704991570021E-5</v>
      </c>
      <c r="G665">
        <v>2.7525084369705414E-7</v>
      </c>
      <c r="H665" t="b">
        <v>0</v>
      </c>
    </row>
    <row r="666" spans="1:8" x14ac:dyDescent="0.15">
      <c r="A666">
        <v>28</v>
      </c>
      <c r="B666">
        <v>17</v>
      </c>
      <c r="C666">
        <v>704094.23828125</v>
      </c>
      <c r="D666">
        <v>5817303.7812524503</v>
      </c>
      <c r="E666">
        <v>1.7921099164977834E-5</v>
      </c>
      <c r="F666">
        <v>1.7797704991570021E-5</v>
      </c>
      <c r="G666">
        <v>1.2339417340781364E-7</v>
      </c>
      <c r="H666" t="b">
        <v>0</v>
      </c>
    </row>
    <row r="667" spans="1:8" x14ac:dyDescent="0.15">
      <c r="A667">
        <v>28</v>
      </c>
      <c r="B667">
        <v>18</v>
      </c>
      <c r="C667">
        <v>703794.23828125</v>
      </c>
      <c r="D667">
        <v>-2641729.6855115639</v>
      </c>
      <c r="E667">
        <v>1.7740425928619295E-5</v>
      </c>
      <c r="F667">
        <v>1.7797704991570021E-5</v>
      </c>
      <c r="G667">
        <v>-5.72790629507258E-8</v>
      </c>
      <c r="H667" t="b">
        <v>1</v>
      </c>
    </row>
    <row r="668" spans="1:8" x14ac:dyDescent="0.15">
      <c r="A668">
        <v>28</v>
      </c>
      <c r="B668">
        <v>19</v>
      </c>
      <c r="C668">
        <v>703944.23828125</v>
      </c>
      <c r="D668">
        <v>1531676.750546403</v>
      </c>
      <c r="E668">
        <v>1.7830551328069102E-5</v>
      </c>
      <c r="F668">
        <v>1.7797704991570021E-5</v>
      </c>
      <c r="G668">
        <v>3.2846336499081424E-8</v>
      </c>
      <c r="H668" t="b">
        <v>0</v>
      </c>
    </row>
    <row r="669" spans="1:8" x14ac:dyDescent="0.15">
      <c r="A669">
        <v>28</v>
      </c>
      <c r="B669">
        <v>20</v>
      </c>
      <c r="C669">
        <v>703869.23828125</v>
      </c>
      <c r="D669">
        <v>-569092.45927026693</v>
      </c>
      <c r="E669">
        <v>1.7785433665972239E-5</v>
      </c>
      <c r="F669">
        <v>1.7797704991570021E-5</v>
      </c>
      <c r="G669">
        <v>-1.227132559778157E-8</v>
      </c>
      <c r="H669" t="b">
        <v>1</v>
      </c>
    </row>
    <row r="670" spans="1:8" x14ac:dyDescent="0.15">
      <c r="A670">
        <v>28</v>
      </c>
      <c r="B670">
        <v>21</v>
      </c>
      <c r="C670">
        <v>703906.73828125</v>
      </c>
      <c r="D670">
        <v>477740.31240579957</v>
      </c>
      <c r="E670">
        <v>1.7807978171665768E-5</v>
      </c>
      <c r="F670">
        <v>1.7797704991570021E-5</v>
      </c>
      <c r="G670">
        <v>1.0273180095747168E-8</v>
      </c>
      <c r="H670" t="b">
        <v>0</v>
      </c>
    </row>
    <row r="671" spans="1:8" x14ac:dyDescent="0.15">
      <c r="A671">
        <v>28</v>
      </c>
      <c r="B671">
        <v>22</v>
      </c>
      <c r="C671">
        <v>703951.73828125</v>
      </c>
      <c r="D671">
        <v>1743177.2529590582</v>
      </c>
      <c r="E671">
        <v>1.7835066394797793E-5</v>
      </c>
      <c r="F671">
        <v>1.7797704991570021E-5</v>
      </c>
      <c r="G671">
        <v>3.7361403227771943E-8</v>
      </c>
      <c r="H671" t="b">
        <v>0</v>
      </c>
    </row>
    <row r="672" spans="1:8" x14ac:dyDescent="0.15">
      <c r="A672">
        <v>28</v>
      </c>
      <c r="B672">
        <v>23</v>
      </c>
      <c r="C672">
        <v>703929.23828125</v>
      </c>
      <c r="D672">
        <v>1109197.5071881269</v>
      </c>
      <c r="E672">
        <v>1.7821517532846816E-5</v>
      </c>
      <c r="F672">
        <v>1.7797704991570021E-5</v>
      </c>
      <c r="G672">
        <v>2.3812541276795285E-8</v>
      </c>
      <c r="H672" t="b">
        <v>0</v>
      </c>
    </row>
    <row r="673" spans="1:8" x14ac:dyDescent="0.15">
      <c r="A673">
        <v>28</v>
      </c>
      <c r="B673">
        <v>24</v>
      </c>
      <c r="C673">
        <v>703902.23828125</v>
      </c>
      <c r="D673">
        <v>351857.03667202569</v>
      </c>
      <c r="E673">
        <v>1.7805273712172603E-5</v>
      </c>
      <c r="F673">
        <v>1.7797704991570021E-5</v>
      </c>
      <c r="G673">
        <v>7.5687206025823852E-9</v>
      </c>
      <c r="H673" t="b">
        <v>0</v>
      </c>
    </row>
    <row r="674" spans="1:8" x14ac:dyDescent="0.15">
      <c r="A674">
        <v>28</v>
      </c>
      <c r="B674">
        <v>25</v>
      </c>
      <c r="C674">
        <v>703915.73828125</v>
      </c>
      <c r="D674">
        <v>730126.74939952488</v>
      </c>
      <c r="E674">
        <v>1.7813395050720242E-5</v>
      </c>
      <c r="F674">
        <v>1.7797704991570021E-5</v>
      </c>
      <c r="G674">
        <v>1.5690059150221458E-8</v>
      </c>
      <c r="H674" t="b">
        <v>0</v>
      </c>
    </row>
    <row r="675" spans="1:8" x14ac:dyDescent="0.15">
      <c r="A675">
        <v>28</v>
      </c>
      <c r="B675">
        <v>26</v>
      </c>
      <c r="C675">
        <v>703908.98828125</v>
      </c>
      <c r="D675">
        <v>540772.61985776818</v>
      </c>
      <c r="E675">
        <v>1.7809331680424759E-5</v>
      </c>
      <c r="F675">
        <v>1.7797704991570021E-5</v>
      </c>
      <c r="G675">
        <v>1.1626688854737832E-8</v>
      </c>
      <c r="H675" t="b">
        <v>0</v>
      </c>
    </row>
    <row r="676" spans="1:8" x14ac:dyDescent="0.15">
      <c r="A676">
        <v>28</v>
      </c>
      <c r="B676">
        <v>27</v>
      </c>
      <c r="C676">
        <v>703912.36328125</v>
      </c>
      <c r="D676">
        <v>635368.31896972749</v>
      </c>
      <c r="E676">
        <v>1.7811362121596827E-5</v>
      </c>
      <c r="F676">
        <v>1.7797704991570021E-5</v>
      </c>
      <c r="G676">
        <v>1.3657130026806577E-8</v>
      </c>
      <c r="H676" t="b">
        <v>0</v>
      </c>
    </row>
    <row r="677" spans="1:8" x14ac:dyDescent="0.15">
      <c r="A677">
        <v>28</v>
      </c>
      <c r="B677">
        <v>28</v>
      </c>
      <c r="C677">
        <v>703916.41328125005</v>
      </c>
      <c r="D677">
        <v>749064.04630455573</v>
      </c>
      <c r="E677">
        <v>1.7813801207385515E-5</v>
      </c>
      <c r="F677">
        <v>1.7797704991570021E-5</v>
      </c>
      <c r="G677">
        <v>1.6096215815494602E-8</v>
      </c>
      <c r="H677" t="b">
        <v>0</v>
      </c>
    </row>
    <row r="678" spans="1:8" x14ac:dyDescent="0.15">
      <c r="A678">
        <v>28</v>
      </c>
      <c r="B678">
        <v>29</v>
      </c>
      <c r="C678">
        <v>703914.38828125002</v>
      </c>
      <c r="D678">
        <v>692258.96073769429</v>
      </c>
      <c r="E678">
        <v>1.7812582763035878E-5</v>
      </c>
      <c r="F678">
        <v>1.7797704991570021E-5</v>
      </c>
      <c r="G678">
        <v>1.4877771465857532E-8</v>
      </c>
      <c r="H678" t="b">
        <v>0</v>
      </c>
    </row>
    <row r="679" spans="1:8" x14ac:dyDescent="0.15">
      <c r="A679">
        <v>28</v>
      </c>
      <c r="B679">
        <v>30</v>
      </c>
      <c r="C679">
        <v>703915.40078124998</v>
      </c>
      <c r="D679">
        <v>720552.92354913463</v>
      </c>
      <c r="E679">
        <v>1.7813189701337067E-5</v>
      </c>
      <c r="F679">
        <v>1.7797704991570021E-5</v>
      </c>
      <c r="G679">
        <v>1.5484709767046368E-8</v>
      </c>
      <c r="H679" t="b">
        <v>0</v>
      </c>
    </row>
    <row r="680" spans="1:8" x14ac:dyDescent="0.15">
      <c r="A680">
        <v>28</v>
      </c>
      <c r="B680">
        <v>31</v>
      </c>
      <c r="C680">
        <v>703914.89453125</v>
      </c>
      <c r="D680">
        <v>706458.31822865014</v>
      </c>
      <c r="E680">
        <v>1.7812887366910635E-5</v>
      </c>
      <c r="F680">
        <v>1.7797704991570021E-5</v>
      </c>
      <c r="G680">
        <v>1.5182375340614388E-8</v>
      </c>
      <c r="H680" t="b">
        <v>0</v>
      </c>
    </row>
    <row r="681" spans="1:8" x14ac:dyDescent="0.15">
      <c r="A681">
        <v>29</v>
      </c>
      <c r="B681">
        <v>1</v>
      </c>
      <c r="C681">
        <v>6050000</v>
      </c>
      <c r="D681">
        <v>3.8363515876312858E+18</v>
      </c>
      <c r="E681">
        <v>536.87092200000006</v>
      </c>
      <c r="F681">
        <v>1.1324400702505955E-5</v>
      </c>
      <c r="G681">
        <v>536.87091067559936</v>
      </c>
      <c r="H681" t="b">
        <v>0</v>
      </c>
    </row>
    <row r="682" spans="1:8" x14ac:dyDescent="0.15">
      <c r="A682">
        <v>29</v>
      </c>
      <c r="B682">
        <v>2</v>
      </c>
      <c r="C682">
        <v>3075000</v>
      </c>
      <c r="D682">
        <v>1177023247674193.8</v>
      </c>
      <c r="E682">
        <v>0.48292021764079385</v>
      </c>
      <c r="F682">
        <v>1.1324400695233994E-5</v>
      </c>
      <c r="G682">
        <v>0.48290889324009861</v>
      </c>
      <c r="H682" t="b">
        <v>0</v>
      </c>
    </row>
    <row r="683" spans="1:8" x14ac:dyDescent="0.15">
      <c r="A683">
        <v>29</v>
      </c>
      <c r="B683">
        <v>3</v>
      </c>
      <c r="C683">
        <v>1587500</v>
      </c>
      <c r="D683">
        <v>4486536969.335597</v>
      </c>
      <c r="E683">
        <v>3.7300579603859088E-5</v>
      </c>
      <c r="F683">
        <v>1.1324400695231636E-5</v>
      </c>
      <c r="G683">
        <v>2.5976178908627452E-5</v>
      </c>
      <c r="H683" t="b">
        <v>0</v>
      </c>
    </row>
    <row r="684" spans="1:8" x14ac:dyDescent="0.15">
      <c r="A684">
        <v>29</v>
      </c>
      <c r="B684">
        <v>4</v>
      </c>
      <c r="C684">
        <v>843750</v>
      </c>
      <c r="D684">
        <v>-40410.067217707765</v>
      </c>
      <c r="E684">
        <v>-5.0987961632337793E-6</v>
      </c>
      <c r="F684">
        <v>1.1324400695231637E-5</v>
      </c>
      <c r="G684">
        <v>-1.6423196858465417E-5</v>
      </c>
      <c r="H684" t="b">
        <v>1</v>
      </c>
    </row>
    <row r="685" spans="1:8" x14ac:dyDescent="0.15">
      <c r="A685">
        <v>29</v>
      </c>
      <c r="B685">
        <v>5</v>
      </c>
      <c r="C685">
        <v>1215625</v>
      </c>
      <c r="D685">
        <v>-484602.08035134804</v>
      </c>
      <c r="E685">
        <v>2.2427988260112449E-6</v>
      </c>
      <c r="F685">
        <v>1.1324400695231639E-5</v>
      </c>
      <c r="G685">
        <v>-9.0816018692203932E-6</v>
      </c>
      <c r="H685" t="b">
        <v>1</v>
      </c>
    </row>
    <row r="686" spans="1:8" x14ac:dyDescent="0.15">
      <c r="A686">
        <v>29</v>
      </c>
      <c r="B686">
        <v>6</v>
      </c>
      <c r="C686">
        <v>1401562.5</v>
      </c>
      <c r="D686">
        <v>-26708573.784179546</v>
      </c>
      <c r="E686">
        <v>7.4293625149432133E-6</v>
      </c>
      <c r="F686">
        <v>1.1324400695231637E-5</v>
      </c>
      <c r="G686">
        <v>-3.895038180288424E-6</v>
      </c>
      <c r="H686" t="b">
        <v>1</v>
      </c>
    </row>
    <row r="687" spans="1:8" x14ac:dyDescent="0.15">
      <c r="A687">
        <v>29</v>
      </c>
      <c r="B687">
        <v>7</v>
      </c>
      <c r="C687">
        <v>1494531.25</v>
      </c>
      <c r="D687">
        <v>103807043.15030771</v>
      </c>
      <c r="E687">
        <v>1.303289914768514E-5</v>
      </c>
      <c r="F687">
        <v>1.1324400695231637E-5</v>
      </c>
      <c r="G687">
        <v>1.7084984524535028E-6</v>
      </c>
      <c r="H687" t="b">
        <v>0</v>
      </c>
    </row>
    <row r="688" spans="1:8" x14ac:dyDescent="0.15">
      <c r="A688">
        <v>29</v>
      </c>
      <c r="B688">
        <v>8</v>
      </c>
      <c r="C688">
        <v>1448046.875</v>
      </c>
      <c r="D688">
        <v>-42044263.621371895</v>
      </c>
      <c r="E688">
        <v>9.8935450701840395E-6</v>
      </c>
      <c r="F688">
        <v>1.1324400695231637E-5</v>
      </c>
      <c r="G688">
        <v>-1.4308556250475977E-6</v>
      </c>
      <c r="H688" t="b">
        <v>1</v>
      </c>
    </row>
    <row r="689" spans="1:8" x14ac:dyDescent="0.15">
      <c r="A689">
        <v>29</v>
      </c>
      <c r="B689">
        <v>9</v>
      </c>
      <c r="C689">
        <v>1471289.0625</v>
      </c>
      <c r="D689">
        <v>2061169.4486445906</v>
      </c>
      <c r="E689">
        <v>1.1370947488026405E-5</v>
      </c>
      <c r="F689">
        <v>1.1324400695231637E-5</v>
      </c>
      <c r="G689">
        <v>4.6546792794767427E-8</v>
      </c>
      <c r="H689" t="b">
        <v>0</v>
      </c>
    </row>
    <row r="690" spans="1:8" x14ac:dyDescent="0.15">
      <c r="A690">
        <v>29</v>
      </c>
      <c r="B690">
        <v>10</v>
      </c>
      <c r="C690">
        <v>1459667.96875</v>
      </c>
      <c r="D690">
        <v>-26150581.734060083</v>
      </c>
      <c r="E690">
        <v>1.0610161623090674E-5</v>
      </c>
      <c r="F690">
        <v>1.1324400695231637E-5</v>
      </c>
      <c r="G690">
        <v>-7.1423907214096337E-7</v>
      </c>
      <c r="H690" t="b">
        <v>1</v>
      </c>
    </row>
    <row r="691" spans="1:8" x14ac:dyDescent="0.15">
      <c r="A691">
        <v>29</v>
      </c>
      <c r="B691">
        <v>11</v>
      </c>
      <c r="C691">
        <v>1465478.515625</v>
      </c>
      <c r="D691">
        <v>-13713896.168338809</v>
      </c>
      <c r="E691">
        <v>1.0984912280518954E-5</v>
      </c>
      <c r="F691">
        <v>1.1324400695231637E-5</v>
      </c>
      <c r="G691">
        <v>-3.3948841471268378E-7</v>
      </c>
      <c r="H691" t="b">
        <v>1</v>
      </c>
    </row>
    <row r="692" spans="1:8" x14ac:dyDescent="0.15">
      <c r="A692">
        <v>29</v>
      </c>
      <c r="B692">
        <v>12</v>
      </c>
      <c r="C692">
        <v>1468383.7890625</v>
      </c>
      <c r="D692">
        <v>-6259898.63216238</v>
      </c>
      <c r="E692">
        <v>1.1176504008510694E-5</v>
      </c>
      <c r="F692">
        <v>1.1324400695231637E-5</v>
      </c>
      <c r="G692">
        <v>-1.4789668672094356E-7</v>
      </c>
      <c r="H692" t="b">
        <v>1</v>
      </c>
    </row>
    <row r="693" spans="1:8" x14ac:dyDescent="0.15">
      <c r="A693">
        <v>29</v>
      </c>
      <c r="B693">
        <v>13</v>
      </c>
      <c r="C693">
        <v>1469836.42578125</v>
      </c>
      <c r="D693">
        <v>-2209758.5249731578</v>
      </c>
      <c r="E693">
        <v>1.1273367977485233E-5</v>
      </c>
      <c r="F693">
        <v>1.1324400695231637E-5</v>
      </c>
      <c r="G693">
        <v>-5.1032717746404596E-8</v>
      </c>
      <c r="H693" t="b">
        <v>1</v>
      </c>
    </row>
    <row r="694" spans="1:8" x14ac:dyDescent="0.15">
      <c r="A694">
        <v>29</v>
      </c>
      <c r="B694">
        <v>14</v>
      </c>
      <c r="C694">
        <v>1470336.42578125</v>
      </c>
      <c r="D694">
        <v>-764819.55576540541</v>
      </c>
      <c r="E694">
        <v>1.1306874131320819E-5</v>
      </c>
      <c r="F694">
        <v>1.1324400695231637E-5</v>
      </c>
      <c r="G694">
        <v>-1.7526563910818074E-8</v>
      </c>
      <c r="H694" t="b">
        <v>1</v>
      </c>
    </row>
    <row r="695" spans="1:8" x14ac:dyDescent="0.15">
      <c r="A695">
        <v>29</v>
      </c>
      <c r="B695">
        <v>15</v>
      </c>
      <c r="C695">
        <v>1470836.42578125</v>
      </c>
      <c r="D695">
        <v>706449.9112218091</v>
      </c>
      <c r="E695">
        <v>1.1340465363225482E-5</v>
      </c>
      <c r="F695">
        <v>1.1324400695231637E-5</v>
      </c>
      <c r="G695">
        <v>1.6064667993844498E-8</v>
      </c>
      <c r="H695" t="b">
        <v>0</v>
      </c>
    </row>
    <row r="696" spans="1:8" x14ac:dyDescent="0.15">
      <c r="A696">
        <v>29</v>
      </c>
      <c r="B696">
        <v>16</v>
      </c>
      <c r="C696">
        <v>1471436.42578125</v>
      </c>
      <c r="D696">
        <v>2506935.8641681927</v>
      </c>
      <c r="E696">
        <v>1.1380886737902422E-5</v>
      </c>
      <c r="F696">
        <v>1.1324400695231637E-5</v>
      </c>
      <c r="G696">
        <v>5.6486042670784225E-8</v>
      </c>
      <c r="H696" t="b">
        <v>0</v>
      </c>
    </row>
    <row r="697" spans="1:8" x14ac:dyDescent="0.15">
      <c r="A697">
        <v>29</v>
      </c>
      <c r="B697">
        <v>17</v>
      </c>
      <c r="C697">
        <v>1471136.42578125</v>
      </c>
      <c r="D697">
        <v>1601919.5154366298</v>
      </c>
      <c r="E697">
        <v>1.1360661005345955E-5</v>
      </c>
      <c r="F697">
        <v>1.1324400695231637E-5</v>
      </c>
      <c r="G697">
        <v>3.6260310114317467E-8</v>
      </c>
      <c r="H697" t="b">
        <v>0</v>
      </c>
    </row>
    <row r="698" spans="1:8" x14ac:dyDescent="0.15">
      <c r="A698">
        <v>29</v>
      </c>
      <c r="B698">
        <v>18</v>
      </c>
      <c r="C698">
        <v>1470776.42578125</v>
      </c>
      <c r="D698">
        <v>528474.25307335844</v>
      </c>
      <c r="E698">
        <v>1.1336429292619264E-5</v>
      </c>
      <c r="F698">
        <v>1.1324400695231637E-5</v>
      </c>
      <c r="G698">
        <v>1.2028597387627187E-8</v>
      </c>
      <c r="H698" t="b">
        <v>0</v>
      </c>
    </row>
    <row r="699" spans="1:8" x14ac:dyDescent="0.15">
      <c r="A699">
        <v>29</v>
      </c>
      <c r="B699">
        <v>19</v>
      </c>
      <c r="C699">
        <v>1470956.42578125</v>
      </c>
      <c r="D699">
        <v>1063463.3109097823</v>
      </c>
      <c r="E699">
        <v>1.1348539309741282E-5</v>
      </c>
      <c r="F699">
        <v>1.1324400695231637E-5</v>
      </c>
      <c r="G699">
        <v>2.4138614509644482E-8</v>
      </c>
      <c r="H699" t="b">
        <v>0</v>
      </c>
    </row>
    <row r="700" spans="1:8" x14ac:dyDescent="0.15">
      <c r="A700">
        <v>29</v>
      </c>
      <c r="B700">
        <v>20</v>
      </c>
      <c r="C700">
        <v>1471172.42578125</v>
      </c>
      <c r="D700">
        <v>1710018.5978189947</v>
      </c>
      <c r="E700">
        <v>1.1363086546035063E-5</v>
      </c>
      <c r="F700">
        <v>1.1324400695231637E-5</v>
      </c>
      <c r="G700">
        <v>3.8685850803425433E-8</v>
      </c>
      <c r="H700" t="b">
        <v>0</v>
      </c>
    </row>
    <row r="701" spans="1:8" x14ac:dyDescent="0.15">
      <c r="A701">
        <v>29</v>
      </c>
      <c r="B701">
        <v>21</v>
      </c>
      <c r="C701">
        <v>1471064.42578125</v>
      </c>
      <c r="D701">
        <v>1386107.0720436273</v>
      </c>
      <c r="E701">
        <v>1.1355810624228459E-5</v>
      </c>
      <c r="F701">
        <v>1.1324400695231637E-5</v>
      </c>
      <c r="G701">
        <v>3.1409928996821239E-8</v>
      </c>
      <c r="H701" t="b">
        <v>0</v>
      </c>
    </row>
    <row r="702" spans="1:8" x14ac:dyDescent="0.15">
      <c r="A702">
        <v>29</v>
      </c>
      <c r="B702">
        <v>22</v>
      </c>
      <c r="C702">
        <v>1471118.42578125</v>
      </c>
      <c r="D702">
        <v>1547921.6830104692</v>
      </c>
      <c r="E702">
        <v>1.1359448400886923E-5</v>
      </c>
      <c r="F702">
        <v>1.1324400695231637E-5</v>
      </c>
      <c r="G702">
        <v>3.5047705655285254E-8</v>
      </c>
      <c r="H702" t="b">
        <v>0</v>
      </c>
    </row>
    <row r="703" spans="1:8" x14ac:dyDescent="0.15">
      <c r="A703">
        <v>29</v>
      </c>
      <c r="B703">
        <v>23</v>
      </c>
      <c r="C703">
        <v>1471091.42578125</v>
      </c>
      <c r="D703">
        <v>1466989.5484203142</v>
      </c>
      <c r="E703">
        <v>1.1357629701534122E-5</v>
      </c>
      <c r="F703">
        <v>1.1324400695231637E-5</v>
      </c>
      <c r="G703">
        <v>3.3229006302485135E-8</v>
      </c>
      <c r="H703" t="b">
        <v>0</v>
      </c>
    </row>
    <row r="704" spans="1:8" x14ac:dyDescent="0.15">
      <c r="A704">
        <v>30</v>
      </c>
      <c r="B704">
        <v>1</v>
      </c>
      <c r="C704">
        <v>6050000</v>
      </c>
      <c r="D704">
        <v>6.15227481941568E+18</v>
      </c>
      <c r="E704">
        <v>536.87092200000006</v>
      </c>
      <c r="F704">
        <v>8.3666154750972055E-6</v>
      </c>
      <c r="G704">
        <v>536.87091363338459</v>
      </c>
      <c r="H704" t="b">
        <v>0</v>
      </c>
    </row>
    <row r="705" spans="1:8" x14ac:dyDescent="0.15">
      <c r="A705">
        <v>30</v>
      </c>
      <c r="B705">
        <v>2</v>
      </c>
      <c r="C705">
        <v>3075000</v>
      </c>
      <c r="D705">
        <v>1.8719714644750797E+17</v>
      </c>
      <c r="E705">
        <v>24.916178067366204</v>
      </c>
      <c r="F705">
        <v>8.3666154537809234E-6</v>
      </c>
      <c r="G705">
        <v>24.91616970075075</v>
      </c>
      <c r="H705" t="b">
        <v>0</v>
      </c>
    </row>
    <row r="706" spans="1:8" x14ac:dyDescent="0.15">
      <c r="A706">
        <v>30</v>
      </c>
      <c r="B706">
        <v>3</v>
      </c>
      <c r="C706">
        <v>1587500</v>
      </c>
      <c r="D706">
        <v>1600504364686.5444</v>
      </c>
      <c r="E706">
        <v>1.4964450616675076E-3</v>
      </c>
      <c r="F706">
        <v>8.3666154533925622E-6</v>
      </c>
      <c r="G706">
        <v>1.488078446214115E-3</v>
      </c>
      <c r="H706" t="b">
        <v>0</v>
      </c>
    </row>
    <row r="707" spans="1:8" x14ac:dyDescent="0.15">
      <c r="A707">
        <v>30</v>
      </c>
      <c r="B707">
        <v>4</v>
      </c>
      <c r="C707">
        <v>843750</v>
      </c>
      <c r="D707">
        <v>-150855.59704949622</v>
      </c>
      <c r="E707">
        <v>-4.9854560434633209E-7</v>
      </c>
      <c r="F707">
        <v>8.3666154533925182E-6</v>
      </c>
      <c r="G707">
        <v>-8.8651610577388507E-6</v>
      </c>
      <c r="H707" t="b">
        <v>1</v>
      </c>
    </row>
    <row r="708" spans="1:8" x14ac:dyDescent="0.15">
      <c r="A708">
        <v>30</v>
      </c>
      <c r="B708">
        <v>5</v>
      </c>
      <c r="C708">
        <v>1215625</v>
      </c>
      <c r="D708">
        <v>1197622966.1798005</v>
      </c>
      <c r="E708">
        <v>1.5309403742813726E-5</v>
      </c>
      <c r="F708">
        <v>8.3666154533925182E-6</v>
      </c>
      <c r="G708">
        <v>6.9427882894212083E-6</v>
      </c>
      <c r="H708" t="b">
        <v>0</v>
      </c>
    </row>
    <row r="709" spans="1:8" x14ac:dyDescent="0.15">
      <c r="A709">
        <v>30</v>
      </c>
      <c r="B709">
        <v>6</v>
      </c>
      <c r="C709">
        <v>1029687.5</v>
      </c>
      <c r="D709">
        <v>-1550339.9024122637</v>
      </c>
      <c r="E709">
        <v>2.9010976866293293E-6</v>
      </c>
      <c r="F709">
        <v>8.3666154533925182E-6</v>
      </c>
      <c r="G709">
        <v>-5.4655177667631893E-6</v>
      </c>
      <c r="H709" t="b">
        <v>1</v>
      </c>
    </row>
    <row r="710" spans="1:8" x14ac:dyDescent="0.15">
      <c r="A710">
        <v>30</v>
      </c>
      <c r="B710">
        <v>7</v>
      </c>
      <c r="C710">
        <v>1122656.25</v>
      </c>
      <c r="D710">
        <v>-37661285.364479832</v>
      </c>
      <c r="E710">
        <v>6.3413053197045426E-6</v>
      </c>
      <c r="F710">
        <v>8.3666154533925182E-6</v>
      </c>
      <c r="G710">
        <v>-2.0253101336879755E-6</v>
      </c>
      <c r="H710" t="b">
        <v>1</v>
      </c>
    </row>
    <row r="711" spans="1:8" x14ac:dyDescent="0.15">
      <c r="A711">
        <v>30</v>
      </c>
      <c r="B711">
        <v>8</v>
      </c>
      <c r="C711">
        <v>1169140.625</v>
      </c>
      <c r="D711">
        <v>59181510.345025197</v>
      </c>
      <c r="E711">
        <v>9.2163978967574393E-6</v>
      </c>
      <c r="F711">
        <v>8.3666154533925182E-6</v>
      </c>
      <c r="G711">
        <v>8.4978244336492111E-7</v>
      </c>
      <c r="H711" t="b">
        <v>0</v>
      </c>
    </row>
    <row r="712" spans="1:8" x14ac:dyDescent="0.15">
      <c r="A712">
        <v>30</v>
      </c>
      <c r="B712">
        <v>9</v>
      </c>
      <c r="C712">
        <v>1145898.4375</v>
      </c>
      <c r="D712">
        <v>-29204893.861031622</v>
      </c>
      <c r="E712">
        <v>7.6605965757206657E-6</v>
      </c>
      <c r="F712">
        <v>8.3666154533925182E-6</v>
      </c>
      <c r="G712">
        <v>-7.0601887767185242E-7</v>
      </c>
      <c r="H712" t="b">
        <v>1</v>
      </c>
    </row>
    <row r="713" spans="1:8" x14ac:dyDescent="0.15">
      <c r="A713">
        <v>30</v>
      </c>
      <c r="B713">
        <v>10</v>
      </c>
      <c r="C713">
        <v>1157519.53125</v>
      </c>
      <c r="D713">
        <v>2213664.4446870033</v>
      </c>
      <c r="E713">
        <v>8.4069274340648845E-6</v>
      </c>
      <c r="F713">
        <v>8.3666154533925182E-6</v>
      </c>
      <c r="G713">
        <v>4.0311980672366393E-8</v>
      </c>
      <c r="H713" t="b">
        <v>0</v>
      </c>
    </row>
    <row r="714" spans="1:8" x14ac:dyDescent="0.15">
      <c r="A714">
        <v>30</v>
      </c>
      <c r="B714">
        <v>11</v>
      </c>
      <c r="C714">
        <v>1151708.984375</v>
      </c>
      <c r="D714">
        <v>-16338117.905368363</v>
      </c>
      <c r="E714">
        <v>8.0261097731555863E-6</v>
      </c>
      <c r="F714">
        <v>8.3666154533925182E-6</v>
      </c>
      <c r="G714">
        <v>-3.4050568023693187E-7</v>
      </c>
      <c r="H714" t="b">
        <v>1</v>
      </c>
    </row>
    <row r="715" spans="1:8" x14ac:dyDescent="0.15">
      <c r="A715">
        <v>30</v>
      </c>
      <c r="B715">
        <v>12</v>
      </c>
      <c r="C715">
        <v>1154614.2578125</v>
      </c>
      <c r="D715">
        <v>-7816274.1403499367</v>
      </c>
      <c r="E715">
        <v>8.2145762363301631E-6</v>
      </c>
      <c r="F715">
        <v>8.3666154533925182E-6</v>
      </c>
      <c r="G715">
        <v>-1.5203921706235501E-7</v>
      </c>
      <c r="H715" t="b">
        <v>1</v>
      </c>
    </row>
    <row r="716" spans="1:8" x14ac:dyDescent="0.15">
      <c r="A716">
        <v>30</v>
      </c>
      <c r="B716">
        <v>13</v>
      </c>
      <c r="C716">
        <v>1156066.89453125</v>
      </c>
      <c r="D716">
        <v>-2995281.6813550135</v>
      </c>
      <c r="E716">
        <v>8.3102624285405209E-6</v>
      </c>
      <c r="F716">
        <v>8.3666154533925182E-6</v>
      </c>
      <c r="G716">
        <v>-5.6353024851997258E-8</v>
      </c>
      <c r="H716" t="b">
        <v>1</v>
      </c>
    </row>
    <row r="717" spans="1:8" x14ac:dyDescent="0.15">
      <c r="A717">
        <v>30</v>
      </c>
      <c r="B717">
        <v>14</v>
      </c>
      <c r="C717">
        <v>1156566.89453125</v>
      </c>
      <c r="D717">
        <v>-1246694.4681488161</v>
      </c>
      <c r="E717">
        <v>8.3434238204435209E-6</v>
      </c>
      <c r="F717">
        <v>8.3666154533925182E-6</v>
      </c>
      <c r="G717">
        <v>-2.3191632948997267E-8</v>
      </c>
      <c r="H717" t="b">
        <v>1</v>
      </c>
    </row>
    <row r="718" spans="1:8" x14ac:dyDescent="0.15">
      <c r="A718">
        <v>30</v>
      </c>
      <c r="B718">
        <v>15</v>
      </c>
      <c r="C718">
        <v>1157066.89453125</v>
      </c>
      <c r="D718">
        <v>548303.23527608474</v>
      </c>
      <c r="E718">
        <v>8.3767015026510655E-6</v>
      </c>
      <c r="F718">
        <v>8.3666154533925182E-6</v>
      </c>
      <c r="G718">
        <v>1.0086049258547299E-8</v>
      </c>
      <c r="H718" t="b">
        <v>0</v>
      </c>
    </row>
    <row r="719" spans="1:8" x14ac:dyDescent="0.15">
      <c r="A719">
        <v>30</v>
      </c>
      <c r="B719">
        <v>16</v>
      </c>
      <c r="C719">
        <v>1157666.89453125</v>
      </c>
      <c r="D719">
        <v>2764159.8734837444</v>
      </c>
      <c r="E719">
        <v>8.4167880650494445E-6</v>
      </c>
      <c r="F719">
        <v>8.3666154533925182E-6</v>
      </c>
      <c r="G719">
        <v>5.0172611656926382E-8</v>
      </c>
      <c r="H719" t="b">
        <v>0</v>
      </c>
    </row>
    <row r="720" spans="1:8" x14ac:dyDescent="0.15">
      <c r="A720">
        <v>30</v>
      </c>
      <c r="B720">
        <v>17</v>
      </c>
      <c r="C720">
        <v>1157366.89453125</v>
      </c>
      <c r="D720">
        <v>1647733.3754429538</v>
      </c>
      <c r="E720">
        <v>8.3967234834778902E-6</v>
      </c>
      <c r="F720">
        <v>8.3666154533925182E-6</v>
      </c>
      <c r="G720">
        <v>3.0108030085372077E-8</v>
      </c>
      <c r="H720" t="b">
        <v>0</v>
      </c>
    </row>
    <row r="721" spans="1:8" x14ac:dyDescent="0.15">
      <c r="A721">
        <v>30</v>
      </c>
      <c r="B721">
        <v>18</v>
      </c>
      <c r="C721">
        <v>1157006.89453125</v>
      </c>
      <c r="D721">
        <v>330438.27430067089</v>
      </c>
      <c r="E721">
        <v>8.3727020314399004E-6</v>
      </c>
      <c r="F721">
        <v>8.3666154533925182E-6</v>
      </c>
      <c r="G721">
        <v>6.086578047382227E-9</v>
      </c>
      <c r="H721" t="b">
        <v>0</v>
      </c>
    </row>
    <row r="722" spans="1:8" x14ac:dyDescent="0.15">
      <c r="A722">
        <v>30</v>
      </c>
      <c r="B722">
        <v>19</v>
      </c>
      <c r="C722">
        <v>1157186.89453125</v>
      </c>
      <c r="D722">
        <v>986058.1694401342</v>
      </c>
      <c r="E722">
        <v>8.3847054818504806E-6</v>
      </c>
      <c r="F722">
        <v>8.3666154533925182E-6</v>
      </c>
      <c r="G722">
        <v>1.8090028457962466E-8</v>
      </c>
      <c r="H722" t="b">
        <v>0</v>
      </c>
    </row>
    <row r="723" spans="1:8" x14ac:dyDescent="0.15">
      <c r="A723">
        <v>30</v>
      </c>
      <c r="B723">
        <v>20</v>
      </c>
      <c r="C723">
        <v>1157402.89453125</v>
      </c>
      <c r="D723">
        <v>1780806.8659144959</v>
      </c>
      <c r="E723">
        <v>8.3991290124940205E-6</v>
      </c>
      <c r="F723">
        <v>8.3666154533925182E-6</v>
      </c>
      <c r="G723">
        <v>3.2513559101502351E-8</v>
      </c>
      <c r="H723" t="b">
        <v>0</v>
      </c>
    </row>
    <row r="724" spans="1:8" x14ac:dyDescent="0.15">
      <c r="A724">
        <v>30</v>
      </c>
      <c r="B724">
        <v>21</v>
      </c>
      <c r="C724">
        <v>1157294.89453125</v>
      </c>
      <c r="D724">
        <v>1382319.136811839</v>
      </c>
      <c r="E724">
        <v>8.3919142412525051E-6</v>
      </c>
      <c r="F724">
        <v>8.3666154533925182E-6</v>
      </c>
      <c r="G724">
        <v>2.5298787859986981E-8</v>
      </c>
      <c r="H724" t="b">
        <v>0</v>
      </c>
    </row>
    <row r="725" spans="1:8" x14ac:dyDescent="0.15">
      <c r="A725">
        <v>30</v>
      </c>
      <c r="B725">
        <v>22</v>
      </c>
      <c r="C725">
        <v>1157165.2945312499</v>
      </c>
      <c r="D725">
        <v>907062.81885828706</v>
      </c>
      <c r="E725">
        <v>8.3832642698374205E-6</v>
      </c>
      <c r="F725">
        <v>8.3666154533925182E-6</v>
      </c>
      <c r="G725">
        <v>1.6648816444902388E-8</v>
      </c>
      <c r="H725" t="b">
        <v>0</v>
      </c>
    </row>
    <row r="726" spans="1:8" x14ac:dyDescent="0.15">
      <c r="A726">
        <v>30</v>
      </c>
      <c r="B726">
        <v>23</v>
      </c>
      <c r="C726">
        <v>1157230.09453125</v>
      </c>
      <c r="D726">
        <v>1144311.850313904</v>
      </c>
      <c r="E726">
        <v>8.3875885590123409E-6</v>
      </c>
      <c r="F726">
        <v>8.3666154533925182E-6</v>
      </c>
      <c r="G726">
        <v>2.0973105619822761E-8</v>
      </c>
      <c r="H726" t="b">
        <v>0</v>
      </c>
    </row>
    <row r="727" spans="1:8" x14ac:dyDescent="0.15">
      <c r="A727">
        <v>30</v>
      </c>
      <c r="B727">
        <v>24</v>
      </c>
      <c r="C727">
        <v>1157307.85453125</v>
      </c>
      <c r="D727">
        <v>1430052.8894752432</v>
      </c>
      <c r="E727">
        <v>8.3927802929907994E-6</v>
      </c>
      <c r="F727">
        <v>8.3666154533925182E-6</v>
      </c>
      <c r="G727">
        <v>2.6164839598281282E-8</v>
      </c>
      <c r="H727" t="b">
        <v>0</v>
      </c>
    </row>
    <row r="728" spans="1:8" x14ac:dyDescent="0.15">
      <c r="A728">
        <v>30</v>
      </c>
      <c r="B728">
        <v>25</v>
      </c>
      <c r="C728">
        <v>1157268.9745312501</v>
      </c>
      <c r="D728">
        <v>1287040.1578097318</v>
      </c>
      <c r="E728">
        <v>8.3901840731688771E-6</v>
      </c>
      <c r="F728">
        <v>8.3666154533925182E-6</v>
      </c>
      <c r="G728">
        <v>2.3568619776358912E-8</v>
      </c>
      <c r="H728" t="b">
        <v>0</v>
      </c>
    </row>
    <row r="729" spans="1:8" x14ac:dyDescent="0.15">
      <c r="A729">
        <v>30</v>
      </c>
      <c r="B729">
        <v>26</v>
      </c>
      <c r="C729">
        <v>1157222.3185312501</v>
      </c>
      <c r="D729">
        <v>1115769.1959014968</v>
      </c>
      <c r="E729">
        <v>8.3870689745170577E-6</v>
      </c>
      <c r="F729">
        <v>8.3666154533925182E-6</v>
      </c>
      <c r="G729">
        <v>2.0453521124539587E-8</v>
      </c>
      <c r="H729" t="b">
        <v>0</v>
      </c>
    </row>
    <row r="730" spans="1:8" x14ac:dyDescent="0.15">
      <c r="A730">
        <v>30</v>
      </c>
      <c r="B730">
        <v>27</v>
      </c>
      <c r="C730">
        <v>1157245.6465312501</v>
      </c>
      <c r="D730">
        <v>1201337.9117159285</v>
      </c>
      <c r="E730">
        <v>8.3886261135496937E-6</v>
      </c>
      <c r="F730">
        <v>8.3666154533925182E-6</v>
      </c>
      <c r="G730">
        <v>2.2010660157175522E-8</v>
      </c>
      <c r="H730" t="b">
        <v>0</v>
      </c>
    </row>
    <row r="731" spans="1:8" x14ac:dyDescent="0.15">
      <c r="A731">
        <v>30</v>
      </c>
      <c r="B731">
        <v>28</v>
      </c>
      <c r="C731">
        <v>1157233.98253125</v>
      </c>
      <c r="D731">
        <v>1158571.8879768015</v>
      </c>
      <c r="E731">
        <v>8.387848078677017E-6</v>
      </c>
      <c r="F731">
        <v>8.3666154533925182E-6</v>
      </c>
      <c r="G731">
        <v>2.1232625284498864E-8</v>
      </c>
      <c r="H731" t="b">
        <v>0</v>
      </c>
    </row>
    <row r="732" spans="1:8" x14ac:dyDescent="0.15">
      <c r="A732">
        <v>31</v>
      </c>
      <c r="B732">
        <v>1</v>
      </c>
      <c r="C732">
        <v>6050000</v>
      </c>
      <c r="D732">
        <v>3.5224417470647808E+18</v>
      </c>
      <c r="E732">
        <v>536.87092200000006</v>
      </c>
      <c r="F732">
        <v>1.3605242315861688E-5</v>
      </c>
      <c r="G732">
        <v>536.87090839475775</v>
      </c>
      <c r="H732" t="b">
        <v>0</v>
      </c>
    </row>
    <row r="733" spans="1:8" x14ac:dyDescent="0.15">
      <c r="A733">
        <v>31</v>
      </c>
      <c r="B733">
        <v>2</v>
      </c>
      <c r="C733">
        <v>3075000</v>
      </c>
      <c r="D733">
        <v>3.5224417470647808E+18</v>
      </c>
      <c r="E733">
        <v>536.87092200000006</v>
      </c>
      <c r="F733">
        <v>1.3605242315861688E-5</v>
      </c>
      <c r="G733">
        <v>536.87090839475775</v>
      </c>
      <c r="H733" t="b">
        <v>0</v>
      </c>
    </row>
    <row r="734" spans="1:8" x14ac:dyDescent="0.15">
      <c r="A734">
        <v>31</v>
      </c>
      <c r="B734">
        <v>3</v>
      </c>
      <c r="C734">
        <v>1587500</v>
      </c>
      <c r="D734">
        <v>1.4592058693386934E+18</v>
      </c>
      <c r="E734">
        <v>246.22729922298583</v>
      </c>
      <c r="F734">
        <v>1.3605242315861688E-5</v>
      </c>
      <c r="G734">
        <v>246.22728561774352</v>
      </c>
      <c r="H734" t="b">
        <v>0</v>
      </c>
    </row>
    <row r="735" spans="1:8" x14ac:dyDescent="0.15">
      <c r="A735">
        <v>31</v>
      </c>
      <c r="B735">
        <v>4</v>
      </c>
      <c r="C735">
        <v>843750</v>
      </c>
      <c r="D735">
        <v>2511977799130.23</v>
      </c>
      <c r="E735">
        <v>3.3024670668597052E-3</v>
      </c>
      <c r="F735">
        <v>1.3605242318012745E-5</v>
      </c>
      <c r="G735">
        <v>3.2888618245416924E-3</v>
      </c>
      <c r="H735" t="b">
        <v>0</v>
      </c>
    </row>
    <row r="736" spans="1:8" x14ac:dyDescent="0.15">
      <c r="A736">
        <v>31</v>
      </c>
      <c r="B736">
        <v>5</v>
      </c>
      <c r="C736">
        <v>471875</v>
      </c>
      <c r="D736">
        <v>-59807.206380024254</v>
      </c>
      <c r="E736">
        <v>-2.4854550752709903E-6</v>
      </c>
      <c r="F736">
        <v>1.3605242318012635E-5</v>
      </c>
      <c r="G736">
        <v>-1.6090697393283625E-5</v>
      </c>
      <c r="H736" t="b">
        <v>1</v>
      </c>
    </row>
    <row r="737" spans="1:8" x14ac:dyDescent="0.15">
      <c r="A737">
        <v>31</v>
      </c>
      <c r="B737">
        <v>6</v>
      </c>
      <c r="C737">
        <v>657812.5</v>
      </c>
      <c r="D737">
        <v>39182948.540223181</v>
      </c>
      <c r="E737">
        <v>1.4217183410599838E-5</v>
      </c>
      <c r="F737">
        <v>1.3605242318012635E-5</v>
      </c>
      <c r="G737">
        <v>6.1194109258720348E-7</v>
      </c>
      <c r="H737" t="b">
        <v>0</v>
      </c>
    </row>
    <row r="738" spans="1:8" x14ac:dyDescent="0.15">
      <c r="A738">
        <v>31</v>
      </c>
      <c r="B738">
        <v>7</v>
      </c>
      <c r="C738">
        <v>564843.75</v>
      </c>
      <c r="D738">
        <v>-279465.81089298689</v>
      </c>
      <c r="E738">
        <v>2.091617186176212E-6</v>
      </c>
      <c r="F738">
        <v>1.3605242318012635E-5</v>
      </c>
      <c r="G738">
        <v>-1.1513625131836422E-5</v>
      </c>
      <c r="H738" t="b">
        <v>1</v>
      </c>
    </row>
    <row r="739" spans="1:8" x14ac:dyDescent="0.15">
      <c r="A739">
        <v>31</v>
      </c>
      <c r="B739">
        <v>8</v>
      </c>
      <c r="C739">
        <v>611328.125</v>
      </c>
      <c r="D739">
        <v>-2397248.1194216544</v>
      </c>
      <c r="E739">
        <v>5.4204893275960443E-6</v>
      </c>
      <c r="F739">
        <v>1.3605242318012633E-5</v>
      </c>
      <c r="G739">
        <v>-8.1847529904165893E-6</v>
      </c>
      <c r="H739" t="b">
        <v>1</v>
      </c>
    </row>
    <row r="740" spans="1:8" x14ac:dyDescent="0.15">
      <c r="A740">
        <v>31</v>
      </c>
      <c r="B740">
        <v>9</v>
      </c>
      <c r="C740">
        <v>634570.3125</v>
      </c>
      <c r="D740">
        <v>-38651165.708059445</v>
      </c>
      <c r="E740">
        <v>8.5089863471528478E-6</v>
      </c>
      <c r="F740">
        <v>1.3605242318012635E-5</v>
      </c>
      <c r="G740">
        <v>-5.0962559708597867E-6</v>
      </c>
      <c r="H740" t="b">
        <v>1</v>
      </c>
    </row>
    <row r="741" spans="1:8" x14ac:dyDescent="0.15">
      <c r="A741">
        <v>31</v>
      </c>
      <c r="B741">
        <v>10</v>
      </c>
      <c r="C741">
        <v>646191.40625</v>
      </c>
      <c r="D741">
        <v>-82708974.283693224</v>
      </c>
      <c r="E741">
        <v>1.0572240729957659E-5</v>
      </c>
      <c r="F741">
        <v>1.3605242318012635E-5</v>
      </c>
      <c r="G741">
        <v>-3.0330015880549757E-6</v>
      </c>
      <c r="H741" t="b">
        <v>1</v>
      </c>
    </row>
    <row r="742" spans="1:8" x14ac:dyDescent="0.15">
      <c r="A742">
        <v>31</v>
      </c>
      <c r="B742">
        <v>11</v>
      </c>
      <c r="C742">
        <v>652001.953125</v>
      </c>
      <c r="D742">
        <v>-72869196.929483533</v>
      </c>
      <c r="E742">
        <v>1.1758657607779303E-5</v>
      </c>
      <c r="F742">
        <v>1.3605242318012635E-5</v>
      </c>
      <c r="G742">
        <v>-1.8465847102333314E-6</v>
      </c>
      <c r="H742" t="b">
        <v>1</v>
      </c>
    </row>
    <row r="743" spans="1:8" x14ac:dyDescent="0.15">
      <c r="A743">
        <v>31</v>
      </c>
      <c r="B743">
        <v>12</v>
      </c>
      <c r="C743">
        <v>654907.2265625</v>
      </c>
      <c r="D743">
        <v>-41476224.681910545</v>
      </c>
      <c r="E743">
        <v>1.2771488275242606E-5</v>
      </c>
      <c r="F743">
        <v>1.3605242318012635E-5</v>
      </c>
      <c r="G743">
        <v>-8.3375404277002866E-7</v>
      </c>
      <c r="H743" t="b">
        <v>1</v>
      </c>
    </row>
    <row r="744" spans="1:8" x14ac:dyDescent="0.15">
      <c r="A744">
        <v>31</v>
      </c>
      <c r="B744">
        <v>13</v>
      </c>
      <c r="C744">
        <v>656359.86328125</v>
      </c>
      <c r="D744">
        <v>-7313392.5711658206</v>
      </c>
      <c r="E744">
        <v>1.3476431710017797E-5</v>
      </c>
      <c r="F744">
        <v>1.3605242318012635E-5</v>
      </c>
      <c r="G744">
        <v>-1.2881060799483721E-7</v>
      </c>
      <c r="H744" t="b">
        <v>1</v>
      </c>
    </row>
    <row r="745" spans="1:8" x14ac:dyDescent="0.15">
      <c r="A745">
        <v>31</v>
      </c>
      <c r="B745">
        <v>14</v>
      </c>
      <c r="C745">
        <v>656859.86328125</v>
      </c>
      <c r="D745">
        <v>7230418.8373862719</v>
      </c>
      <c r="E745">
        <v>1.3727277560127415E-5</v>
      </c>
      <c r="F745">
        <v>1.3605242318012635E-5</v>
      </c>
      <c r="G745">
        <v>1.2203524211478016E-7</v>
      </c>
      <c r="H745" t="b">
        <v>0</v>
      </c>
    </row>
    <row r="746" spans="1:8" x14ac:dyDescent="0.15">
      <c r="A746">
        <v>31</v>
      </c>
      <c r="B746">
        <v>15</v>
      </c>
      <c r="C746">
        <v>656609.86328125</v>
      </c>
      <c r="D746">
        <v>-227456.90263001365</v>
      </c>
      <c r="E746">
        <v>1.3601321268780221E-5</v>
      </c>
      <c r="F746">
        <v>1.3605242318012635E-5</v>
      </c>
      <c r="G746">
        <v>-3.9210492324136563E-9</v>
      </c>
      <c r="H746" t="b">
        <v>1</v>
      </c>
    </row>
    <row r="747" spans="1:8" x14ac:dyDescent="0.15">
      <c r="A747">
        <v>31</v>
      </c>
      <c r="B747">
        <v>16</v>
      </c>
      <c r="C747">
        <v>656734.86328125</v>
      </c>
      <c r="D747">
        <v>3454542.4610780692</v>
      </c>
      <c r="E747">
        <v>1.3664165313529511E-5</v>
      </c>
      <c r="F747">
        <v>1.3605242318012635E-5</v>
      </c>
      <c r="G747">
        <v>5.8922995516876511E-8</v>
      </c>
      <c r="H747" t="b">
        <v>0</v>
      </c>
    </row>
    <row r="748" spans="1:8" x14ac:dyDescent="0.15">
      <c r="A748">
        <v>31</v>
      </c>
      <c r="B748">
        <v>17</v>
      </c>
      <c r="C748">
        <v>656672.36328125</v>
      </c>
      <c r="D748">
        <v>1601862.3856205503</v>
      </c>
      <c r="E748">
        <v>1.3632709831254132E-5</v>
      </c>
      <c r="F748">
        <v>1.3605242318012635E-5</v>
      </c>
      <c r="G748">
        <v>2.7467513241497086E-8</v>
      </c>
      <c r="H748" t="b">
        <v>0</v>
      </c>
    </row>
    <row r="749" spans="1:8" x14ac:dyDescent="0.15">
      <c r="A749">
        <v>31</v>
      </c>
      <c r="B749">
        <v>18</v>
      </c>
      <c r="C749">
        <v>656597.36328125</v>
      </c>
      <c r="D749">
        <v>-590639.75202917552</v>
      </c>
      <c r="E749">
        <v>1.3595049625883011E-5</v>
      </c>
      <c r="F749">
        <v>1.3605242318012635E-5</v>
      </c>
      <c r="G749">
        <v>-1.0192692129623661E-8</v>
      </c>
      <c r="H749" t="b">
        <v>1</v>
      </c>
    </row>
    <row r="750" spans="1:8" x14ac:dyDescent="0.15">
      <c r="A750">
        <v>31</v>
      </c>
      <c r="B750">
        <v>19</v>
      </c>
      <c r="C750">
        <v>656634.86328125</v>
      </c>
      <c r="D750">
        <v>501360.79875876894</v>
      </c>
      <c r="E750">
        <v>1.3613866719610737E-5</v>
      </c>
      <c r="F750">
        <v>1.3605242318012635E-5</v>
      </c>
      <c r="G750">
        <v>8.6244015981027858E-9</v>
      </c>
      <c r="H750" t="b">
        <v>0</v>
      </c>
    </row>
    <row r="751" spans="1:8" x14ac:dyDescent="0.15">
      <c r="A751">
        <v>31</v>
      </c>
      <c r="B751">
        <v>20</v>
      </c>
      <c r="C751">
        <v>656679.86328125</v>
      </c>
      <c r="D751">
        <v>1822948.4099469683</v>
      </c>
      <c r="E751">
        <v>1.3636480953186858E-5</v>
      </c>
      <c r="F751">
        <v>1.3605242318012635E-5</v>
      </c>
      <c r="G751">
        <v>3.1238635174223115E-8</v>
      </c>
      <c r="H751" t="b">
        <v>0</v>
      </c>
    </row>
    <row r="752" spans="1:8" x14ac:dyDescent="0.15">
      <c r="A752">
        <v>31</v>
      </c>
      <c r="B752">
        <v>21</v>
      </c>
      <c r="C752">
        <v>656657.36328125</v>
      </c>
      <c r="D752">
        <v>1160585.1518778864</v>
      </c>
      <c r="E752">
        <v>1.3625168524259302E-5</v>
      </c>
      <c r="F752">
        <v>1.3605242318012635E-5</v>
      </c>
      <c r="G752">
        <v>1.9926206246667001E-8</v>
      </c>
      <c r="H752" t="b">
        <v>0</v>
      </c>
    </row>
    <row r="753" spans="1:8" x14ac:dyDescent="0.15">
      <c r="A753">
        <v>31</v>
      </c>
      <c r="B753">
        <v>22</v>
      </c>
      <c r="C753">
        <v>656630.36328125</v>
      </c>
      <c r="D753">
        <v>369991.92834434938</v>
      </c>
      <c r="E753">
        <v>1.3611609350185933E-5</v>
      </c>
      <c r="F753">
        <v>1.3605242318012635E-5</v>
      </c>
      <c r="G753">
        <v>6.3670321732981801E-9</v>
      </c>
      <c r="H753" t="b">
        <v>0</v>
      </c>
    </row>
    <row r="754" spans="1:8" x14ac:dyDescent="0.15">
      <c r="A754">
        <v>31</v>
      </c>
      <c r="B754">
        <v>23</v>
      </c>
      <c r="C754">
        <v>656643.86328125</v>
      </c>
      <c r="D754">
        <v>764801.8231327614</v>
      </c>
      <c r="E754">
        <v>1.361838835442285E-5</v>
      </c>
      <c r="F754">
        <v>1.3605242318012635E-5</v>
      </c>
      <c r="G754">
        <v>1.3146036410215147E-8</v>
      </c>
      <c r="H754" t="b">
        <v>0</v>
      </c>
    </row>
    <row r="755" spans="1:8" x14ac:dyDescent="0.15">
      <c r="A755">
        <v>31</v>
      </c>
      <c r="B755">
        <v>24</v>
      </c>
      <c r="C755">
        <v>656637.11328125</v>
      </c>
      <c r="D755">
        <v>567147.28959166922</v>
      </c>
      <c r="E755">
        <v>1.3614996510155862E-5</v>
      </c>
      <c r="F755">
        <v>1.3605242318012635E-5</v>
      </c>
      <c r="G755">
        <v>9.7541921432275051E-9</v>
      </c>
      <c r="H755" t="b">
        <v>0</v>
      </c>
    </row>
    <row r="756" spans="1:8" x14ac:dyDescent="0.15">
      <c r="A756">
        <v>31</v>
      </c>
      <c r="B756">
        <v>25</v>
      </c>
      <c r="C756">
        <v>656640.48828125</v>
      </c>
      <c r="D756">
        <v>665997.42790010781</v>
      </c>
      <c r="E756">
        <v>1.3616693310967252E-5</v>
      </c>
      <c r="F756">
        <v>1.3605242318012635E-5</v>
      </c>
      <c r="G756">
        <v>1.1450992954617896E-8</v>
      </c>
      <c r="H756" t="b">
        <v>0</v>
      </c>
    </row>
    <row r="757" spans="1:8" x14ac:dyDescent="0.15">
      <c r="A757">
        <v>31</v>
      </c>
      <c r="B757">
        <v>26</v>
      </c>
      <c r="C757">
        <v>656638.80078125</v>
      </c>
      <c r="D757">
        <v>616620.71601799875</v>
      </c>
      <c r="E757">
        <v>1.3615845862345418E-5</v>
      </c>
      <c r="F757">
        <v>1.3605242318012635E-5</v>
      </c>
      <c r="G757">
        <v>1.0603544332783675E-8</v>
      </c>
      <c r="H757" t="b">
        <v>0</v>
      </c>
    </row>
    <row r="758" spans="1:8" x14ac:dyDescent="0.15">
      <c r="A758">
        <v>31</v>
      </c>
      <c r="B758">
        <v>27</v>
      </c>
      <c r="C758">
        <v>656639.64453125</v>
      </c>
      <c r="D758">
        <v>641193.18616683187</v>
      </c>
      <c r="E758">
        <v>1.3616267628072052E-5</v>
      </c>
      <c r="F758">
        <v>1.3605242318012635E-5</v>
      </c>
      <c r="G758">
        <v>1.1025310059417767E-8</v>
      </c>
      <c r="H758" t="b">
        <v>0</v>
      </c>
    </row>
    <row r="759" spans="1:8" x14ac:dyDescent="0.15">
      <c r="A759">
        <v>31</v>
      </c>
      <c r="B759">
        <v>28</v>
      </c>
      <c r="C759">
        <v>656640.65703124995</v>
      </c>
      <c r="D759">
        <v>670822.24734376138</v>
      </c>
      <c r="E759">
        <v>1.3616776105942269E-5</v>
      </c>
      <c r="F759">
        <v>1.3605242318012635E-5</v>
      </c>
      <c r="G759">
        <v>1.1533787929634407E-8</v>
      </c>
      <c r="H759" t="b">
        <v>0</v>
      </c>
    </row>
    <row r="760" spans="1:8" x14ac:dyDescent="0.15">
      <c r="A760">
        <v>31</v>
      </c>
      <c r="B760">
        <v>29</v>
      </c>
      <c r="C760">
        <v>656640.15078124998</v>
      </c>
      <c r="D760">
        <v>656120.72642478615</v>
      </c>
      <c r="E760">
        <v>1.3616523817344314E-5</v>
      </c>
      <c r="F760">
        <v>1.3605242318012635E-5</v>
      </c>
      <c r="G760">
        <v>1.128149933167959E-8</v>
      </c>
      <c r="H760" t="b">
        <v>0</v>
      </c>
    </row>
    <row r="761" spans="1:8" x14ac:dyDescent="0.15">
      <c r="A761">
        <v>32</v>
      </c>
      <c r="B761">
        <v>1</v>
      </c>
      <c r="C761">
        <v>6050000</v>
      </c>
      <c r="D761">
        <v>3.582001911110912E+18</v>
      </c>
      <c r="E761">
        <v>536.87092200000006</v>
      </c>
      <c r="F761">
        <v>1.3459715091812541E-5</v>
      </c>
      <c r="G761">
        <v>536.87090854028497</v>
      </c>
      <c r="H761" t="b">
        <v>0</v>
      </c>
    </row>
    <row r="762" spans="1:8" x14ac:dyDescent="0.15">
      <c r="A762">
        <v>32</v>
      </c>
      <c r="B762">
        <v>2</v>
      </c>
      <c r="C762">
        <v>3075000</v>
      </c>
      <c r="D762">
        <v>3.582001911110912E+18</v>
      </c>
      <c r="E762">
        <v>536.87092200000006</v>
      </c>
      <c r="F762">
        <v>1.3459715091812541E-5</v>
      </c>
      <c r="G762">
        <v>536.87090854028497</v>
      </c>
      <c r="H762" t="b">
        <v>0</v>
      </c>
    </row>
    <row r="763" spans="1:8" x14ac:dyDescent="0.15">
      <c r="A763">
        <v>32</v>
      </c>
      <c r="B763">
        <v>3</v>
      </c>
      <c r="C763">
        <v>1587500</v>
      </c>
      <c r="D763">
        <v>862745960135883.38</v>
      </c>
      <c r="E763">
        <v>0.39125595091194676</v>
      </c>
      <c r="F763">
        <v>1.3459715100139213E-5</v>
      </c>
      <c r="G763">
        <v>0.39124249119684662</v>
      </c>
      <c r="H763" t="b">
        <v>0</v>
      </c>
    </row>
    <row r="764" spans="1:8" x14ac:dyDescent="0.15">
      <c r="A764">
        <v>32</v>
      </c>
      <c r="B764">
        <v>4</v>
      </c>
      <c r="C764">
        <v>843750</v>
      </c>
      <c r="D764">
        <v>-1152413.5620834979</v>
      </c>
      <c r="E764">
        <v>4.453500966579701E-6</v>
      </c>
      <c r="F764">
        <v>1.3459715100159322E-5</v>
      </c>
      <c r="G764">
        <v>-9.0062141335796202E-6</v>
      </c>
      <c r="H764" t="b">
        <v>1</v>
      </c>
    </row>
    <row r="765" spans="1:8" x14ac:dyDescent="0.15">
      <c r="A765">
        <v>32</v>
      </c>
      <c r="B765">
        <v>5</v>
      </c>
      <c r="C765">
        <v>1215625</v>
      </c>
      <c r="D765">
        <v>3128900063299.4224</v>
      </c>
      <c r="E765">
        <v>3.8762294920917603E-3</v>
      </c>
      <c r="F765">
        <v>1.3459715100159163E-5</v>
      </c>
      <c r="G765">
        <v>3.8627697769916011E-3</v>
      </c>
      <c r="H765" t="b">
        <v>0</v>
      </c>
    </row>
    <row r="766" spans="1:8" x14ac:dyDescent="0.15">
      <c r="A766">
        <v>32</v>
      </c>
      <c r="B766">
        <v>6</v>
      </c>
      <c r="C766">
        <v>1029687.5</v>
      </c>
      <c r="D766">
        <v>39272519495.660812</v>
      </c>
      <c r="E766">
        <v>1.4517416208494467E-4</v>
      </c>
      <c r="F766">
        <v>1.3459715100159325E-5</v>
      </c>
      <c r="G766">
        <v>1.3171444698478535E-4</v>
      </c>
      <c r="H766" t="b">
        <v>0</v>
      </c>
    </row>
    <row r="767" spans="1:8" x14ac:dyDescent="0.15">
      <c r="A767">
        <v>32</v>
      </c>
      <c r="B767">
        <v>7</v>
      </c>
      <c r="C767">
        <v>936718.75</v>
      </c>
      <c r="D767">
        <v>497221349.13827693</v>
      </c>
      <c r="E767">
        <v>1.8251057456323829E-5</v>
      </c>
      <c r="F767">
        <v>1.3459715100159322E-5</v>
      </c>
      <c r="G767">
        <v>4.7913423561645074E-6</v>
      </c>
      <c r="H767" t="b">
        <v>0</v>
      </c>
    </row>
    <row r="768" spans="1:8" x14ac:dyDescent="0.15">
      <c r="A768">
        <v>32</v>
      </c>
      <c r="B768">
        <v>8</v>
      </c>
      <c r="C768">
        <v>890234.375</v>
      </c>
      <c r="D768">
        <v>-34381755.370043911</v>
      </c>
      <c r="E768">
        <v>8.2733791162197749E-6</v>
      </c>
      <c r="F768">
        <v>1.3459715100159322E-5</v>
      </c>
      <c r="G768">
        <v>-5.1863359839395471E-6</v>
      </c>
      <c r="H768" t="b">
        <v>1</v>
      </c>
    </row>
    <row r="769" spans="1:8" x14ac:dyDescent="0.15">
      <c r="A769">
        <v>32</v>
      </c>
      <c r="B769">
        <v>9</v>
      </c>
      <c r="C769">
        <v>913476.5625</v>
      </c>
      <c r="D769">
        <v>-80700661.918554246</v>
      </c>
      <c r="E769">
        <v>1.1094913651534246E-5</v>
      </c>
      <c r="F769">
        <v>1.3459715100159322E-5</v>
      </c>
      <c r="G769">
        <v>-2.3648014486250755E-6</v>
      </c>
      <c r="H769" t="b">
        <v>1</v>
      </c>
    </row>
    <row r="770" spans="1:8" x14ac:dyDescent="0.15">
      <c r="A770">
        <v>32</v>
      </c>
      <c r="B770">
        <v>10</v>
      </c>
      <c r="C770">
        <v>925097.65625</v>
      </c>
      <c r="D770">
        <v>15302978.719877552</v>
      </c>
      <c r="E770">
        <v>1.3710281627546686E-5</v>
      </c>
      <c r="F770">
        <v>1.3459715100159322E-5</v>
      </c>
      <c r="G770">
        <v>2.5056652738736426E-7</v>
      </c>
      <c r="H770" t="b">
        <v>0</v>
      </c>
    </row>
    <row r="771" spans="1:8" x14ac:dyDescent="0.15">
      <c r="A771">
        <v>32</v>
      </c>
      <c r="B771">
        <v>11</v>
      </c>
      <c r="C771">
        <v>919287.109375</v>
      </c>
      <c r="D771">
        <v>-65877258.912055708</v>
      </c>
      <c r="E771">
        <v>1.1918810480606214E-5</v>
      </c>
      <c r="F771">
        <v>1.3459715100159322E-5</v>
      </c>
      <c r="G771">
        <v>-1.5409046195531081E-6</v>
      </c>
      <c r="H771" t="b">
        <v>1</v>
      </c>
    </row>
    <row r="772" spans="1:8" x14ac:dyDescent="0.15">
      <c r="A772">
        <v>32</v>
      </c>
      <c r="B772">
        <v>12</v>
      </c>
      <c r="C772">
        <v>922192.3828125</v>
      </c>
      <c r="D772">
        <v>-36420077.941794537</v>
      </c>
      <c r="E772">
        <v>1.2750453117577442E-5</v>
      </c>
      <c r="F772">
        <v>1.3459715100159322E-5</v>
      </c>
      <c r="G772">
        <v>-7.0926198258187995E-7</v>
      </c>
      <c r="H772" t="b">
        <v>1</v>
      </c>
    </row>
    <row r="773" spans="1:8" x14ac:dyDescent="0.15">
      <c r="A773">
        <v>32</v>
      </c>
      <c r="B773">
        <v>13</v>
      </c>
      <c r="C773">
        <v>923645.01953125</v>
      </c>
      <c r="D773">
        <v>-13329840.34553227</v>
      </c>
      <c r="E773">
        <v>1.3222356319989776E-5</v>
      </c>
      <c r="F773">
        <v>1.3459715100159322E-5</v>
      </c>
      <c r="G773">
        <v>-2.3735878016954595E-7</v>
      </c>
      <c r="H773" t="b">
        <v>1</v>
      </c>
    </row>
    <row r="774" spans="1:8" x14ac:dyDescent="0.15">
      <c r="A774">
        <v>32</v>
      </c>
      <c r="B774">
        <v>14</v>
      </c>
      <c r="C774">
        <v>924145.01953125</v>
      </c>
      <c r="D774">
        <v>-4120940.484692072</v>
      </c>
      <c r="E774">
        <v>1.3388466623055319E-5</v>
      </c>
      <c r="F774">
        <v>1.3459715100159322E-5</v>
      </c>
      <c r="G774">
        <v>-7.1248477104002769E-8</v>
      </c>
      <c r="H774" t="b">
        <v>1</v>
      </c>
    </row>
    <row r="775" spans="1:8" x14ac:dyDescent="0.15">
      <c r="A775">
        <v>32</v>
      </c>
      <c r="B775">
        <v>15</v>
      </c>
      <c r="C775">
        <v>924645.01953125</v>
      </c>
      <c r="D775">
        <v>5761636.0245936615</v>
      </c>
      <c r="E775">
        <v>1.3556498540693096E-5</v>
      </c>
      <c r="F775">
        <v>1.3459715100159322E-5</v>
      </c>
      <c r="G775">
        <v>9.678344053377447E-8</v>
      </c>
      <c r="H775" t="b">
        <v>0</v>
      </c>
    </row>
    <row r="776" spans="1:8" x14ac:dyDescent="0.15">
      <c r="A776">
        <v>32</v>
      </c>
      <c r="B776">
        <v>16</v>
      </c>
      <c r="C776">
        <v>924395.01953125</v>
      </c>
      <c r="D776">
        <v>735048.6864295149</v>
      </c>
      <c r="E776">
        <v>1.347224072772573E-5</v>
      </c>
      <c r="F776">
        <v>1.3459715100159322E-5</v>
      </c>
      <c r="G776">
        <v>1.2525627566407742E-8</v>
      </c>
      <c r="H776" t="b">
        <v>0</v>
      </c>
    </row>
    <row r="777" spans="1:8" x14ac:dyDescent="0.15">
      <c r="A777">
        <v>32</v>
      </c>
      <c r="B777">
        <v>17</v>
      </c>
      <c r="C777">
        <v>924520.01953125</v>
      </c>
      <c r="D777">
        <v>3226847.9294740381</v>
      </c>
      <c r="E777">
        <v>1.3514308417494448E-5</v>
      </c>
      <c r="F777">
        <v>1.3459715100159322E-5</v>
      </c>
      <c r="G777">
        <v>5.4593317335125703E-8</v>
      </c>
      <c r="H777" t="b">
        <v>0</v>
      </c>
    </row>
    <row r="778" spans="1:8" x14ac:dyDescent="0.15">
      <c r="A778">
        <v>32</v>
      </c>
      <c r="B778">
        <v>18</v>
      </c>
      <c r="C778">
        <v>924457.51953125</v>
      </c>
      <c r="D778">
        <v>1975603.4436957829</v>
      </c>
      <c r="E778">
        <v>1.3493259486700137E-5</v>
      </c>
      <c r="F778">
        <v>1.3459715100159322E-5</v>
      </c>
      <c r="G778">
        <v>3.3544386540814916E-8</v>
      </c>
      <c r="H778" t="b">
        <v>0</v>
      </c>
    </row>
    <row r="779" spans="1:8" x14ac:dyDescent="0.15">
      <c r="A779">
        <v>32</v>
      </c>
      <c r="B779">
        <v>19</v>
      </c>
      <c r="C779">
        <v>924382.51953125</v>
      </c>
      <c r="D779">
        <v>488310.19175365771</v>
      </c>
      <c r="E779">
        <v>1.3468042170425006E-5</v>
      </c>
      <c r="F779">
        <v>1.3459715100159322E-5</v>
      </c>
      <c r="G779">
        <v>8.3270702656843064E-9</v>
      </c>
      <c r="H779" t="b">
        <v>0</v>
      </c>
    </row>
    <row r="780" spans="1:8" x14ac:dyDescent="0.15">
      <c r="A780">
        <v>32</v>
      </c>
      <c r="B780">
        <v>20</v>
      </c>
      <c r="C780">
        <v>924420.01953125</v>
      </c>
      <c r="D780">
        <v>1230083.0837364302</v>
      </c>
      <c r="E780">
        <v>1.3480646192137681E-5</v>
      </c>
      <c r="F780">
        <v>1.3459715100159322E-5</v>
      </c>
      <c r="G780">
        <v>2.093109197835895E-8</v>
      </c>
      <c r="H780" t="b">
        <v>0</v>
      </c>
    </row>
    <row r="781" spans="1:8" x14ac:dyDescent="0.15">
      <c r="A781">
        <v>32</v>
      </c>
      <c r="B781">
        <v>21</v>
      </c>
      <c r="C781">
        <v>924401.26953125</v>
      </c>
      <c r="D781">
        <v>858716.95291875792</v>
      </c>
      <c r="E781">
        <v>1.3474342825144414E-5</v>
      </c>
      <c r="F781">
        <v>1.3459715100159322E-5</v>
      </c>
      <c r="G781">
        <v>1.4627724985091716E-8</v>
      </c>
      <c r="H781" t="b">
        <v>0</v>
      </c>
    </row>
    <row r="782" spans="1:8" x14ac:dyDescent="0.15">
      <c r="A782">
        <v>32</v>
      </c>
      <c r="B782">
        <v>22</v>
      </c>
      <c r="C782">
        <v>924410.64453125</v>
      </c>
      <c r="D782">
        <v>1044280.0408074862</v>
      </c>
      <c r="E782">
        <v>1.3477494169540873E-5</v>
      </c>
      <c r="F782">
        <v>1.3459715100159322E-5</v>
      </c>
      <c r="G782">
        <v>1.7779069381550493E-8</v>
      </c>
      <c r="H782" t="b">
        <v>0</v>
      </c>
    </row>
    <row r="783" spans="1:8" x14ac:dyDescent="0.15">
      <c r="A783">
        <v>32</v>
      </c>
      <c r="B783">
        <v>23</v>
      </c>
      <c r="C783">
        <v>924405.95703125</v>
      </c>
      <c r="D783">
        <v>951468.50946290849</v>
      </c>
      <c r="E783">
        <v>1.3475918412574821E-5</v>
      </c>
      <c r="F783">
        <v>1.3459715100159322E-5</v>
      </c>
      <c r="G783">
        <v>1.6203312415498562E-8</v>
      </c>
      <c r="H783" t="b">
        <v>0</v>
      </c>
    </row>
    <row r="784" spans="1:8" x14ac:dyDescent="0.15">
      <c r="A784">
        <v>32</v>
      </c>
      <c r="B784">
        <v>24</v>
      </c>
      <c r="C784">
        <v>924400.33203125</v>
      </c>
      <c r="D784">
        <v>840080.97340915794</v>
      </c>
      <c r="E784">
        <v>1.3474026149908907E-5</v>
      </c>
      <c r="F784">
        <v>1.3459715100159322E-5</v>
      </c>
      <c r="G784">
        <v>1.4311049749584951E-8</v>
      </c>
      <c r="H784" t="b">
        <v>0</v>
      </c>
    </row>
    <row r="785" spans="1:8" x14ac:dyDescent="0.15">
      <c r="A785">
        <v>32</v>
      </c>
      <c r="B785">
        <v>25</v>
      </c>
      <c r="C785">
        <v>924403.14453125</v>
      </c>
      <c r="D785">
        <v>895717.4785615115</v>
      </c>
      <c r="E785">
        <v>1.3474971461563509E-5</v>
      </c>
      <c r="F785">
        <v>1.3459715100159322E-5</v>
      </c>
      <c r="G785">
        <v>1.5256361404187262E-8</v>
      </c>
      <c r="H785" t="b">
        <v>0</v>
      </c>
    </row>
    <row r="786" spans="1:8" x14ac:dyDescent="0.15">
      <c r="A786">
        <v>32</v>
      </c>
      <c r="B786">
        <v>26</v>
      </c>
      <c r="C786">
        <v>924406.51953125</v>
      </c>
      <c r="D786">
        <v>962509.78102288593</v>
      </c>
      <c r="E786">
        <v>1.3476105916108101E-5</v>
      </c>
      <c r="F786">
        <v>1.3459715100159322E-5</v>
      </c>
      <c r="G786">
        <v>1.6390815948779175E-8</v>
      </c>
      <c r="H786" t="b">
        <v>0</v>
      </c>
    </row>
    <row r="787" spans="1:8" x14ac:dyDescent="0.15">
      <c r="A787">
        <v>32</v>
      </c>
      <c r="B787">
        <v>27</v>
      </c>
      <c r="C787">
        <v>924404.83203125</v>
      </c>
      <c r="D787">
        <v>929202.66681346158</v>
      </c>
      <c r="E787">
        <v>1.347554025613206E-5</v>
      </c>
      <c r="F787">
        <v>1.3459715100159322E-5</v>
      </c>
      <c r="G787">
        <v>1.5825155972737511E-8</v>
      </c>
      <c r="H787" t="b">
        <v>0</v>
      </c>
    </row>
    <row r="788" spans="1:8" x14ac:dyDescent="0.15">
      <c r="A788">
        <v>33</v>
      </c>
      <c r="B788">
        <v>1</v>
      </c>
      <c r="C788">
        <v>6050000</v>
      </c>
      <c r="D788">
        <v>2.341350357985193E+18</v>
      </c>
      <c r="E788">
        <v>536.87092200000006</v>
      </c>
      <c r="F788">
        <v>1.7680171254141896E-5</v>
      </c>
      <c r="G788">
        <v>536.87090431982881</v>
      </c>
      <c r="H788" t="b">
        <v>0</v>
      </c>
    </row>
    <row r="789" spans="1:8" x14ac:dyDescent="0.15">
      <c r="A789">
        <v>33</v>
      </c>
      <c r="B789">
        <v>2</v>
      </c>
      <c r="C789">
        <v>3075000</v>
      </c>
      <c r="D789">
        <v>2.341350357985193E+18</v>
      </c>
      <c r="E789">
        <v>536.87092200000006</v>
      </c>
      <c r="F789">
        <v>1.7680171254141896E-5</v>
      </c>
      <c r="G789">
        <v>536.87090431982881</v>
      </c>
      <c r="H789" t="b">
        <v>0</v>
      </c>
    </row>
    <row r="790" spans="1:8" x14ac:dyDescent="0.15">
      <c r="A790">
        <v>33</v>
      </c>
      <c r="B790">
        <v>3</v>
      </c>
      <c r="C790">
        <v>1587500</v>
      </c>
      <c r="D790">
        <v>15828045004559.904</v>
      </c>
      <c r="E790">
        <v>2.029845205743893E-2</v>
      </c>
      <c r="F790">
        <v>1.7680171212761803E-5</v>
      </c>
      <c r="G790">
        <v>2.0280771886226168E-2</v>
      </c>
      <c r="H790" t="b">
        <v>0</v>
      </c>
    </row>
    <row r="791" spans="1:8" x14ac:dyDescent="0.15">
      <c r="A791">
        <v>33</v>
      </c>
      <c r="B791">
        <v>4</v>
      </c>
      <c r="C791">
        <v>843750</v>
      </c>
      <c r="D791">
        <v>-102684.38918700381</v>
      </c>
      <c r="E791">
        <v>-2.2276617235436893E-7</v>
      </c>
      <c r="F791">
        <v>1.7680171212762467E-5</v>
      </c>
      <c r="G791">
        <v>-1.7902937385116837E-5</v>
      </c>
      <c r="H791" t="b">
        <v>1</v>
      </c>
    </row>
    <row r="792" spans="1:8" x14ac:dyDescent="0.15">
      <c r="A792">
        <v>33</v>
      </c>
      <c r="B792">
        <v>5</v>
      </c>
      <c r="C792">
        <v>1215625</v>
      </c>
      <c r="D792">
        <v>23099172643.377563</v>
      </c>
      <c r="E792">
        <v>1.4079751704177757E-4</v>
      </c>
      <c r="F792">
        <v>1.7680171212762453E-5</v>
      </c>
      <c r="G792">
        <v>1.2311734582901512E-4</v>
      </c>
      <c r="H792" t="b">
        <v>0</v>
      </c>
    </row>
    <row r="793" spans="1:8" x14ac:dyDescent="0.15">
      <c r="A793">
        <v>33</v>
      </c>
      <c r="B793">
        <v>6</v>
      </c>
      <c r="C793">
        <v>1029687.5</v>
      </c>
      <c r="D793">
        <v>-2707467.7715374385</v>
      </c>
      <c r="E793">
        <v>7.2509007647703232E-6</v>
      </c>
      <c r="F793">
        <v>1.7680171212762467E-5</v>
      </c>
      <c r="G793">
        <v>-1.0429270447992144E-5</v>
      </c>
      <c r="H793" t="b">
        <v>1</v>
      </c>
    </row>
    <row r="794" spans="1:8" x14ac:dyDescent="0.15">
      <c r="A794">
        <v>33</v>
      </c>
      <c r="B794">
        <v>7</v>
      </c>
      <c r="C794">
        <v>1122656.25</v>
      </c>
      <c r="D794">
        <v>687445392.10235167</v>
      </c>
      <c r="E794">
        <v>2.6055171644796806E-5</v>
      </c>
      <c r="F794">
        <v>1.7680171212762467E-5</v>
      </c>
      <c r="G794">
        <v>8.3750004320343389E-6</v>
      </c>
      <c r="H794" t="b">
        <v>0</v>
      </c>
    </row>
    <row r="795" spans="1:8" x14ac:dyDescent="0.15">
      <c r="A795">
        <v>33</v>
      </c>
      <c r="B795">
        <v>8</v>
      </c>
      <c r="C795">
        <v>1076171.875</v>
      </c>
      <c r="D795">
        <v>-66741366.723674119</v>
      </c>
      <c r="E795">
        <v>1.1851395903274303E-5</v>
      </c>
      <c r="F795">
        <v>1.7680171212762467E-5</v>
      </c>
      <c r="G795">
        <v>-5.8287753094881638E-6</v>
      </c>
      <c r="H795" t="b">
        <v>1</v>
      </c>
    </row>
    <row r="796" spans="1:8" x14ac:dyDescent="0.15">
      <c r="A796">
        <v>33</v>
      </c>
      <c r="B796">
        <v>9</v>
      </c>
      <c r="C796">
        <v>1099414.0625</v>
      </c>
      <c r="D796">
        <v>-50009543.50414592</v>
      </c>
      <c r="E796">
        <v>1.6406658072389762E-5</v>
      </c>
      <c r="F796">
        <v>1.7680171212762467E-5</v>
      </c>
      <c r="G796">
        <v>-1.2735131403727051E-6</v>
      </c>
      <c r="H796" t="b">
        <v>1</v>
      </c>
    </row>
    <row r="797" spans="1:8" x14ac:dyDescent="0.15">
      <c r="A797">
        <v>33</v>
      </c>
      <c r="B797">
        <v>10</v>
      </c>
      <c r="C797">
        <v>1111035.15625</v>
      </c>
      <c r="D797">
        <v>193261474.37384883</v>
      </c>
      <c r="E797">
        <v>2.0721832823064405E-5</v>
      </c>
      <c r="F797">
        <v>1.7680171212762467E-5</v>
      </c>
      <c r="G797">
        <v>3.0416616103019379E-6</v>
      </c>
      <c r="H797" t="b">
        <v>0</v>
      </c>
    </row>
    <row r="798" spans="1:8" x14ac:dyDescent="0.15">
      <c r="A798">
        <v>33</v>
      </c>
      <c r="B798">
        <v>11</v>
      </c>
      <c r="C798">
        <v>1105224.609375</v>
      </c>
      <c r="D798">
        <v>39287810.243081897</v>
      </c>
      <c r="E798">
        <v>1.8449233107271386E-5</v>
      </c>
      <c r="F798">
        <v>1.7680171212762467E-5</v>
      </c>
      <c r="G798">
        <v>7.6906189450891944E-7</v>
      </c>
      <c r="H798" t="b">
        <v>0</v>
      </c>
    </row>
    <row r="799" spans="1:8" x14ac:dyDescent="0.15">
      <c r="A799">
        <v>33</v>
      </c>
      <c r="B799">
        <v>12</v>
      </c>
      <c r="C799">
        <v>1102319.3359375</v>
      </c>
      <c r="D799">
        <v>-12599787.58862805</v>
      </c>
      <c r="E799">
        <v>1.7400762236723066E-5</v>
      </c>
      <c r="F799">
        <v>1.7680171212762467E-5</v>
      </c>
      <c r="G799">
        <v>-2.7940897603940035E-7</v>
      </c>
      <c r="H799" t="b">
        <v>1</v>
      </c>
    </row>
    <row r="800" spans="1:8" x14ac:dyDescent="0.15">
      <c r="A800">
        <v>33</v>
      </c>
      <c r="B800">
        <v>13</v>
      </c>
      <c r="C800">
        <v>1103771.97265625</v>
      </c>
      <c r="D800">
        <v>11432964.795890294</v>
      </c>
      <c r="E800">
        <v>1.7918012483349139E-5</v>
      </c>
      <c r="F800">
        <v>1.7680171212762467E-5</v>
      </c>
      <c r="G800">
        <v>2.3784127058667246E-7</v>
      </c>
      <c r="H800" t="b">
        <v>0</v>
      </c>
    </row>
    <row r="801" spans="1:8" x14ac:dyDescent="0.15">
      <c r="A801">
        <v>33</v>
      </c>
      <c r="B801">
        <v>14</v>
      </c>
      <c r="C801">
        <v>1102571.97265625</v>
      </c>
      <c r="D801">
        <v>-8684140.394901732</v>
      </c>
      <c r="E801">
        <v>1.748976769452398E-5</v>
      </c>
      <c r="F801">
        <v>1.7680171212762467E-5</v>
      </c>
      <c r="G801">
        <v>-1.9040351823848653E-7</v>
      </c>
      <c r="H801" t="b">
        <v>1</v>
      </c>
    </row>
    <row r="802" spans="1:8" x14ac:dyDescent="0.15">
      <c r="A802">
        <v>33</v>
      </c>
      <c r="B802">
        <v>15</v>
      </c>
      <c r="C802">
        <v>1103171.97265625</v>
      </c>
      <c r="D802">
        <v>1056181.3596140714</v>
      </c>
      <c r="E802">
        <v>1.7702721836063078E-5</v>
      </c>
      <c r="F802">
        <v>1.7680171212762467E-5</v>
      </c>
      <c r="G802">
        <v>2.2550623300610865E-8</v>
      </c>
      <c r="H802" t="b">
        <v>0</v>
      </c>
    </row>
    <row r="803" spans="1:8" x14ac:dyDescent="0.15">
      <c r="A803">
        <v>33</v>
      </c>
      <c r="B803">
        <v>16</v>
      </c>
      <c r="C803">
        <v>1103891.97265625</v>
      </c>
      <c r="D803">
        <v>13586181.306773232</v>
      </c>
      <c r="E803">
        <v>1.796135784757539E-5</v>
      </c>
      <c r="F803">
        <v>1.7680171212762467E-5</v>
      </c>
      <c r="G803">
        <v>2.8118663481292331E-7</v>
      </c>
      <c r="H803" t="b">
        <v>0</v>
      </c>
    </row>
    <row r="804" spans="1:8" x14ac:dyDescent="0.15">
      <c r="A804">
        <v>33</v>
      </c>
      <c r="B804">
        <v>17</v>
      </c>
      <c r="C804">
        <v>1103531.97265625</v>
      </c>
      <c r="D804">
        <v>7204740.3805967048</v>
      </c>
      <c r="E804">
        <v>1.7831609567530538E-5</v>
      </c>
      <c r="F804">
        <v>1.7680171212762467E-5</v>
      </c>
      <c r="G804">
        <v>1.5143835476807163E-7</v>
      </c>
      <c r="H804" t="b">
        <v>0</v>
      </c>
    </row>
    <row r="805" spans="1:8" x14ac:dyDescent="0.15">
      <c r="A805">
        <v>33</v>
      </c>
      <c r="B805">
        <v>18</v>
      </c>
      <c r="C805">
        <v>1103099.97265625</v>
      </c>
      <c r="D805">
        <v>-145770.09523109524</v>
      </c>
      <c r="E805">
        <v>1.7677049025584333E-5</v>
      </c>
      <c r="F805">
        <v>1.7680171212762467E-5</v>
      </c>
      <c r="G805">
        <v>-3.122187178133712E-9</v>
      </c>
      <c r="H805" t="b">
        <v>1</v>
      </c>
    </row>
    <row r="806" spans="1:8" x14ac:dyDescent="0.15">
      <c r="A806">
        <v>33</v>
      </c>
      <c r="B806">
        <v>19</v>
      </c>
      <c r="C806">
        <v>1103315.97265625</v>
      </c>
      <c r="D806">
        <v>3487945.6118805059</v>
      </c>
      <c r="E806">
        <v>1.7754175803330853E-5</v>
      </c>
      <c r="F806">
        <v>1.7680171212762467E-5</v>
      </c>
      <c r="G806">
        <v>7.4004590568386611E-8</v>
      </c>
      <c r="H806" t="b">
        <v>0</v>
      </c>
    </row>
    <row r="807" spans="1:8" x14ac:dyDescent="0.15">
      <c r="A807">
        <v>33</v>
      </c>
      <c r="B807">
        <v>20</v>
      </c>
      <c r="C807">
        <v>1103207.97265625</v>
      </c>
      <c r="D807">
        <v>1660646.8084195715</v>
      </c>
      <c r="E807">
        <v>1.7715572032431781E-5</v>
      </c>
      <c r="F807">
        <v>1.7680171212762467E-5</v>
      </c>
      <c r="G807">
        <v>3.5400819669313807E-8</v>
      </c>
      <c r="H807" t="b">
        <v>0</v>
      </c>
    </row>
    <row r="808" spans="1:8" x14ac:dyDescent="0.15">
      <c r="A808">
        <v>33</v>
      </c>
      <c r="B808">
        <v>21</v>
      </c>
      <c r="C808">
        <v>1103078.3726562499</v>
      </c>
      <c r="D808">
        <v>-504594.4612144343</v>
      </c>
      <c r="E808">
        <v>1.7669353266932457E-5</v>
      </c>
      <c r="F808">
        <v>1.7680171212762467E-5</v>
      </c>
      <c r="G808">
        <v>-1.0817945830009435E-8</v>
      </c>
      <c r="H808" t="b">
        <v>1</v>
      </c>
    </row>
    <row r="809" spans="1:8" x14ac:dyDescent="0.15">
      <c r="A809">
        <v>33</v>
      </c>
      <c r="B809">
        <v>22</v>
      </c>
      <c r="C809">
        <v>1103143.17265625</v>
      </c>
      <c r="D809">
        <v>574347.77709799784</v>
      </c>
      <c r="E809">
        <v>1.769244963925437E-5</v>
      </c>
      <c r="F809">
        <v>1.7680171212762467E-5</v>
      </c>
      <c r="G809">
        <v>1.2278426491903541E-8</v>
      </c>
      <c r="H809" t="b">
        <v>0</v>
      </c>
    </row>
    <row r="810" spans="1:8" x14ac:dyDescent="0.15">
      <c r="A810">
        <v>33</v>
      </c>
      <c r="B810">
        <v>23</v>
      </c>
      <c r="C810">
        <v>1103220.93265625</v>
      </c>
      <c r="D810">
        <v>1878817.4099914746</v>
      </c>
      <c r="E810">
        <v>1.7720200198052048E-5</v>
      </c>
      <c r="F810">
        <v>1.7680171212762467E-5</v>
      </c>
      <c r="G810">
        <v>4.0028985289581128E-8</v>
      </c>
      <c r="H810" t="b">
        <v>0</v>
      </c>
    </row>
    <row r="811" spans="1:8" x14ac:dyDescent="0.15">
      <c r="A811">
        <v>33</v>
      </c>
      <c r="B811">
        <v>24</v>
      </c>
      <c r="C811">
        <v>1103182.0526562501</v>
      </c>
      <c r="D811">
        <v>1225199.958333367</v>
      </c>
      <c r="E811">
        <v>1.7706319028615906E-5</v>
      </c>
      <c r="F811">
        <v>1.7680171212762467E-5</v>
      </c>
      <c r="G811">
        <v>2.6147815853439025E-8</v>
      </c>
      <c r="H811" t="b">
        <v>0</v>
      </c>
    </row>
    <row r="812" spans="1:8" x14ac:dyDescent="0.15">
      <c r="A812">
        <v>33</v>
      </c>
      <c r="B812">
        <v>25</v>
      </c>
      <c r="C812">
        <v>1103135.3966562501</v>
      </c>
      <c r="D812">
        <v>444481.75081607123</v>
      </c>
      <c r="E812">
        <v>1.7689676597658809E-5</v>
      </c>
      <c r="F812">
        <v>1.7680171212762467E-5</v>
      </c>
      <c r="G812">
        <v>9.5053848963426739E-9</v>
      </c>
      <c r="H812" t="b">
        <v>0</v>
      </c>
    </row>
    <row r="813" spans="1:8" x14ac:dyDescent="0.15">
      <c r="A813">
        <v>33</v>
      </c>
      <c r="B813">
        <v>26</v>
      </c>
      <c r="C813">
        <v>1103158.7246562501</v>
      </c>
      <c r="D813">
        <v>834316.56014107401</v>
      </c>
      <c r="E813">
        <v>1.7697995117125953E-5</v>
      </c>
      <c r="F813">
        <v>1.7680171212762467E-5</v>
      </c>
      <c r="G813">
        <v>1.7823904363485936E-8</v>
      </c>
      <c r="H813" t="b">
        <v>0</v>
      </c>
    </row>
    <row r="814" spans="1:8" x14ac:dyDescent="0.15">
      <c r="A814">
        <v>33</v>
      </c>
      <c r="B814">
        <v>27</v>
      </c>
      <c r="C814">
        <v>1103186.71825625</v>
      </c>
      <c r="D814">
        <v>1303492.4248339187</v>
      </c>
      <c r="E814">
        <v>1.7707984241947924E-5</v>
      </c>
      <c r="F814">
        <v>1.7680171212762467E-5</v>
      </c>
      <c r="G814">
        <v>2.7813029185457558E-8</v>
      </c>
      <c r="H814" t="b">
        <v>0</v>
      </c>
    </row>
    <row r="815" spans="1:8" x14ac:dyDescent="0.15">
      <c r="A815">
        <v>33</v>
      </c>
      <c r="B815">
        <v>28</v>
      </c>
      <c r="C815">
        <v>1103172.7214562499</v>
      </c>
      <c r="D815">
        <v>1068815.4974246854</v>
      </c>
      <c r="E815">
        <v>1.7702990835601776E-5</v>
      </c>
      <c r="F815">
        <v>1.7680171212762467E-5</v>
      </c>
      <c r="G815">
        <v>2.2819622839309112E-8</v>
      </c>
      <c r="H815" t="b">
        <v>0</v>
      </c>
    </row>
    <row r="816" spans="1:8" x14ac:dyDescent="0.15">
      <c r="A816">
        <v>33</v>
      </c>
      <c r="B816">
        <v>29</v>
      </c>
      <c r="C816">
        <v>1103179.7198562499</v>
      </c>
      <c r="D816">
        <v>1186152.9318151444</v>
      </c>
      <c r="E816">
        <v>1.7705488278693297E-5</v>
      </c>
      <c r="F816">
        <v>1.7680171212762467E-5</v>
      </c>
      <c r="G816">
        <v>2.5317065930829876E-8</v>
      </c>
      <c r="H816" t="b">
        <v>0</v>
      </c>
    </row>
    <row r="817" spans="1:8" x14ac:dyDescent="0.15">
      <c r="A817">
        <v>33</v>
      </c>
      <c r="B817">
        <v>30</v>
      </c>
      <c r="C817">
        <v>1103176.2206562499</v>
      </c>
      <c r="D817">
        <v>1127388.662321497</v>
      </c>
      <c r="E817">
        <v>1.770423771402002E-5</v>
      </c>
      <c r="F817">
        <v>1.7680171212762467E-5</v>
      </c>
      <c r="G817">
        <v>2.4066501257552904E-8</v>
      </c>
      <c r="H817" t="b">
        <v>0</v>
      </c>
    </row>
    <row r="818" spans="1:8" x14ac:dyDescent="0.15">
      <c r="A818">
        <v>33</v>
      </c>
      <c r="B818">
        <v>31</v>
      </c>
      <c r="C818">
        <v>1103172.0216162498</v>
      </c>
      <c r="D818">
        <v>1057001.8717088997</v>
      </c>
      <c r="E818">
        <v>1.7702739306520379E-5</v>
      </c>
      <c r="F818">
        <v>1.7680171212762467E-5</v>
      </c>
      <c r="G818">
        <v>2.2568093757912151E-8</v>
      </c>
      <c r="H818" t="b">
        <v>0</v>
      </c>
    </row>
    <row r="819" spans="1:8" x14ac:dyDescent="0.15">
      <c r="A819">
        <v>33</v>
      </c>
      <c r="B819">
        <v>32</v>
      </c>
      <c r="C819">
        <v>1103174.1211362497</v>
      </c>
      <c r="D819">
        <v>1092191.3594441614</v>
      </c>
      <c r="E819">
        <v>1.7703488495722873E-5</v>
      </c>
      <c r="F819">
        <v>1.7680171212762467E-5</v>
      </c>
      <c r="G819">
        <v>2.3317282960405832E-8</v>
      </c>
      <c r="H819" t="b">
        <v>0</v>
      </c>
    </row>
    <row r="820" spans="1:8" x14ac:dyDescent="0.15">
      <c r="A820">
        <v>34</v>
      </c>
      <c r="B820">
        <v>1</v>
      </c>
      <c r="C820">
        <v>6050000</v>
      </c>
      <c r="D820">
        <v>1.347840175383402E+18</v>
      </c>
      <c r="E820">
        <v>536.87092200000018</v>
      </c>
      <c r="F820">
        <v>2.5199273295584135E-5</v>
      </c>
      <c r="G820">
        <v>536.87089680072688</v>
      </c>
      <c r="H820" t="b">
        <v>0</v>
      </c>
    </row>
    <row r="821" spans="1:8" x14ac:dyDescent="0.15">
      <c r="A821">
        <v>34</v>
      </c>
      <c r="B821">
        <v>2</v>
      </c>
      <c r="C821">
        <v>3075000</v>
      </c>
      <c r="D821">
        <v>1.3478401753834017E+18</v>
      </c>
      <c r="E821">
        <v>536.87092200000006</v>
      </c>
      <c r="F821">
        <v>2.5199273295584135E-5</v>
      </c>
      <c r="G821">
        <v>536.87089680072677</v>
      </c>
      <c r="H821" t="b">
        <v>0</v>
      </c>
    </row>
    <row r="822" spans="1:8" x14ac:dyDescent="0.15">
      <c r="A822">
        <v>34</v>
      </c>
      <c r="B822">
        <v>3</v>
      </c>
      <c r="C822">
        <v>1587500</v>
      </c>
      <c r="D822">
        <v>2708114190408.3516</v>
      </c>
      <c r="E822">
        <v>7.7099825905039649E-3</v>
      </c>
      <c r="F822">
        <v>2.519927332526959E-5</v>
      </c>
      <c r="G822">
        <v>7.6847833171786954E-3</v>
      </c>
      <c r="H822" t="b">
        <v>0</v>
      </c>
    </row>
    <row r="823" spans="1:8" x14ac:dyDescent="0.15">
      <c r="A823">
        <v>34</v>
      </c>
      <c r="B823">
        <v>4</v>
      </c>
      <c r="C823">
        <v>843750</v>
      </c>
      <c r="D823">
        <v>-63677.099868875492</v>
      </c>
      <c r="E823">
        <v>-2.1806233201746576E-6</v>
      </c>
      <c r="F823">
        <v>2.5199273325269434E-5</v>
      </c>
      <c r="G823">
        <v>-2.7379896645444091E-5</v>
      </c>
      <c r="H823" t="b">
        <v>1</v>
      </c>
    </row>
    <row r="824" spans="1:8" x14ac:dyDescent="0.15">
      <c r="A824">
        <v>34</v>
      </c>
      <c r="B824">
        <v>5</v>
      </c>
      <c r="C824">
        <v>1215625</v>
      </c>
      <c r="D824">
        <v>1272675909.9521098</v>
      </c>
      <c r="E824">
        <v>4.5916512604397581E-5</v>
      </c>
      <c r="F824">
        <v>2.5199273325269434E-5</v>
      </c>
      <c r="G824">
        <v>2.0717239279128146E-5</v>
      </c>
      <c r="H824" t="b">
        <v>0</v>
      </c>
    </row>
    <row r="825" spans="1:8" x14ac:dyDescent="0.15">
      <c r="A825">
        <v>34</v>
      </c>
      <c r="B825">
        <v>6</v>
      </c>
      <c r="C825">
        <v>1029687.5</v>
      </c>
      <c r="D825">
        <v>-251974.37949367234</v>
      </c>
      <c r="E825">
        <v>4.4326056419163992E-6</v>
      </c>
      <c r="F825">
        <v>2.5199273325269434E-5</v>
      </c>
      <c r="G825">
        <v>-2.0766667683353034E-5</v>
      </c>
      <c r="H825" t="b">
        <v>1</v>
      </c>
    </row>
    <row r="826" spans="1:8" x14ac:dyDescent="0.15">
      <c r="A826">
        <v>34</v>
      </c>
      <c r="B826">
        <v>7</v>
      </c>
      <c r="C826">
        <v>1122656.25</v>
      </c>
      <c r="D826">
        <v>-5346333.2193371058</v>
      </c>
      <c r="E826">
        <v>1.1561581478269126E-5</v>
      </c>
      <c r="F826">
        <v>2.5199273325269434E-5</v>
      </c>
      <c r="G826">
        <v>-1.3637691847000308E-5</v>
      </c>
      <c r="H826" t="b">
        <v>1</v>
      </c>
    </row>
    <row r="827" spans="1:8" x14ac:dyDescent="0.15">
      <c r="A827">
        <v>34</v>
      </c>
      <c r="B827">
        <v>8</v>
      </c>
      <c r="C827">
        <v>1169140.625</v>
      </c>
      <c r="D827">
        <v>-100658753.47649796</v>
      </c>
      <c r="E827">
        <v>1.9760231888344356E-5</v>
      </c>
      <c r="F827">
        <v>2.5199273325269434E-5</v>
      </c>
      <c r="G827">
        <v>-5.4390414369250785E-6</v>
      </c>
      <c r="H827" t="b">
        <v>1</v>
      </c>
    </row>
    <row r="828" spans="1:8" x14ac:dyDescent="0.15">
      <c r="A828">
        <v>34</v>
      </c>
      <c r="B828">
        <v>9</v>
      </c>
      <c r="C828">
        <v>1192382.8125</v>
      </c>
      <c r="D828">
        <v>239414136.71146822</v>
      </c>
      <c r="E828">
        <v>3.0351069487703607E-5</v>
      </c>
      <c r="F828">
        <v>2.5199273325269434E-5</v>
      </c>
      <c r="G828">
        <v>5.1517961624341728E-6</v>
      </c>
      <c r="H828" t="b">
        <v>0</v>
      </c>
    </row>
    <row r="829" spans="1:8" x14ac:dyDescent="0.15">
      <c r="A829">
        <v>34</v>
      </c>
      <c r="B829">
        <v>10</v>
      </c>
      <c r="C829">
        <v>1180761.71875</v>
      </c>
      <c r="D829">
        <v>-21550518.656646144</v>
      </c>
      <c r="E829">
        <v>2.4537115762840963E-5</v>
      </c>
      <c r="F829">
        <v>2.5199273325269434E-5</v>
      </c>
      <c r="G829">
        <v>-6.6215756242847182E-7</v>
      </c>
      <c r="H829" t="b">
        <v>1</v>
      </c>
    </row>
    <row r="830" spans="1:8" x14ac:dyDescent="0.15">
      <c r="A830">
        <v>34</v>
      </c>
      <c r="B830">
        <v>11</v>
      </c>
      <c r="C830">
        <v>1186572.265625</v>
      </c>
      <c r="D830">
        <v>84201962.978896335</v>
      </c>
      <c r="E830">
        <v>2.7302697638540453E-5</v>
      </c>
      <c r="F830">
        <v>2.5199273325269434E-5</v>
      </c>
      <c r="G830">
        <v>2.1034243132710188E-6</v>
      </c>
      <c r="H830" t="b">
        <v>0</v>
      </c>
    </row>
    <row r="831" spans="1:8" x14ac:dyDescent="0.15">
      <c r="A831">
        <v>34</v>
      </c>
      <c r="B831">
        <v>12</v>
      </c>
      <c r="C831">
        <v>1183666.9921875</v>
      </c>
      <c r="D831">
        <v>24899686.344052274</v>
      </c>
      <c r="E831">
        <v>2.5886098619130029E-5</v>
      </c>
      <c r="F831">
        <v>2.5199273325269434E-5</v>
      </c>
      <c r="G831">
        <v>6.8682529386059489E-7</v>
      </c>
      <c r="H831" t="b">
        <v>0</v>
      </c>
    </row>
    <row r="832" spans="1:8" x14ac:dyDescent="0.15">
      <c r="A832">
        <v>34</v>
      </c>
      <c r="B832">
        <v>13</v>
      </c>
      <c r="C832">
        <v>1182214.35546875</v>
      </c>
      <c r="D832">
        <v>139872.56347720773</v>
      </c>
      <c r="E832">
        <v>2.5203340492977372E-5</v>
      </c>
      <c r="F832">
        <v>2.5199273325269434E-5</v>
      </c>
      <c r="G832">
        <v>4.0671677079379641E-9</v>
      </c>
      <c r="H832" t="b">
        <v>0</v>
      </c>
    </row>
    <row r="833" spans="1:8" x14ac:dyDescent="0.15">
      <c r="A833">
        <v>34</v>
      </c>
      <c r="B833">
        <v>14</v>
      </c>
      <c r="C833">
        <v>1182714.35546875</v>
      </c>
      <c r="D833">
        <v>8308768.3375385618</v>
      </c>
      <c r="E833">
        <v>2.5436464833433126E-5</v>
      </c>
      <c r="F833">
        <v>2.5199273325269434E-5</v>
      </c>
      <c r="G833">
        <v>2.371915081636918E-7</v>
      </c>
      <c r="H833" t="b">
        <v>0</v>
      </c>
    </row>
    <row r="834" spans="1:8" x14ac:dyDescent="0.15">
      <c r="A834">
        <v>34</v>
      </c>
      <c r="B834">
        <v>15</v>
      </c>
      <c r="C834">
        <v>1182464.35546875</v>
      </c>
      <c r="D834">
        <v>4178554.6167922891</v>
      </c>
      <c r="E834">
        <v>2.5319658207020256E-5</v>
      </c>
      <c r="F834">
        <v>2.5199273325269434E-5</v>
      </c>
      <c r="G834">
        <v>1.2038488175082127E-7</v>
      </c>
      <c r="H834" t="b">
        <v>0</v>
      </c>
    </row>
    <row r="835" spans="1:8" x14ac:dyDescent="0.15">
      <c r="A835">
        <v>34</v>
      </c>
      <c r="B835">
        <v>16</v>
      </c>
      <c r="C835">
        <v>1182164.35546875</v>
      </c>
      <c r="D835">
        <v>-656835.77882135403</v>
      </c>
      <c r="E835">
        <v>2.5180138581433949E-5</v>
      </c>
      <c r="F835">
        <v>2.5199273325269434E-5</v>
      </c>
      <c r="G835">
        <v>-1.9134743835485228E-8</v>
      </c>
      <c r="H835" t="b">
        <v>1</v>
      </c>
    </row>
    <row r="836" spans="1:8" x14ac:dyDescent="0.15">
      <c r="A836">
        <v>34</v>
      </c>
      <c r="B836">
        <v>17</v>
      </c>
      <c r="C836">
        <v>1182314.35546875</v>
      </c>
      <c r="D836">
        <v>1744366.0689371836</v>
      </c>
      <c r="E836">
        <v>2.5249807837717173E-5</v>
      </c>
      <c r="F836">
        <v>2.5199273325269434E-5</v>
      </c>
      <c r="G836">
        <v>5.0534512447738677E-8</v>
      </c>
      <c r="H836" t="b">
        <v>0</v>
      </c>
    </row>
    <row r="837" spans="1:8" x14ac:dyDescent="0.15">
      <c r="A837">
        <v>34</v>
      </c>
      <c r="B837">
        <v>18</v>
      </c>
      <c r="C837">
        <v>1182239.35546875</v>
      </c>
      <c r="D837">
        <v>539632.53960343858</v>
      </c>
      <c r="E837">
        <v>2.5214950035856705E-5</v>
      </c>
      <c r="F837">
        <v>2.5199273325269434E-5</v>
      </c>
      <c r="G837">
        <v>1.567671058727094E-8</v>
      </c>
      <c r="H837" t="b">
        <v>0</v>
      </c>
    </row>
    <row r="838" spans="1:8" x14ac:dyDescent="0.15">
      <c r="A838">
        <v>34</v>
      </c>
      <c r="B838">
        <v>19</v>
      </c>
      <c r="C838">
        <v>1182276.85546875</v>
      </c>
      <c r="D838">
        <v>1140970.6482967599</v>
      </c>
      <c r="E838">
        <v>2.5232373307672252E-5</v>
      </c>
      <c r="F838">
        <v>2.5199273325269434E-5</v>
      </c>
      <c r="G838">
        <v>3.309998240281741E-8</v>
      </c>
      <c r="H838" t="b">
        <v>0</v>
      </c>
    </row>
    <row r="839" spans="1:8" x14ac:dyDescent="0.15">
      <c r="A839">
        <v>34</v>
      </c>
      <c r="B839">
        <v>20</v>
      </c>
      <c r="C839">
        <v>1182321.85546875</v>
      </c>
      <c r="D839">
        <v>1865373.8185401023</v>
      </c>
      <c r="E839">
        <v>2.5253298447568596E-5</v>
      </c>
      <c r="F839">
        <v>2.5199273325269434E-5</v>
      </c>
      <c r="G839">
        <v>5.402512229916198E-8</v>
      </c>
      <c r="H839" t="b">
        <v>0</v>
      </c>
    </row>
    <row r="840" spans="1:8" x14ac:dyDescent="0.15">
      <c r="A840">
        <v>34</v>
      </c>
      <c r="B840">
        <v>21</v>
      </c>
      <c r="C840">
        <v>1182299.35546875</v>
      </c>
      <c r="D840">
        <v>1502844.162115667</v>
      </c>
      <c r="E840">
        <v>2.5242835080465207E-5</v>
      </c>
      <c r="F840">
        <v>2.5199273325269434E-5</v>
      </c>
      <c r="G840">
        <v>4.3561755195772357E-8</v>
      </c>
      <c r="H840" t="b">
        <v>0</v>
      </c>
    </row>
    <row r="841" spans="1:8" x14ac:dyDescent="0.15">
      <c r="A841">
        <v>34</v>
      </c>
      <c r="B841">
        <v>22</v>
      </c>
      <c r="C841">
        <v>1182272.35546875</v>
      </c>
      <c r="D841">
        <v>1068783.1054525799</v>
      </c>
      <c r="E841">
        <v>2.5230284282755374E-5</v>
      </c>
      <c r="F841">
        <v>2.5199273325269434E-5</v>
      </c>
      <c r="G841">
        <v>3.1010957485939455E-8</v>
      </c>
      <c r="H841" t="b">
        <v>0</v>
      </c>
    </row>
    <row r="842" spans="1:8" x14ac:dyDescent="0.15">
      <c r="A842">
        <v>34</v>
      </c>
      <c r="B842">
        <v>23</v>
      </c>
      <c r="C842">
        <v>1182285.85546875</v>
      </c>
      <c r="D842">
        <v>1285598.5505716524</v>
      </c>
      <c r="E842">
        <v>2.5236556588772444E-5</v>
      </c>
      <c r="F842">
        <v>2.5199273325269434E-5</v>
      </c>
      <c r="G842">
        <v>3.728326350300925E-8</v>
      </c>
      <c r="H842" t="b">
        <v>0</v>
      </c>
    </row>
    <row r="843" spans="1:8" x14ac:dyDescent="0.15">
      <c r="A843">
        <v>34</v>
      </c>
      <c r="B843">
        <v>24</v>
      </c>
      <c r="C843">
        <v>1182279.10546875</v>
      </c>
      <c r="D843">
        <v>1177116.5556921253</v>
      </c>
      <c r="E843">
        <v>2.5233419068386038E-5</v>
      </c>
      <c r="F843">
        <v>2.5199273325269434E-5</v>
      </c>
      <c r="G843">
        <v>3.4145743116604078E-8</v>
      </c>
      <c r="H843" t="b">
        <v>0</v>
      </c>
    </row>
    <row r="844" spans="1:8" x14ac:dyDescent="0.15">
      <c r="A844">
        <v>35</v>
      </c>
      <c r="B844">
        <v>1</v>
      </c>
      <c r="C844">
        <v>6050000</v>
      </c>
      <c r="D844">
        <v>2.2767553324628488E+18</v>
      </c>
      <c r="E844">
        <v>536.87092200000006</v>
      </c>
      <c r="F844">
        <v>1.800037262000842E-5</v>
      </c>
      <c r="G844">
        <v>536.87090399962744</v>
      </c>
      <c r="H844" t="b">
        <v>0</v>
      </c>
    </row>
    <row r="845" spans="1:8" x14ac:dyDescent="0.15">
      <c r="A845">
        <v>35</v>
      </c>
      <c r="B845">
        <v>2</v>
      </c>
      <c r="C845">
        <v>3075000</v>
      </c>
      <c r="D845">
        <v>8.162039625640304E+16</v>
      </c>
      <c r="E845">
        <v>28.801190265611933</v>
      </c>
      <c r="F845">
        <v>1.8000372637771989E-5</v>
      </c>
      <c r="G845">
        <v>28.801172265239295</v>
      </c>
      <c r="H845" t="b">
        <v>0</v>
      </c>
    </row>
    <row r="846" spans="1:8" x14ac:dyDescent="0.15">
      <c r="A846">
        <v>35</v>
      </c>
      <c r="B846">
        <v>3</v>
      </c>
      <c r="C846">
        <v>1587500</v>
      </c>
      <c r="D846">
        <v>131980669196.93788</v>
      </c>
      <c r="E846">
        <v>4.8842926726753858E-4</v>
      </c>
      <c r="F846">
        <v>1.8000372639109352E-5</v>
      </c>
      <c r="G846">
        <v>4.7042889462842923E-4</v>
      </c>
      <c r="H846" t="b">
        <v>0</v>
      </c>
    </row>
    <row r="847" spans="1:8" x14ac:dyDescent="0.15">
      <c r="A847">
        <v>35</v>
      </c>
      <c r="B847">
        <v>4</v>
      </c>
      <c r="C847">
        <v>843750</v>
      </c>
      <c r="D847">
        <v>-33356.545243009459</v>
      </c>
      <c r="E847">
        <v>-5.9409474013047087E-6</v>
      </c>
      <c r="F847">
        <v>1.8000372639109338E-5</v>
      </c>
      <c r="G847">
        <v>-2.3941320040414048E-5</v>
      </c>
      <c r="H847" t="b">
        <v>1</v>
      </c>
    </row>
    <row r="848" spans="1:8" x14ac:dyDescent="0.15">
      <c r="A848">
        <v>35</v>
      </c>
      <c r="B848">
        <v>5</v>
      </c>
      <c r="C848">
        <v>1215625</v>
      </c>
      <c r="D848">
        <v>-689353.99636872357</v>
      </c>
      <c r="E848">
        <v>5.1431152584642249E-6</v>
      </c>
      <c r="F848">
        <v>1.8000372639109338E-5</v>
      </c>
      <c r="G848">
        <v>-1.2857257380645113E-5</v>
      </c>
      <c r="H848" t="b">
        <v>1</v>
      </c>
    </row>
    <row r="849" spans="1:8" x14ac:dyDescent="0.15">
      <c r="A849">
        <v>35</v>
      </c>
      <c r="B849">
        <v>6</v>
      </c>
      <c r="C849">
        <v>1401562.5</v>
      </c>
      <c r="D849">
        <v>2432773015.1630878</v>
      </c>
      <c r="E849">
        <v>4.1153362908413529E-5</v>
      </c>
      <c r="F849">
        <v>1.8000372639109338E-5</v>
      </c>
      <c r="G849">
        <v>2.3152990269304191E-5</v>
      </c>
      <c r="H849" t="b">
        <v>0</v>
      </c>
    </row>
    <row r="850" spans="1:8" x14ac:dyDescent="0.15">
      <c r="A850">
        <v>35</v>
      </c>
      <c r="B850">
        <v>7</v>
      </c>
      <c r="C850">
        <v>1308593.75</v>
      </c>
      <c r="D850">
        <v>-52507678.315274894</v>
      </c>
      <c r="E850">
        <v>1.1475578223261512E-5</v>
      </c>
      <c r="F850">
        <v>1.8000372639109338E-5</v>
      </c>
      <c r="G850">
        <v>-6.5247944158478261E-6</v>
      </c>
      <c r="H850" t="b">
        <v>1</v>
      </c>
    </row>
    <row r="851" spans="1:8" x14ac:dyDescent="0.15">
      <c r="A851">
        <v>35</v>
      </c>
      <c r="B851">
        <v>8</v>
      </c>
      <c r="C851">
        <v>1355078.125</v>
      </c>
      <c r="D851">
        <v>122781783.48679926</v>
      </c>
      <c r="E851">
        <v>2.0135106339065635E-5</v>
      </c>
      <c r="F851">
        <v>1.8000372639109338E-5</v>
      </c>
      <c r="G851">
        <v>2.1347336999562964E-6</v>
      </c>
      <c r="H851" t="b">
        <v>0</v>
      </c>
    </row>
    <row r="852" spans="1:8" x14ac:dyDescent="0.15">
      <c r="A852">
        <v>35</v>
      </c>
      <c r="B852">
        <v>9</v>
      </c>
      <c r="C852">
        <v>1331835.9375</v>
      </c>
      <c r="D852">
        <v>-91002728.938521281</v>
      </c>
      <c r="E852">
        <v>1.3849080882806301E-5</v>
      </c>
      <c r="F852">
        <v>1.8000372639109338E-5</v>
      </c>
      <c r="G852">
        <v>-4.1512917563030376E-6</v>
      </c>
      <c r="H852" t="b">
        <v>1</v>
      </c>
    </row>
    <row r="853" spans="1:8" x14ac:dyDescent="0.15">
      <c r="A853">
        <v>35</v>
      </c>
      <c r="B853">
        <v>10</v>
      </c>
      <c r="C853">
        <v>1343457.03125</v>
      </c>
      <c r="D853">
        <v>-49696279.217319794</v>
      </c>
      <c r="E853">
        <v>1.6719309612594606E-5</v>
      </c>
      <c r="F853">
        <v>1.8000372639109338E-5</v>
      </c>
      <c r="G853">
        <v>-1.2810630265147324E-6</v>
      </c>
      <c r="H853" t="b">
        <v>1</v>
      </c>
    </row>
    <row r="854" spans="1:8" x14ac:dyDescent="0.15">
      <c r="A854">
        <v>35</v>
      </c>
      <c r="B854">
        <v>11</v>
      </c>
      <c r="C854">
        <v>1349267.578125</v>
      </c>
      <c r="D854">
        <v>16989627.727073539</v>
      </c>
      <c r="E854">
        <v>1.8354647539673206E-5</v>
      </c>
      <c r="F854">
        <v>1.8000372639109338E-5</v>
      </c>
      <c r="G854">
        <v>3.5427490056386745E-7</v>
      </c>
      <c r="H854" t="b">
        <v>0</v>
      </c>
    </row>
    <row r="855" spans="1:8" x14ac:dyDescent="0.15">
      <c r="A855">
        <v>35</v>
      </c>
      <c r="B855">
        <v>12</v>
      </c>
      <c r="C855">
        <v>1346362.3046875</v>
      </c>
      <c r="D855">
        <v>-20831319.165594108</v>
      </c>
      <c r="E855">
        <v>1.7519530556168914E-5</v>
      </c>
      <c r="F855">
        <v>1.8000372639109338E-5</v>
      </c>
      <c r="G855">
        <v>-4.8084208294042478E-7</v>
      </c>
      <c r="H855" t="b">
        <v>1</v>
      </c>
    </row>
    <row r="856" spans="1:8" x14ac:dyDescent="0.15">
      <c r="A856">
        <v>35</v>
      </c>
      <c r="B856">
        <v>13</v>
      </c>
      <c r="C856">
        <v>1347814.94140625</v>
      </c>
      <c r="D856">
        <v>-3090270.3354890784</v>
      </c>
      <c r="E856">
        <v>1.7932643168611442E-5</v>
      </c>
      <c r="F856">
        <v>1.8000372639109338E-5</v>
      </c>
      <c r="G856">
        <v>-6.7729470497896734E-8</v>
      </c>
      <c r="H856" t="b">
        <v>1</v>
      </c>
    </row>
    <row r="857" spans="1:8" x14ac:dyDescent="0.15">
      <c r="A857">
        <v>35</v>
      </c>
      <c r="B857">
        <v>14</v>
      </c>
      <c r="C857">
        <v>1348314.94140625</v>
      </c>
      <c r="D857">
        <v>3552098.5092130518</v>
      </c>
      <c r="E857">
        <v>1.8076884241329196E-5</v>
      </c>
      <c r="F857">
        <v>1.8000372639109338E-5</v>
      </c>
      <c r="G857">
        <v>7.6511602219857966E-8</v>
      </c>
      <c r="H857" t="b">
        <v>0</v>
      </c>
    </row>
    <row r="858" spans="1:8" x14ac:dyDescent="0.15">
      <c r="A858">
        <v>35</v>
      </c>
      <c r="B858">
        <v>15</v>
      </c>
      <c r="C858">
        <v>1348064.94140625</v>
      </c>
      <c r="D858">
        <v>196058.59222187207</v>
      </c>
      <c r="E858">
        <v>1.8004632395370102E-5</v>
      </c>
      <c r="F858">
        <v>1.8000372639109338E-5</v>
      </c>
      <c r="G858">
        <v>4.2597562607635676E-9</v>
      </c>
      <c r="H858" t="b">
        <v>0</v>
      </c>
    </row>
    <row r="859" spans="1:8" x14ac:dyDescent="0.15">
      <c r="A859">
        <v>35</v>
      </c>
      <c r="B859">
        <v>16</v>
      </c>
      <c r="C859">
        <v>1348189.94140625</v>
      </c>
      <c r="D859">
        <v>1865361.0456578475</v>
      </c>
      <c r="E859">
        <v>1.8040726050581646E-5</v>
      </c>
      <c r="F859">
        <v>1.8000372639109338E-5</v>
      </c>
      <c r="G859">
        <v>4.0353411472307424E-8</v>
      </c>
      <c r="H859" t="b">
        <v>0</v>
      </c>
    </row>
    <row r="860" spans="1:8" x14ac:dyDescent="0.15">
      <c r="A860">
        <v>35</v>
      </c>
      <c r="B860">
        <v>17</v>
      </c>
      <c r="C860">
        <v>1348127.44140625</v>
      </c>
      <c r="D860">
        <v>1028524.1092309324</v>
      </c>
      <c r="E860">
        <v>1.8022670940892134E-5</v>
      </c>
      <c r="F860">
        <v>1.8000372639109338E-5</v>
      </c>
      <c r="G860">
        <v>2.2298301782795092E-8</v>
      </c>
      <c r="H860" t="b">
        <v>0</v>
      </c>
    </row>
    <row r="861" spans="1:8" x14ac:dyDescent="0.15">
      <c r="A861">
        <v>35</v>
      </c>
      <c r="B861">
        <v>18</v>
      </c>
      <c r="C861">
        <v>1348158.69140625</v>
      </c>
      <c r="D861">
        <v>1446317.43707839</v>
      </c>
      <c r="E861">
        <v>1.8031694737055486E-5</v>
      </c>
      <c r="F861">
        <v>1.8000372639109338E-5</v>
      </c>
      <c r="G861">
        <v>3.1322097946147689E-8</v>
      </c>
      <c r="H861" t="b">
        <v>0</v>
      </c>
    </row>
    <row r="862" spans="1:8" x14ac:dyDescent="0.15">
      <c r="A862">
        <v>35</v>
      </c>
      <c r="B862">
        <v>19</v>
      </c>
      <c r="C862">
        <v>1348143.06640625</v>
      </c>
      <c r="D862">
        <v>1237245.0654916035</v>
      </c>
      <c r="E862">
        <v>1.8027181477170729E-5</v>
      </c>
      <c r="F862">
        <v>1.8000372639109338E-5</v>
      </c>
      <c r="G862">
        <v>2.6808838061390811E-8</v>
      </c>
      <c r="H862" t="b">
        <v>0</v>
      </c>
    </row>
    <row r="863" spans="1:8" x14ac:dyDescent="0.15">
      <c r="A863">
        <v>35</v>
      </c>
      <c r="B863">
        <v>20</v>
      </c>
      <c r="C863">
        <v>1348150.87890625</v>
      </c>
      <c r="D863">
        <v>1341747.086244744</v>
      </c>
      <c r="E863">
        <v>1.8029437977891875E-5</v>
      </c>
      <c r="F863">
        <v>1.8000372639109338E-5</v>
      </c>
      <c r="G863">
        <v>2.9065338782537011E-8</v>
      </c>
      <c r="H863" t="b">
        <v>0</v>
      </c>
    </row>
    <row r="864" spans="1:8" x14ac:dyDescent="0.15">
      <c r="A864">
        <v>36</v>
      </c>
      <c r="B864">
        <v>1</v>
      </c>
      <c r="C864">
        <v>6050000</v>
      </c>
      <c r="D864">
        <v>1.3962147919208794E+18</v>
      </c>
      <c r="E864">
        <v>536.87092200000006</v>
      </c>
      <c r="F864">
        <v>2.4635328941258194E-5</v>
      </c>
      <c r="G864">
        <v>536.87089736467112</v>
      </c>
      <c r="H864" t="b">
        <v>0</v>
      </c>
    </row>
    <row r="865" spans="1:8" x14ac:dyDescent="0.15">
      <c r="A865">
        <v>36</v>
      </c>
      <c r="B865">
        <v>2</v>
      </c>
      <c r="C865">
        <v>3075000</v>
      </c>
      <c r="D865">
        <v>9.0374919423529696E+16</v>
      </c>
      <c r="E865">
        <v>48.318724945143366</v>
      </c>
      <c r="F865">
        <v>2.4635328919941912E-5</v>
      </c>
      <c r="G865">
        <v>48.318700309814446</v>
      </c>
      <c r="H865" t="b">
        <v>0</v>
      </c>
    </row>
    <row r="866" spans="1:8" x14ac:dyDescent="0.15">
      <c r="A866">
        <v>36</v>
      </c>
      <c r="B866">
        <v>3</v>
      </c>
      <c r="C866">
        <v>1587500</v>
      </c>
      <c r="D866">
        <v>134077369920.03954</v>
      </c>
      <c r="E866">
        <v>7.2672630481699643E-4</v>
      </c>
      <c r="F866">
        <v>2.4635328916945286E-5</v>
      </c>
      <c r="G866">
        <v>7.0209097590005114E-4</v>
      </c>
      <c r="H866" t="b">
        <v>0</v>
      </c>
    </row>
    <row r="867" spans="1:8" x14ac:dyDescent="0.15">
      <c r="A867">
        <v>36</v>
      </c>
      <c r="B867">
        <v>4</v>
      </c>
      <c r="C867">
        <v>843750</v>
      </c>
      <c r="D867">
        <v>-35090.443266523485</v>
      </c>
      <c r="E867">
        <v>-6.4221749748064179E-6</v>
      </c>
      <c r="F867">
        <v>2.4635328916945323E-5</v>
      </c>
      <c r="G867">
        <v>-3.105750389175174E-5</v>
      </c>
      <c r="H867" t="b">
        <v>1</v>
      </c>
    </row>
    <row r="868" spans="1:8" x14ac:dyDescent="0.15">
      <c r="A868">
        <v>36</v>
      </c>
      <c r="B868">
        <v>5</v>
      </c>
      <c r="C868">
        <v>1215625</v>
      </c>
      <c r="D868">
        <v>-607010.30815229437</v>
      </c>
      <c r="E868">
        <v>6.974358409924815E-6</v>
      </c>
      <c r="F868">
        <v>2.4635328916945323E-5</v>
      </c>
      <c r="G868">
        <v>-1.7660970507020509E-5</v>
      </c>
      <c r="H868" t="b">
        <v>1</v>
      </c>
    </row>
    <row r="869" spans="1:8" x14ac:dyDescent="0.15">
      <c r="A869">
        <v>36</v>
      </c>
      <c r="B869">
        <v>6</v>
      </c>
      <c r="C869">
        <v>1401562.5</v>
      </c>
      <c r="D869">
        <v>2931846788.7978096</v>
      </c>
      <c r="E869">
        <v>6.3222441232718465E-5</v>
      </c>
      <c r="F869">
        <v>2.4635328916945327E-5</v>
      </c>
      <c r="G869">
        <v>3.8587112315773139E-5</v>
      </c>
      <c r="H869" t="b">
        <v>0</v>
      </c>
    </row>
    <row r="870" spans="1:8" x14ac:dyDescent="0.15">
      <c r="A870">
        <v>36</v>
      </c>
      <c r="B870">
        <v>7</v>
      </c>
      <c r="C870">
        <v>1308593.75</v>
      </c>
      <c r="D870">
        <v>-58144944.301214248</v>
      </c>
      <c r="E870">
        <v>1.5473071751514644E-5</v>
      </c>
      <c r="F870">
        <v>2.4635328916945323E-5</v>
      </c>
      <c r="G870">
        <v>-9.1622571654306789E-6</v>
      </c>
      <c r="H870" t="b">
        <v>1</v>
      </c>
    </row>
    <row r="871" spans="1:8" x14ac:dyDescent="0.15">
      <c r="A871">
        <v>36</v>
      </c>
      <c r="B871">
        <v>8</v>
      </c>
      <c r="C871">
        <v>1355078.125</v>
      </c>
      <c r="D871">
        <v>327612950.59714437</v>
      </c>
      <c r="E871">
        <v>3.1232995591128319E-5</v>
      </c>
      <c r="F871">
        <v>2.4635328916945323E-5</v>
      </c>
      <c r="G871">
        <v>6.5976666741829959E-6</v>
      </c>
      <c r="H871" t="b">
        <v>0</v>
      </c>
    </row>
    <row r="872" spans="1:8" x14ac:dyDescent="0.15">
      <c r="A872">
        <v>36</v>
      </c>
      <c r="B872">
        <v>9</v>
      </c>
      <c r="C872">
        <v>1331835.9375</v>
      </c>
      <c r="D872">
        <v>-79281016.483046949</v>
      </c>
      <c r="E872">
        <v>2.1581941978013145E-5</v>
      </c>
      <c r="F872">
        <v>2.4635328916945323E-5</v>
      </c>
      <c r="G872">
        <v>-3.0533869389321785E-6</v>
      </c>
      <c r="H872" t="b">
        <v>1</v>
      </c>
    </row>
    <row r="873" spans="1:8" x14ac:dyDescent="0.15">
      <c r="A873">
        <v>36</v>
      </c>
      <c r="B873">
        <v>10</v>
      </c>
      <c r="C873">
        <v>1343457.03125</v>
      </c>
      <c r="D873">
        <v>53200456.461062729</v>
      </c>
      <c r="E873">
        <v>2.6001177498687434E-5</v>
      </c>
      <c r="F873">
        <v>2.4635328916945323E-5</v>
      </c>
      <c r="G873">
        <v>1.3658485817421106E-6</v>
      </c>
      <c r="H873" t="b">
        <v>0</v>
      </c>
    </row>
    <row r="874" spans="1:8" x14ac:dyDescent="0.15">
      <c r="A874">
        <v>36</v>
      </c>
      <c r="B874">
        <v>11</v>
      </c>
      <c r="C874">
        <v>1337646.484375</v>
      </c>
      <c r="D874">
        <v>-30322799.90843736</v>
      </c>
      <c r="E874">
        <v>2.369775229395982E-5</v>
      </c>
      <c r="F874">
        <v>2.4635328916945323E-5</v>
      </c>
      <c r="G874">
        <v>-9.3757662298550275E-7</v>
      </c>
      <c r="H874" t="b">
        <v>1</v>
      </c>
    </row>
    <row r="875" spans="1:8" x14ac:dyDescent="0.15">
      <c r="A875">
        <v>36</v>
      </c>
      <c r="B875">
        <v>12</v>
      </c>
      <c r="C875">
        <v>1340551.7578125</v>
      </c>
      <c r="D875">
        <v>6757568.6061696941</v>
      </c>
      <c r="E875">
        <v>2.4825050961936674E-5</v>
      </c>
      <c r="F875">
        <v>2.4635328916945323E-5</v>
      </c>
      <c r="G875">
        <v>1.897220449913504E-7</v>
      </c>
      <c r="H875" t="b">
        <v>0</v>
      </c>
    </row>
    <row r="876" spans="1:8" x14ac:dyDescent="0.15">
      <c r="A876">
        <v>36</v>
      </c>
      <c r="B876">
        <v>13</v>
      </c>
      <c r="C876">
        <v>1339099.12109375</v>
      </c>
      <c r="D876">
        <v>-12906784.235410064</v>
      </c>
      <c r="E876">
        <v>2.4255414521415711E-5</v>
      </c>
      <c r="F876">
        <v>2.4635328916945323E-5</v>
      </c>
      <c r="G876">
        <v>-3.7991439552961177E-7</v>
      </c>
      <c r="H876" t="b">
        <v>1</v>
      </c>
    </row>
    <row r="877" spans="1:8" x14ac:dyDescent="0.15">
      <c r="A877">
        <v>36</v>
      </c>
      <c r="B877">
        <v>14</v>
      </c>
      <c r="C877">
        <v>1339599.12109375</v>
      </c>
      <c r="D877">
        <v>-6396558.5367179541</v>
      </c>
      <c r="E877">
        <v>2.4450123480422791E-5</v>
      </c>
      <c r="F877">
        <v>2.4635328916945323E-5</v>
      </c>
      <c r="G877">
        <v>-1.8520543652253226E-7</v>
      </c>
      <c r="H877" t="b">
        <v>1</v>
      </c>
    </row>
    <row r="878" spans="1:8" x14ac:dyDescent="0.15">
      <c r="A878">
        <v>36</v>
      </c>
      <c r="B878">
        <v>15</v>
      </c>
      <c r="C878">
        <v>1340099.12109375</v>
      </c>
      <c r="D878">
        <v>383585.24632801727</v>
      </c>
      <c r="E878">
        <v>2.4646256008096948E-5</v>
      </c>
      <c r="F878">
        <v>2.4635328916945323E-5</v>
      </c>
      <c r="G878">
        <v>1.0927091151625133E-8</v>
      </c>
      <c r="H878" t="b">
        <v>0</v>
      </c>
    </row>
    <row r="879" spans="1:8" x14ac:dyDescent="0.15">
      <c r="A879">
        <v>36</v>
      </c>
      <c r="B879">
        <v>16</v>
      </c>
      <c r="C879">
        <v>1340699.12109375</v>
      </c>
      <c r="D879">
        <v>8881609.8257752638</v>
      </c>
      <c r="E879">
        <v>2.488351594795423E-5</v>
      </c>
      <c r="F879">
        <v>2.4635328916945323E-5</v>
      </c>
      <c r="G879">
        <v>2.4818703100890706E-7</v>
      </c>
      <c r="H879" t="b">
        <v>0</v>
      </c>
    </row>
    <row r="880" spans="1:8" x14ac:dyDescent="0.15">
      <c r="A880">
        <v>36</v>
      </c>
      <c r="B880">
        <v>17</v>
      </c>
      <c r="C880">
        <v>1340399.12109375</v>
      </c>
      <c r="D880">
        <v>4582985.6401015157</v>
      </c>
      <c r="E880">
        <v>2.4764628461471932E-5</v>
      </c>
      <c r="F880">
        <v>2.4635328916945323E-5</v>
      </c>
      <c r="G880">
        <v>1.2929954452660866E-7</v>
      </c>
      <c r="H880" t="b">
        <v>0</v>
      </c>
    </row>
    <row r="881" spans="1:8" x14ac:dyDescent="0.15">
      <c r="A881">
        <v>36</v>
      </c>
      <c r="B881">
        <v>18</v>
      </c>
      <c r="C881">
        <v>1340039.12109375</v>
      </c>
      <c r="D881">
        <v>-444346.13436177018</v>
      </c>
      <c r="E881">
        <v>2.4622646360236698E-5</v>
      </c>
      <c r="F881">
        <v>2.4635328916945323E-5</v>
      </c>
      <c r="G881">
        <v>-1.2682556708624944E-8</v>
      </c>
      <c r="H881" t="b">
        <v>1</v>
      </c>
    </row>
    <row r="882" spans="1:8" x14ac:dyDescent="0.15">
      <c r="A882">
        <v>36</v>
      </c>
      <c r="B882">
        <v>19</v>
      </c>
      <c r="C882">
        <v>1340219.12109375</v>
      </c>
      <c r="D882">
        <v>2051518.4652323262</v>
      </c>
      <c r="E882">
        <v>2.4693544117936558E-5</v>
      </c>
      <c r="F882">
        <v>2.4635328916945323E-5</v>
      </c>
      <c r="G882">
        <v>5.8215200991235019E-8</v>
      </c>
      <c r="H882" t="b">
        <v>0</v>
      </c>
    </row>
    <row r="883" spans="1:8" x14ac:dyDescent="0.15">
      <c r="A883">
        <v>36</v>
      </c>
      <c r="B883">
        <v>20</v>
      </c>
      <c r="C883">
        <v>1340129.12109375</v>
      </c>
      <c r="D883">
        <v>799146.81366537279</v>
      </c>
      <c r="E883">
        <v>2.4658071943487131E-5</v>
      </c>
      <c r="F883">
        <v>2.4635328916945323E-5</v>
      </c>
      <c r="G883">
        <v>2.2743026541807823E-8</v>
      </c>
      <c r="H883" t="b">
        <v>0</v>
      </c>
    </row>
    <row r="884" spans="1:8" x14ac:dyDescent="0.15">
      <c r="A884">
        <v>36</v>
      </c>
      <c r="B884">
        <v>21</v>
      </c>
      <c r="C884">
        <v>1340174.12109375</v>
      </c>
      <c r="D884">
        <v>1424221.4313922715</v>
      </c>
      <c r="E884">
        <v>2.4675802203359496E-5</v>
      </c>
      <c r="F884">
        <v>2.4635328916945323E-5</v>
      </c>
      <c r="G884">
        <v>4.0473286414172588E-8</v>
      </c>
      <c r="H884" t="b">
        <v>0</v>
      </c>
    </row>
    <row r="885" spans="1:8" x14ac:dyDescent="0.15">
      <c r="A885">
        <v>36</v>
      </c>
      <c r="B885">
        <v>22</v>
      </c>
      <c r="C885">
        <v>1340151.62109375</v>
      </c>
      <c r="D885">
        <v>1111327.6755921766</v>
      </c>
      <c r="E885">
        <v>2.4666933381390594E-5</v>
      </c>
      <c r="F885">
        <v>2.4635328916945323E-5</v>
      </c>
      <c r="G885">
        <v>3.1604464445270753E-8</v>
      </c>
      <c r="H885" t="b">
        <v>0</v>
      </c>
    </row>
    <row r="886" spans="1:8" x14ac:dyDescent="0.15">
      <c r="A886">
        <v>36</v>
      </c>
      <c r="B886">
        <v>23</v>
      </c>
      <c r="C886">
        <v>1340162.87109375</v>
      </c>
      <c r="D886">
        <v>1267744.5325540318</v>
      </c>
      <c r="E886">
        <v>2.4671368546033028E-5</v>
      </c>
      <c r="F886">
        <v>2.4635328916945323E-5</v>
      </c>
      <c r="G886">
        <v>3.6039629087704996E-8</v>
      </c>
      <c r="H886" t="b">
        <v>0</v>
      </c>
    </row>
    <row r="887" spans="1:8" x14ac:dyDescent="0.15">
      <c r="A887">
        <v>36</v>
      </c>
      <c r="B887">
        <v>24</v>
      </c>
      <c r="C887">
        <v>1340176.37109375</v>
      </c>
      <c r="D887">
        <v>1455454.5018009699</v>
      </c>
      <c r="E887">
        <v>2.4676686785633872E-5</v>
      </c>
      <c r="F887">
        <v>2.4635328916945323E-5</v>
      </c>
      <c r="G887">
        <v>4.1357868688549049E-8</v>
      </c>
      <c r="H887" t="b">
        <v>0</v>
      </c>
    </row>
    <row r="888" spans="1:8" x14ac:dyDescent="0.15">
      <c r="A888">
        <v>36</v>
      </c>
      <c r="B888">
        <v>25</v>
      </c>
      <c r="C888">
        <v>1340169.62109375</v>
      </c>
      <c r="D888">
        <v>1361614.0061941359</v>
      </c>
      <c r="E888">
        <v>2.4674028653026313E-5</v>
      </c>
      <c r="F888">
        <v>2.4635328916945323E-5</v>
      </c>
      <c r="G888">
        <v>3.8699736080989946E-8</v>
      </c>
      <c r="H888" t="b">
        <v>0</v>
      </c>
    </row>
    <row r="889" spans="1:8" x14ac:dyDescent="0.15">
      <c r="A889">
        <v>36</v>
      </c>
      <c r="B889">
        <v>26</v>
      </c>
      <c r="C889">
        <v>1340161.5210937499</v>
      </c>
      <c r="D889">
        <v>1248976.6367976498</v>
      </c>
      <c r="E889">
        <v>2.4670836556098241E-5</v>
      </c>
      <c r="F889">
        <v>2.4635328916945323E-5</v>
      </c>
      <c r="G889">
        <v>3.5507639152917601E-8</v>
      </c>
      <c r="H889" t="b">
        <v>0</v>
      </c>
    </row>
    <row r="890" spans="1:8" x14ac:dyDescent="0.15">
      <c r="A890">
        <v>36</v>
      </c>
      <c r="B890">
        <v>27</v>
      </c>
      <c r="C890">
        <v>1340165.57109375</v>
      </c>
      <c r="D890">
        <v>1305286.322804888</v>
      </c>
      <c r="E890">
        <v>2.4672432557365588E-5</v>
      </c>
      <c r="F890">
        <v>2.4635328916945323E-5</v>
      </c>
      <c r="G890">
        <v>3.71036404202644E-8</v>
      </c>
      <c r="H890" t="b">
        <v>0</v>
      </c>
    </row>
    <row r="891" spans="1:8" x14ac:dyDescent="0.15">
      <c r="A891">
        <v>36</v>
      </c>
      <c r="B891">
        <v>28</v>
      </c>
      <c r="C891">
        <v>1340170.4310937501</v>
      </c>
      <c r="D891">
        <v>1372802.76493651</v>
      </c>
      <c r="E891">
        <v>2.4674345647119716E-5</v>
      </c>
      <c r="F891">
        <v>2.4635328916945323E-5</v>
      </c>
      <c r="G891">
        <v>3.9016730174392528E-8</v>
      </c>
      <c r="H891" t="b">
        <v>0</v>
      </c>
    </row>
    <row r="892" spans="1:8" x14ac:dyDescent="0.15">
      <c r="A892">
        <v>36</v>
      </c>
      <c r="B892">
        <v>29</v>
      </c>
      <c r="C892">
        <v>1340168.0010937501</v>
      </c>
      <c r="D892">
        <v>1339080.7730282384</v>
      </c>
      <c r="E892">
        <v>2.4673390203434596E-5</v>
      </c>
      <c r="F892">
        <v>2.4635328916945323E-5</v>
      </c>
      <c r="G892">
        <v>3.8061286489272559E-8</v>
      </c>
      <c r="H892" t="b">
        <v>0</v>
      </c>
    </row>
    <row r="893" spans="1:8" x14ac:dyDescent="0.15">
      <c r="A893">
        <v>37</v>
      </c>
      <c r="B893">
        <v>1</v>
      </c>
      <c r="C893">
        <v>6050000</v>
      </c>
      <c r="D893">
        <v>3.8746983296898796E+18</v>
      </c>
      <c r="E893">
        <v>536.87092200000006</v>
      </c>
      <c r="F893">
        <v>1.1283359526714776E-5</v>
      </c>
      <c r="G893">
        <v>536.87091071664054</v>
      </c>
      <c r="H893" t="b">
        <v>0</v>
      </c>
    </row>
    <row r="894" spans="1:8" x14ac:dyDescent="0.15">
      <c r="A894">
        <v>37</v>
      </c>
      <c r="B894">
        <v>2</v>
      </c>
      <c r="C894">
        <v>3075000</v>
      </c>
      <c r="D894">
        <v>8.0439302504167552E+16</v>
      </c>
      <c r="E894">
        <v>17.905380250981722</v>
      </c>
      <c r="F894">
        <v>1.1283359576452767E-5</v>
      </c>
      <c r="G894">
        <v>17.905368967622145</v>
      </c>
      <c r="H894" t="b">
        <v>0</v>
      </c>
    </row>
    <row r="895" spans="1:8" x14ac:dyDescent="0.15">
      <c r="A895">
        <v>37</v>
      </c>
      <c r="B895">
        <v>3</v>
      </c>
      <c r="C895">
        <v>1587500</v>
      </c>
      <c r="D895">
        <v>433129386980.77209</v>
      </c>
      <c r="E895">
        <v>7.9453764931676366E-4</v>
      </c>
      <c r="F895">
        <v>1.1283359577166714E-5</v>
      </c>
      <c r="G895">
        <v>7.8325428973959694E-4</v>
      </c>
      <c r="H895" t="b">
        <v>0</v>
      </c>
    </row>
    <row r="896" spans="1:8" x14ac:dyDescent="0.15">
      <c r="A896">
        <v>37</v>
      </c>
      <c r="B896">
        <v>4</v>
      </c>
      <c r="C896">
        <v>843750</v>
      </c>
      <c r="D896">
        <v>-104112.2699707345</v>
      </c>
      <c r="E896">
        <v>-1.3816969316648065E-6</v>
      </c>
      <c r="F896">
        <v>1.1283359577166686E-5</v>
      </c>
      <c r="G896">
        <v>-1.2665056508831492E-5</v>
      </c>
      <c r="H896" t="b">
        <v>1</v>
      </c>
    </row>
    <row r="897" spans="1:8" x14ac:dyDescent="0.15">
      <c r="A897">
        <v>37</v>
      </c>
      <c r="B897">
        <v>5</v>
      </c>
      <c r="C897">
        <v>1215625</v>
      </c>
      <c r="D897">
        <v>-35705604.589206241</v>
      </c>
      <c r="E897">
        <v>1.021303102837588E-5</v>
      </c>
      <c r="F897">
        <v>1.1283359577166686E-5</v>
      </c>
      <c r="G897">
        <v>-1.0703285487908056E-6</v>
      </c>
      <c r="H897" t="b">
        <v>1</v>
      </c>
    </row>
    <row r="898" spans="1:8" x14ac:dyDescent="0.15">
      <c r="A898">
        <v>37</v>
      </c>
      <c r="B898">
        <v>6</v>
      </c>
      <c r="C898">
        <v>1401562.5</v>
      </c>
      <c r="D898">
        <v>24989922076.400536</v>
      </c>
      <c r="E898">
        <v>1.0248066505619922E-4</v>
      </c>
      <c r="F898">
        <v>1.1283359577166687E-5</v>
      </c>
      <c r="G898">
        <v>9.1197305479032533E-5</v>
      </c>
      <c r="H898" t="b">
        <v>0</v>
      </c>
    </row>
    <row r="899" spans="1:8" x14ac:dyDescent="0.15">
      <c r="A899">
        <v>37</v>
      </c>
      <c r="B899">
        <v>7</v>
      </c>
      <c r="C899">
        <v>1308593.75</v>
      </c>
      <c r="D899">
        <v>2991863663.8108859</v>
      </c>
      <c r="E899">
        <v>3.0366604059689012E-5</v>
      </c>
      <c r="F899">
        <v>1.1283359577166684E-5</v>
      </c>
      <c r="G899">
        <v>1.9083244482522328E-5</v>
      </c>
      <c r="H899" t="b">
        <v>0</v>
      </c>
    </row>
    <row r="900" spans="1:8" x14ac:dyDescent="0.15">
      <c r="A900">
        <v>37</v>
      </c>
      <c r="B900">
        <v>8</v>
      </c>
      <c r="C900">
        <v>1262109.375</v>
      </c>
      <c r="D900">
        <v>367272497.57788932</v>
      </c>
      <c r="E900">
        <v>1.5549849497329766E-5</v>
      </c>
      <c r="F900">
        <v>1.1283359577166686E-5</v>
      </c>
      <c r="G900">
        <v>4.2664899201630805E-6</v>
      </c>
      <c r="H900" t="b">
        <v>0</v>
      </c>
    </row>
    <row r="901" spans="1:8" x14ac:dyDescent="0.15">
      <c r="A901">
        <v>37</v>
      </c>
      <c r="B901">
        <v>9</v>
      </c>
      <c r="C901">
        <v>1238867.1875</v>
      </c>
      <c r="D901">
        <v>43974344.882453591</v>
      </c>
      <c r="E901">
        <v>1.2116752118618547E-5</v>
      </c>
      <c r="F901">
        <v>1.1283359577166686E-5</v>
      </c>
      <c r="G901">
        <v>8.3339254145186188E-7</v>
      </c>
      <c r="H901" t="b">
        <v>0</v>
      </c>
    </row>
    <row r="902" spans="1:8" x14ac:dyDescent="0.15">
      <c r="A902">
        <v>37</v>
      </c>
      <c r="B902">
        <v>10</v>
      </c>
      <c r="C902">
        <v>1227246.09375</v>
      </c>
      <c r="D902">
        <v>-6564199.3834414948</v>
      </c>
      <c r="E902">
        <v>1.1129802427192449E-5</v>
      </c>
      <c r="F902">
        <v>1.1283359577166686E-5</v>
      </c>
      <c r="G902">
        <v>-1.5355714997423611E-7</v>
      </c>
      <c r="H902" t="b">
        <v>1</v>
      </c>
    </row>
    <row r="903" spans="1:8" x14ac:dyDescent="0.15">
      <c r="A903">
        <v>37</v>
      </c>
      <c r="B903">
        <v>11</v>
      </c>
      <c r="C903">
        <v>1233056.640625</v>
      </c>
      <c r="D903">
        <v>15778407.175571276</v>
      </c>
      <c r="E903">
        <v>1.1614263370700507E-5</v>
      </c>
      <c r="F903">
        <v>1.1283359577166686E-5</v>
      </c>
      <c r="G903">
        <v>3.3090379353382152E-7</v>
      </c>
      <c r="H903" t="b">
        <v>0</v>
      </c>
    </row>
    <row r="904" spans="1:8" x14ac:dyDescent="0.15">
      <c r="A904">
        <v>37</v>
      </c>
      <c r="B904">
        <v>12</v>
      </c>
      <c r="C904">
        <v>1230151.3671875</v>
      </c>
      <c r="D904">
        <v>3907222.9071868998</v>
      </c>
      <c r="E904">
        <v>1.1369809863735102E-5</v>
      </c>
      <c r="F904">
        <v>1.1283359577166686E-5</v>
      </c>
      <c r="G904">
        <v>8.6450286568416933E-8</v>
      </c>
      <c r="H904" t="b">
        <v>0</v>
      </c>
    </row>
    <row r="905" spans="1:8" x14ac:dyDescent="0.15">
      <c r="A905">
        <v>37</v>
      </c>
      <c r="B905">
        <v>13</v>
      </c>
      <c r="C905">
        <v>1228698.73046875</v>
      </c>
      <c r="D905">
        <v>-1499544.4223910598</v>
      </c>
      <c r="E905">
        <v>1.1249253488373021E-5</v>
      </c>
      <c r="F905">
        <v>1.1283359577166686E-5</v>
      </c>
      <c r="G905">
        <v>-3.4106088793664236E-8</v>
      </c>
      <c r="H905" t="b">
        <v>1</v>
      </c>
    </row>
    <row r="906" spans="1:8" x14ac:dyDescent="0.15">
      <c r="A906">
        <v>37</v>
      </c>
      <c r="B906">
        <v>14</v>
      </c>
      <c r="C906">
        <v>1229198.73046875</v>
      </c>
      <c r="D906">
        <v>322459.88816228131</v>
      </c>
      <c r="E906">
        <v>1.1290623980167805E-5</v>
      </c>
      <c r="F906">
        <v>1.1283359577166686E-5</v>
      </c>
      <c r="G906">
        <v>7.2644030011194177E-9</v>
      </c>
      <c r="H906" t="b">
        <v>0</v>
      </c>
    </row>
    <row r="907" spans="1:8" x14ac:dyDescent="0.15">
      <c r="A907">
        <v>37</v>
      </c>
      <c r="B907">
        <v>15</v>
      </c>
      <c r="C907">
        <v>1229798.73046875</v>
      </c>
      <c r="D907">
        <v>2562809.0873441393</v>
      </c>
      <c r="E907">
        <v>1.1340441645031723E-5</v>
      </c>
      <c r="F907">
        <v>1.1283359577166686E-5</v>
      </c>
      <c r="G907">
        <v>5.7082067865037598E-8</v>
      </c>
      <c r="H907" t="b">
        <v>0</v>
      </c>
    </row>
    <row r="908" spans="1:8" x14ac:dyDescent="0.15">
      <c r="A908">
        <v>37</v>
      </c>
      <c r="B908">
        <v>16</v>
      </c>
      <c r="C908">
        <v>1229498.73046875</v>
      </c>
      <c r="D908">
        <v>1435278.6938390133</v>
      </c>
      <c r="E908">
        <v>1.1315509872277097E-5</v>
      </c>
      <c r="F908">
        <v>1.1283359577166686E-5</v>
      </c>
      <c r="G908">
        <v>3.2150295110411689E-8</v>
      </c>
      <c r="H908" t="b">
        <v>0</v>
      </c>
    </row>
    <row r="909" spans="1:8" x14ac:dyDescent="0.15">
      <c r="A909">
        <v>37</v>
      </c>
      <c r="B909">
        <v>17</v>
      </c>
      <c r="C909">
        <v>1229138.73046875</v>
      </c>
      <c r="D909">
        <v>101699.60323872555</v>
      </c>
      <c r="E909">
        <v>1.1285653293590375E-5</v>
      </c>
      <c r="F909">
        <v>1.1283359577166686E-5</v>
      </c>
      <c r="G909">
        <v>2.2937164236897276E-9</v>
      </c>
      <c r="H909" t="b">
        <v>0</v>
      </c>
    </row>
    <row r="910" spans="1:8" x14ac:dyDescent="0.15">
      <c r="A910">
        <v>37</v>
      </c>
      <c r="B910">
        <v>18</v>
      </c>
      <c r="C910">
        <v>1229318.73046875</v>
      </c>
      <c r="D910">
        <v>765806.59161690006</v>
      </c>
      <c r="E910">
        <v>1.1300572393741122E-5</v>
      </c>
      <c r="F910">
        <v>1.1283359577166686E-5</v>
      </c>
      <c r="G910">
        <v>1.7212816574436917E-8</v>
      </c>
      <c r="H910" t="b">
        <v>0</v>
      </c>
    </row>
    <row r="911" spans="1:8" x14ac:dyDescent="0.15">
      <c r="A911">
        <v>37</v>
      </c>
      <c r="B911">
        <v>19</v>
      </c>
      <c r="C911">
        <v>1229534.73046875</v>
      </c>
      <c r="D911">
        <v>1569804.6996079292</v>
      </c>
      <c r="E911">
        <v>1.1318499271351878E-5</v>
      </c>
      <c r="F911">
        <v>1.1283359577166686E-5</v>
      </c>
      <c r="G911">
        <v>3.5139694185191986E-8</v>
      </c>
      <c r="H911" t="b">
        <v>0</v>
      </c>
    </row>
    <row r="912" spans="1:8" x14ac:dyDescent="0.15">
      <c r="A912">
        <v>37</v>
      </c>
      <c r="B912">
        <v>20</v>
      </c>
      <c r="C912">
        <v>1229426.73046875</v>
      </c>
      <c r="D912">
        <v>1166833.8407559595</v>
      </c>
      <c r="E912">
        <v>1.1309532425728609E-5</v>
      </c>
      <c r="F912">
        <v>1.1283359577166686E-5</v>
      </c>
      <c r="G912">
        <v>2.6172848561922964E-8</v>
      </c>
      <c r="H912" t="b">
        <v>0</v>
      </c>
    </row>
    <row r="913" spans="1:8" x14ac:dyDescent="0.15">
      <c r="A913">
        <v>37</v>
      </c>
      <c r="B913">
        <v>21</v>
      </c>
      <c r="C913">
        <v>1229480.73046875</v>
      </c>
      <c r="D913">
        <v>1368095.4763260623</v>
      </c>
      <c r="E913">
        <v>1.1314015427958621E-5</v>
      </c>
      <c r="F913">
        <v>1.1283359577166686E-5</v>
      </c>
      <c r="G913">
        <v>3.0655850791935272E-8</v>
      </c>
      <c r="H913" t="b">
        <v>0</v>
      </c>
    </row>
    <row r="914" spans="1:8" x14ac:dyDescent="0.15">
      <c r="A914">
        <v>37</v>
      </c>
      <c r="B914">
        <v>22</v>
      </c>
      <c r="C914">
        <v>1229453.73046875</v>
      </c>
      <c r="D914">
        <v>1267420.3396206661</v>
      </c>
      <c r="E914">
        <v>1.1311774080464519E-5</v>
      </c>
      <c r="F914">
        <v>1.1283359577166686E-5</v>
      </c>
      <c r="G914">
        <v>2.841450329783394E-8</v>
      </c>
      <c r="H914" t="b">
        <v>0</v>
      </c>
    </row>
    <row r="915" spans="1:8" x14ac:dyDescent="0.15">
      <c r="A915">
        <v>37</v>
      </c>
      <c r="B915">
        <v>23</v>
      </c>
      <c r="C915">
        <v>1229421.3304687501</v>
      </c>
      <c r="D915">
        <v>1146737.0831052379</v>
      </c>
      <c r="E915">
        <v>1.1309084278733518E-5</v>
      </c>
      <c r="F915">
        <v>1.1283359577166686E-5</v>
      </c>
      <c r="G915">
        <v>2.5724701566832067E-8</v>
      </c>
      <c r="H915" t="b">
        <v>0</v>
      </c>
    </row>
    <row r="916" spans="1:8" x14ac:dyDescent="0.15">
      <c r="A916">
        <v>37</v>
      </c>
      <c r="B916">
        <v>24</v>
      </c>
      <c r="C916">
        <v>1229437.53046875</v>
      </c>
      <c r="D916">
        <v>1207072.6604408056</v>
      </c>
      <c r="E916">
        <v>1.1310429455685142E-5</v>
      </c>
      <c r="F916">
        <v>1.1283359577166686E-5</v>
      </c>
      <c r="G916">
        <v>2.7069878518456503E-8</v>
      </c>
      <c r="H916" t="b">
        <v>0</v>
      </c>
    </row>
    <row r="917" spans="1:8" x14ac:dyDescent="0.15">
      <c r="A917">
        <v>37</v>
      </c>
      <c r="B917">
        <v>25</v>
      </c>
      <c r="C917">
        <v>1229456.97046875</v>
      </c>
      <c r="D917">
        <v>1279464.0530052702</v>
      </c>
      <c r="E917">
        <v>1.1312042331794882E-5</v>
      </c>
      <c r="F917">
        <v>1.1283359577166686E-5</v>
      </c>
      <c r="G917">
        <v>2.8682754628196215E-8</v>
      </c>
      <c r="H917" t="b">
        <v>0</v>
      </c>
    </row>
    <row r="918" spans="1:8" x14ac:dyDescent="0.15">
      <c r="A918">
        <v>37</v>
      </c>
      <c r="B918">
        <v>26</v>
      </c>
      <c r="C918">
        <v>1229447.25046875</v>
      </c>
      <c r="D918">
        <v>1243245.1284725708</v>
      </c>
      <c r="E918">
        <v>1.1311235523917374E-5</v>
      </c>
      <c r="F918">
        <v>1.1283359577166686E-5</v>
      </c>
      <c r="G918">
        <v>2.7875946750688846E-8</v>
      </c>
      <c r="H918" t="b">
        <v>0</v>
      </c>
    </row>
    <row r="919" spans="1:8" x14ac:dyDescent="0.15">
      <c r="A919">
        <v>37</v>
      </c>
      <c r="B919">
        <v>27</v>
      </c>
      <c r="C919">
        <v>1229435.5864687499</v>
      </c>
      <c r="D919">
        <v>1199833.8313466399</v>
      </c>
      <c r="E919">
        <v>1.1310268109970001E-5</v>
      </c>
      <c r="F919">
        <v>1.1283359577166686E-5</v>
      </c>
      <c r="G919">
        <v>2.6908532803315607E-8</v>
      </c>
      <c r="H919" t="b">
        <v>0</v>
      </c>
    </row>
    <row r="920" spans="1:8" x14ac:dyDescent="0.15">
      <c r="A920">
        <v>37</v>
      </c>
      <c r="B920">
        <v>28</v>
      </c>
      <c r="C920">
        <v>1229441.4184687498</v>
      </c>
      <c r="D920">
        <v>1221521.2121485453</v>
      </c>
      <c r="E920">
        <v>1.1310751462999898E-5</v>
      </c>
      <c r="F920">
        <v>1.1283359577166686E-5</v>
      </c>
      <c r="G920">
        <v>2.7391885833211955E-8</v>
      </c>
      <c r="H920" t="b">
        <v>0</v>
      </c>
    </row>
    <row r="921" spans="1:8" x14ac:dyDescent="0.15">
      <c r="A921">
        <v>38</v>
      </c>
      <c r="B921">
        <v>1</v>
      </c>
      <c r="C921">
        <v>6050000</v>
      </c>
      <c r="D921">
        <v>1.3058969240072911E+18</v>
      </c>
      <c r="E921">
        <v>536.87092200000006</v>
      </c>
      <c r="F921">
        <v>2.5754696025614976E-5</v>
      </c>
      <c r="G921">
        <v>536.87089624530404</v>
      </c>
      <c r="H921" t="b">
        <v>0</v>
      </c>
    </row>
    <row r="922" spans="1:8" x14ac:dyDescent="0.15">
      <c r="A922">
        <v>38</v>
      </c>
      <c r="B922">
        <v>2</v>
      </c>
      <c r="C922">
        <v>3075000</v>
      </c>
      <c r="D922">
        <v>1.3058969240072909E+18</v>
      </c>
      <c r="E922">
        <v>536.87092199999995</v>
      </c>
      <c r="F922">
        <v>2.5754696025614976E-5</v>
      </c>
      <c r="G922">
        <v>536.87089624530392</v>
      </c>
      <c r="H922" t="b">
        <v>0</v>
      </c>
    </row>
    <row r="923" spans="1:8" x14ac:dyDescent="0.15">
      <c r="A923">
        <v>38</v>
      </c>
      <c r="B923">
        <v>3</v>
      </c>
      <c r="C923">
        <v>1587500</v>
      </c>
      <c r="D923">
        <v>1.3058969240072911E+18</v>
      </c>
      <c r="E923">
        <v>536.87092200000006</v>
      </c>
      <c r="F923">
        <v>2.5754696025614976E-5</v>
      </c>
      <c r="G923">
        <v>536.87089624530404</v>
      </c>
      <c r="H923" t="b">
        <v>0</v>
      </c>
    </row>
    <row r="924" spans="1:8" x14ac:dyDescent="0.15">
      <c r="A924">
        <v>38</v>
      </c>
      <c r="B924">
        <v>4</v>
      </c>
      <c r="C924">
        <v>843750</v>
      </c>
      <c r="D924">
        <v>2642139202883.9326</v>
      </c>
      <c r="E924">
        <v>7.7567112353090087E-3</v>
      </c>
      <c r="F924">
        <v>2.5754696008553103E-5</v>
      </c>
      <c r="G924">
        <v>7.7309565393004556E-3</v>
      </c>
      <c r="H924" t="b">
        <v>0</v>
      </c>
    </row>
    <row r="925" spans="1:8" x14ac:dyDescent="0.15">
      <c r="A925">
        <v>38</v>
      </c>
      <c r="B925">
        <v>5</v>
      </c>
      <c r="C925">
        <v>471875</v>
      </c>
      <c r="D925">
        <v>-61665.981605037188</v>
      </c>
      <c r="E925">
        <v>-2.3484354732904269E-6</v>
      </c>
      <c r="F925">
        <v>2.575469600855332E-5</v>
      </c>
      <c r="G925">
        <v>-2.8103131481843749E-5</v>
      </c>
      <c r="H925" t="b">
        <v>1</v>
      </c>
    </row>
    <row r="926" spans="1:8" x14ac:dyDescent="0.15">
      <c r="A926">
        <v>38</v>
      </c>
      <c r="B926">
        <v>6</v>
      </c>
      <c r="C926">
        <v>657812.5</v>
      </c>
      <c r="D926">
        <v>621378008.97680032</v>
      </c>
      <c r="E926">
        <v>3.763725983679232E-5</v>
      </c>
      <c r="F926">
        <v>2.575469600855332E-5</v>
      </c>
      <c r="G926">
        <v>1.1882563828239E-5</v>
      </c>
      <c r="H926" t="b">
        <v>0</v>
      </c>
    </row>
    <row r="927" spans="1:8" x14ac:dyDescent="0.15">
      <c r="A927">
        <v>38</v>
      </c>
      <c r="B927">
        <v>7</v>
      </c>
      <c r="C927">
        <v>564843.75</v>
      </c>
      <c r="D927">
        <v>-216689.41701756621</v>
      </c>
      <c r="E927">
        <v>4.0044634418393243E-6</v>
      </c>
      <c r="F927">
        <v>2.575469600855332E-5</v>
      </c>
      <c r="G927">
        <v>-2.1750232566713995E-5</v>
      </c>
      <c r="H927" t="b">
        <v>1</v>
      </c>
    </row>
    <row r="928" spans="1:8" x14ac:dyDescent="0.15">
      <c r="A928">
        <v>38</v>
      </c>
      <c r="B928">
        <v>8</v>
      </c>
      <c r="C928">
        <v>611328.125</v>
      </c>
      <c r="D928">
        <v>-2405848.170425598</v>
      </c>
      <c r="E928">
        <v>1.0404373567666629E-5</v>
      </c>
      <c r="F928">
        <v>2.575469600855332E-5</v>
      </c>
      <c r="G928">
        <v>-1.5350322440886691E-5</v>
      </c>
      <c r="H928" t="b">
        <v>1</v>
      </c>
    </row>
    <row r="929" spans="1:8" x14ac:dyDescent="0.15">
      <c r="A929">
        <v>38</v>
      </c>
      <c r="B929">
        <v>9</v>
      </c>
      <c r="C929">
        <v>634570.3125</v>
      </c>
      <c r="D929">
        <v>-61238942.70062571</v>
      </c>
      <c r="E929">
        <v>1.6233134329720902E-5</v>
      </c>
      <c r="F929">
        <v>2.575469600855332E-5</v>
      </c>
      <c r="G929">
        <v>-9.521561678832418E-6</v>
      </c>
      <c r="H929" t="b">
        <v>1</v>
      </c>
    </row>
    <row r="930" spans="1:8" x14ac:dyDescent="0.15">
      <c r="A930">
        <v>38</v>
      </c>
      <c r="B930">
        <v>10</v>
      </c>
      <c r="C930">
        <v>646191.40625</v>
      </c>
      <c r="D930">
        <v>-33937161.878068559</v>
      </c>
      <c r="E930">
        <v>2.4658618871019976E-5</v>
      </c>
      <c r="F930">
        <v>2.575469600855332E-5</v>
      </c>
      <c r="G930">
        <v>-1.0960771375333444E-6</v>
      </c>
      <c r="H930" t="b">
        <v>1</v>
      </c>
    </row>
    <row r="931" spans="1:8" x14ac:dyDescent="0.15">
      <c r="A931">
        <v>38</v>
      </c>
      <c r="B931">
        <v>11</v>
      </c>
      <c r="C931">
        <v>652001.953125</v>
      </c>
      <c r="D931">
        <v>213739780.89349654</v>
      </c>
      <c r="E931">
        <v>3.0518665672803183E-5</v>
      </c>
      <c r="F931">
        <v>2.575469600855332E-5</v>
      </c>
      <c r="G931">
        <v>4.7639696642498634E-6</v>
      </c>
      <c r="H931" t="b">
        <v>0</v>
      </c>
    </row>
    <row r="932" spans="1:8" x14ac:dyDescent="0.15">
      <c r="A932">
        <v>38</v>
      </c>
      <c r="B932">
        <v>12</v>
      </c>
      <c r="C932">
        <v>649096.6796875</v>
      </c>
      <c r="D932">
        <v>64675718.92956014</v>
      </c>
      <c r="E932">
        <v>2.7444980646935621E-5</v>
      </c>
      <c r="F932">
        <v>2.575469600855332E-5</v>
      </c>
      <c r="G932">
        <v>1.6902846383823008E-6</v>
      </c>
      <c r="H932" t="b">
        <v>0</v>
      </c>
    </row>
    <row r="933" spans="1:8" x14ac:dyDescent="0.15">
      <c r="A933">
        <v>38</v>
      </c>
      <c r="B933">
        <v>13</v>
      </c>
      <c r="C933">
        <v>647644.04296875</v>
      </c>
      <c r="D933">
        <v>9082727.2838742696</v>
      </c>
      <c r="E933">
        <v>2.6017370369403236E-5</v>
      </c>
      <c r="F933">
        <v>2.575469600855332E-5</v>
      </c>
      <c r="G933">
        <v>2.6267436084991561E-7</v>
      </c>
      <c r="H933" t="b">
        <v>0</v>
      </c>
    </row>
    <row r="934" spans="1:8" x14ac:dyDescent="0.15">
      <c r="A934">
        <v>38</v>
      </c>
      <c r="B934">
        <v>14</v>
      </c>
      <c r="C934">
        <v>646444.04296875</v>
      </c>
      <c r="D934">
        <v>-27308687.439002443</v>
      </c>
      <c r="E934">
        <v>2.4890114970074514E-5</v>
      </c>
      <c r="F934">
        <v>2.575469600855332E-5</v>
      </c>
      <c r="G934">
        <v>-8.645810384788059E-7</v>
      </c>
      <c r="H934" t="b">
        <v>1</v>
      </c>
    </row>
    <row r="935" spans="1:8" x14ac:dyDescent="0.15">
      <c r="A935">
        <v>38</v>
      </c>
      <c r="B935">
        <v>15</v>
      </c>
      <c r="C935">
        <v>647044.04296875</v>
      </c>
      <c r="D935">
        <v>-10145041.241542568</v>
      </c>
      <c r="E935">
        <v>2.5447976069683068E-5</v>
      </c>
      <c r="F935">
        <v>2.575469600855332E-5</v>
      </c>
      <c r="G935">
        <v>-3.0671993887025189E-7</v>
      </c>
      <c r="H935" t="b">
        <v>1</v>
      </c>
    </row>
    <row r="936" spans="1:8" x14ac:dyDescent="0.15">
      <c r="A936">
        <v>38</v>
      </c>
      <c r="B936">
        <v>16</v>
      </c>
      <c r="C936">
        <v>647644.04296875</v>
      </c>
      <c r="D936">
        <v>9082727.2838742696</v>
      </c>
      <c r="E936">
        <v>2.6017370369403236E-5</v>
      </c>
      <c r="F936">
        <v>2.575469600855332E-5</v>
      </c>
      <c r="G936">
        <v>2.6267436084991561E-7</v>
      </c>
      <c r="H936" t="b">
        <v>0</v>
      </c>
    </row>
    <row r="937" spans="1:8" x14ac:dyDescent="0.15">
      <c r="A937">
        <v>38</v>
      </c>
      <c r="B937">
        <v>17</v>
      </c>
      <c r="C937">
        <v>647344.04296875</v>
      </c>
      <c r="D937">
        <v>-794192.06979832298</v>
      </c>
      <c r="E937">
        <v>2.5731216845976801E-5</v>
      </c>
      <c r="F937">
        <v>2.575469600855332E-5</v>
      </c>
      <c r="G937">
        <v>-2.3479162576518867E-8</v>
      </c>
      <c r="H937" t="b">
        <v>1</v>
      </c>
    </row>
    <row r="938" spans="1:8" x14ac:dyDescent="0.15">
      <c r="A938">
        <v>38</v>
      </c>
      <c r="B938">
        <v>18</v>
      </c>
      <c r="C938">
        <v>647494.04296875</v>
      </c>
      <c r="D938">
        <v>4077837.94483421</v>
      </c>
      <c r="E938">
        <v>2.5873926603040388E-5</v>
      </c>
      <c r="F938">
        <v>2.575469600855332E-5</v>
      </c>
      <c r="G938">
        <v>1.1923059448706795E-7</v>
      </c>
      <c r="H938" t="b">
        <v>0</v>
      </c>
    </row>
    <row r="939" spans="1:8" x14ac:dyDescent="0.15">
      <c r="A939">
        <v>38</v>
      </c>
      <c r="B939">
        <v>19</v>
      </c>
      <c r="C939">
        <v>647419.04296875</v>
      </c>
      <c r="D939">
        <v>1625308.5527450747</v>
      </c>
      <c r="E939">
        <v>2.5802480590080693E-5</v>
      </c>
      <c r="F939">
        <v>2.575469600855332E-5</v>
      </c>
      <c r="G939">
        <v>4.7784581527372523E-8</v>
      </c>
      <c r="H939" t="b">
        <v>0</v>
      </c>
    </row>
    <row r="940" spans="1:8" x14ac:dyDescent="0.15">
      <c r="A940">
        <v>38</v>
      </c>
      <c r="B940">
        <v>20</v>
      </c>
      <c r="C940">
        <v>647329.04296875</v>
      </c>
      <c r="D940">
        <v>-1274142.5663506784</v>
      </c>
      <c r="E940">
        <v>2.5716985932073981E-5</v>
      </c>
      <c r="F940">
        <v>2.575469600855332E-5</v>
      </c>
      <c r="G940">
        <v>-3.7710076479338694E-8</v>
      </c>
      <c r="H940" t="b">
        <v>1</v>
      </c>
    </row>
    <row r="941" spans="1:8" x14ac:dyDescent="0.15">
      <c r="A941">
        <v>38</v>
      </c>
      <c r="B941">
        <v>21</v>
      </c>
      <c r="C941">
        <v>647374.04296875</v>
      </c>
      <c r="D941">
        <v>169761.07642241399</v>
      </c>
      <c r="E941">
        <v>2.575970363269012E-5</v>
      </c>
      <c r="F941">
        <v>2.575469600855332E-5</v>
      </c>
      <c r="G941">
        <v>5.0076241367997122E-9</v>
      </c>
      <c r="H941" t="b">
        <v>0</v>
      </c>
    </row>
    <row r="942" spans="1:8" x14ac:dyDescent="0.15">
      <c r="A942">
        <v>38</v>
      </c>
      <c r="B942">
        <v>22</v>
      </c>
      <c r="C942">
        <v>647428.04296875</v>
      </c>
      <c r="D942">
        <v>1917972.4282966719</v>
      </c>
      <c r="E942">
        <v>2.5811047620309216E-5</v>
      </c>
      <c r="F942">
        <v>2.575469600855332E-5</v>
      </c>
      <c r="G942">
        <v>5.635161175589635E-8</v>
      </c>
      <c r="H942" t="b">
        <v>0</v>
      </c>
    </row>
    <row r="943" spans="1:8" x14ac:dyDescent="0.15">
      <c r="A943">
        <v>38</v>
      </c>
      <c r="B943">
        <v>23</v>
      </c>
      <c r="C943">
        <v>647401.04296875</v>
      </c>
      <c r="D943">
        <v>1041728.9337328901</v>
      </c>
      <c r="E943">
        <v>2.578536382207416E-5</v>
      </c>
      <c r="F943">
        <v>2.575469600855332E-5</v>
      </c>
      <c r="G943">
        <v>3.0667813520840139E-8</v>
      </c>
      <c r="H943" t="b">
        <v>0</v>
      </c>
    </row>
    <row r="944" spans="1:8" x14ac:dyDescent="0.15">
      <c r="A944">
        <v>38</v>
      </c>
      <c r="B944">
        <v>24</v>
      </c>
      <c r="C944">
        <v>647368.64296874998</v>
      </c>
      <c r="D944">
        <v>-4120.0634809808735</v>
      </c>
      <c r="E944">
        <v>2.5754574426133014E-5</v>
      </c>
      <c r="F944">
        <v>2.575469600855332E-5</v>
      </c>
      <c r="G944">
        <v>-1.2158242030616429E-10</v>
      </c>
      <c r="H944" t="b">
        <v>1</v>
      </c>
    </row>
    <row r="945" spans="1:8" x14ac:dyDescent="0.15">
      <c r="A945">
        <v>38</v>
      </c>
      <c r="B945">
        <v>25</v>
      </c>
      <c r="C945">
        <v>647384.84296874993</v>
      </c>
      <c r="D945">
        <v>518035.61196074449</v>
      </c>
      <c r="E945">
        <v>2.5769964876648584E-5</v>
      </c>
      <c r="F945">
        <v>2.575469600855332E-5</v>
      </c>
      <c r="G945">
        <v>1.5268868095263916E-8</v>
      </c>
      <c r="H945" t="b">
        <v>0</v>
      </c>
    </row>
    <row r="946" spans="1:8" x14ac:dyDescent="0.15">
      <c r="A946">
        <v>38</v>
      </c>
      <c r="B946">
        <v>26</v>
      </c>
      <c r="C946">
        <v>647404.28296874987</v>
      </c>
      <c r="D946">
        <v>1146652.2549214666</v>
      </c>
      <c r="E946">
        <v>2.5788444630924524E-5</v>
      </c>
      <c r="F946">
        <v>2.575469600855332E-5</v>
      </c>
      <c r="G946">
        <v>3.3748622371204326E-8</v>
      </c>
      <c r="H946" t="b">
        <v>0</v>
      </c>
    </row>
    <row r="947" spans="1:8" x14ac:dyDescent="0.15">
      <c r="A947">
        <v>38</v>
      </c>
      <c r="B947">
        <v>27</v>
      </c>
      <c r="C947">
        <v>647394.5629687499</v>
      </c>
      <c r="D947">
        <v>832066.98621087358</v>
      </c>
      <c r="E947">
        <v>2.5779203224242076E-5</v>
      </c>
      <c r="F947">
        <v>2.575469600855332E-5</v>
      </c>
      <c r="G947">
        <v>2.4507215688756326E-8</v>
      </c>
      <c r="H947" t="b">
        <v>0</v>
      </c>
    </row>
    <row r="948" spans="1:8" x14ac:dyDescent="0.15">
      <c r="A948">
        <v>38</v>
      </c>
      <c r="B948">
        <v>28</v>
      </c>
      <c r="C948">
        <v>647382.89896874991</v>
      </c>
      <c r="D948">
        <v>455295.77444808814</v>
      </c>
      <c r="E948">
        <v>2.5768117574141908E-5</v>
      </c>
      <c r="F948">
        <v>2.575469600855332E-5</v>
      </c>
      <c r="G948">
        <v>1.3421565588587879E-8</v>
      </c>
      <c r="H948" t="b">
        <v>0</v>
      </c>
    </row>
    <row r="949" spans="1:8" x14ac:dyDescent="0.15">
      <c r="A949">
        <v>38</v>
      </c>
      <c r="B949">
        <v>29</v>
      </c>
      <c r="C949">
        <v>647388.73096874997</v>
      </c>
      <c r="D949">
        <v>643475.13263951649</v>
      </c>
      <c r="E949">
        <v>2.5773656712670381E-5</v>
      </c>
      <c r="F949">
        <v>2.575469600855332E-5</v>
      </c>
      <c r="G949">
        <v>1.8960704117060713E-8</v>
      </c>
      <c r="H949" t="b">
        <v>0</v>
      </c>
    </row>
    <row r="950" spans="1:8" x14ac:dyDescent="0.15">
      <c r="A950">
        <v>39</v>
      </c>
      <c r="B950">
        <v>1</v>
      </c>
      <c r="C950">
        <v>6050000</v>
      </c>
      <c r="D950">
        <v>1.2867799504210033E+18</v>
      </c>
      <c r="E950">
        <v>536.87092200000006</v>
      </c>
      <c r="F950">
        <v>2.59209041360009E-5</v>
      </c>
      <c r="G950">
        <v>536.87089607909593</v>
      </c>
      <c r="H950" t="b">
        <v>0</v>
      </c>
    </row>
    <row r="951" spans="1:8" x14ac:dyDescent="0.15">
      <c r="A951">
        <v>39</v>
      </c>
      <c r="B951">
        <v>2</v>
      </c>
      <c r="C951">
        <v>3075000</v>
      </c>
      <c r="D951">
        <v>1.2867799504210033E+18</v>
      </c>
      <c r="E951">
        <v>536.87092200000006</v>
      </c>
      <c r="F951">
        <v>2.59209041360009E-5</v>
      </c>
      <c r="G951">
        <v>536.87089607909593</v>
      </c>
      <c r="H951" t="b">
        <v>0</v>
      </c>
    </row>
    <row r="952" spans="1:8" x14ac:dyDescent="0.15">
      <c r="A952">
        <v>39</v>
      </c>
      <c r="B952">
        <v>3</v>
      </c>
      <c r="C952">
        <v>1587500</v>
      </c>
      <c r="D952">
        <v>1232691500332263.5</v>
      </c>
      <c r="E952">
        <v>1.2748090771624732</v>
      </c>
      <c r="F952">
        <v>2.5920904158427405E-5</v>
      </c>
      <c r="G952">
        <v>1.2747831562583147</v>
      </c>
      <c r="H952" t="b">
        <v>0</v>
      </c>
    </row>
    <row r="953" spans="1:8" x14ac:dyDescent="0.15">
      <c r="A953">
        <v>39</v>
      </c>
      <c r="B953">
        <v>4</v>
      </c>
      <c r="C953">
        <v>843750</v>
      </c>
      <c r="D953">
        <v>8975746615.6219978</v>
      </c>
      <c r="E953">
        <v>1.2190362016508006E-4</v>
      </c>
      <c r="F953">
        <v>2.5920904158505427E-5</v>
      </c>
      <c r="G953">
        <v>9.5982716006574631E-5</v>
      </c>
      <c r="H953" t="b">
        <v>0</v>
      </c>
    </row>
    <row r="954" spans="1:8" x14ac:dyDescent="0.15">
      <c r="A954">
        <v>39</v>
      </c>
      <c r="B954">
        <v>5</v>
      </c>
      <c r="C954">
        <v>471875</v>
      </c>
      <c r="D954">
        <v>-37040.616338427782</v>
      </c>
      <c r="E954">
        <v>-6.1307182977308965E-6</v>
      </c>
      <c r="F954">
        <v>2.5920904158505433E-5</v>
      </c>
      <c r="G954">
        <v>-3.205162245623633E-5</v>
      </c>
      <c r="H954" t="b">
        <v>1</v>
      </c>
    </row>
    <row r="955" spans="1:8" x14ac:dyDescent="0.15">
      <c r="A955">
        <v>39</v>
      </c>
      <c r="B955">
        <v>6</v>
      </c>
      <c r="C955">
        <v>657812.5</v>
      </c>
      <c r="D955">
        <v>-227141.8590319425</v>
      </c>
      <c r="E955">
        <v>4.2009163731919621E-6</v>
      </c>
      <c r="F955">
        <v>2.5920904158505433E-5</v>
      </c>
      <c r="G955">
        <v>-2.1719987785313471E-5</v>
      </c>
      <c r="H955" t="b">
        <v>1</v>
      </c>
    </row>
    <row r="956" spans="1:8" x14ac:dyDescent="0.15">
      <c r="A956">
        <v>39</v>
      </c>
      <c r="B956">
        <v>7</v>
      </c>
      <c r="C956">
        <v>750781.25</v>
      </c>
      <c r="D956">
        <v>-37539813.081532352</v>
      </c>
      <c r="E956">
        <v>1.5258411274318138E-5</v>
      </c>
      <c r="F956">
        <v>2.5920904158505433E-5</v>
      </c>
      <c r="G956">
        <v>-1.0662492884187295E-5</v>
      </c>
      <c r="H956" t="b">
        <v>1</v>
      </c>
    </row>
    <row r="957" spans="1:8" x14ac:dyDescent="0.15">
      <c r="A957">
        <v>39</v>
      </c>
      <c r="B957">
        <v>8</v>
      </c>
      <c r="C957">
        <v>797265.625</v>
      </c>
      <c r="D957">
        <v>1000420303.7367966</v>
      </c>
      <c r="E957">
        <v>4.3644513048201536E-5</v>
      </c>
      <c r="F957">
        <v>2.5920904158505433E-5</v>
      </c>
      <c r="G957">
        <v>1.7723608889696102E-5</v>
      </c>
      <c r="H957" t="b">
        <v>0</v>
      </c>
    </row>
    <row r="958" spans="1:8" x14ac:dyDescent="0.15">
      <c r="A958">
        <v>39</v>
      </c>
      <c r="B958">
        <v>9</v>
      </c>
      <c r="C958">
        <v>774023.4375</v>
      </c>
      <c r="D958">
        <v>-27858505.362104196</v>
      </c>
      <c r="E958">
        <v>2.5023069542895494E-5</v>
      </c>
      <c r="F958">
        <v>2.5920904158505433E-5</v>
      </c>
      <c r="G958">
        <v>-8.9783461560993911E-7</v>
      </c>
      <c r="H958" t="b">
        <v>1</v>
      </c>
    </row>
    <row r="959" spans="1:8" x14ac:dyDescent="0.15">
      <c r="A959">
        <v>39</v>
      </c>
      <c r="B959">
        <v>10</v>
      </c>
      <c r="C959">
        <v>785644.53125</v>
      </c>
      <c r="D959">
        <v>340417451.38278556</v>
      </c>
      <c r="E959">
        <v>3.3173895747012184E-5</v>
      </c>
      <c r="F959">
        <v>2.5920904158505433E-5</v>
      </c>
      <c r="G959">
        <v>7.2529915885067504E-6</v>
      </c>
      <c r="H959" t="b">
        <v>0</v>
      </c>
    </row>
    <row r="960" spans="1:8" x14ac:dyDescent="0.15">
      <c r="A960">
        <v>39</v>
      </c>
      <c r="B960">
        <v>11</v>
      </c>
      <c r="C960">
        <v>779833.984375</v>
      </c>
      <c r="D960">
        <v>118703278.43487142</v>
      </c>
      <c r="E960">
        <v>2.8839597172869385E-5</v>
      </c>
      <c r="F960">
        <v>2.5920904158505433E-5</v>
      </c>
      <c r="G960">
        <v>2.9186930143639514E-6</v>
      </c>
      <c r="H960" t="b">
        <v>0</v>
      </c>
    </row>
    <row r="961" spans="1:8" x14ac:dyDescent="0.15">
      <c r="A961">
        <v>39</v>
      </c>
      <c r="B961">
        <v>12</v>
      </c>
      <c r="C961">
        <v>776928.7109375</v>
      </c>
      <c r="D961">
        <v>33978817.161339708</v>
      </c>
      <c r="E961">
        <v>2.6870218712340345E-5</v>
      </c>
      <c r="F961">
        <v>2.5920904158505433E-5</v>
      </c>
      <c r="G961">
        <v>9.4931455383491119E-7</v>
      </c>
      <c r="H961" t="b">
        <v>0</v>
      </c>
    </row>
    <row r="962" spans="1:8" x14ac:dyDescent="0.15">
      <c r="A962">
        <v>39</v>
      </c>
      <c r="B962">
        <v>13</v>
      </c>
      <c r="C962">
        <v>775476.07421875</v>
      </c>
      <c r="D962">
        <v>363804.34723317664</v>
      </c>
      <c r="E962">
        <v>2.5931797702818507E-5</v>
      </c>
      <c r="F962">
        <v>2.5920904158505433E-5</v>
      </c>
      <c r="G962">
        <v>1.0893544313073176E-8</v>
      </c>
      <c r="H962" t="b">
        <v>0</v>
      </c>
    </row>
    <row r="963" spans="1:8" x14ac:dyDescent="0.15">
      <c r="A963">
        <v>39</v>
      </c>
      <c r="B963">
        <v>14</v>
      </c>
      <c r="C963">
        <v>775976.07421875</v>
      </c>
      <c r="D963">
        <v>11309243.961440751</v>
      </c>
      <c r="E963">
        <v>2.6251409400139437E-5</v>
      </c>
      <c r="F963">
        <v>2.5920904158505433E-5</v>
      </c>
      <c r="G963">
        <v>3.3050524163400364E-7</v>
      </c>
      <c r="H963" t="b">
        <v>0</v>
      </c>
    </row>
    <row r="964" spans="1:8" x14ac:dyDescent="0.15">
      <c r="A964">
        <v>39</v>
      </c>
      <c r="B964">
        <v>15</v>
      </c>
      <c r="C964">
        <v>775726.07421875</v>
      </c>
      <c r="D964">
        <v>5755853.1561761983</v>
      </c>
      <c r="E964">
        <v>2.6091161619158586E-5</v>
      </c>
      <c r="F964">
        <v>2.5920904158505433E-5</v>
      </c>
      <c r="G964">
        <v>1.7025746065315233E-7</v>
      </c>
      <c r="H964" t="b">
        <v>0</v>
      </c>
    </row>
    <row r="965" spans="1:8" x14ac:dyDescent="0.15">
      <c r="A965">
        <v>39</v>
      </c>
      <c r="B965">
        <v>16</v>
      </c>
      <c r="C965">
        <v>775426.07421875</v>
      </c>
      <c r="D965">
        <v>-695305.5277402564</v>
      </c>
      <c r="E965">
        <v>2.5900033104628826E-5</v>
      </c>
      <c r="F965">
        <v>2.5920904158505433E-5</v>
      </c>
      <c r="G965">
        <v>-2.0871053876607112E-8</v>
      </c>
      <c r="H965" t="b">
        <v>1</v>
      </c>
    </row>
    <row r="966" spans="1:8" x14ac:dyDescent="0.15">
      <c r="A966">
        <v>39</v>
      </c>
      <c r="B966">
        <v>17</v>
      </c>
      <c r="C966">
        <v>775576.07421875</v>
      </c>
      <c r="D966">
        <v>2501371.6259738049</v>
      </c>
      <c r="E966">
        <v>2.599543759124775E-5</v>
      </c>
      <c r="F966">
        <v>2.5920904158505433E-5</v>
      </c>
      <c r="G966">
        <v>7.4533432742316833E-8</v>
      </c>
      <c r="H966" t="b">
        <v>0</v>
      </c>
    </row>
    <row r="967" spans="1:8" x14ac:dyDescent="0.15">
      <c r="A967">
        <v>39</v>
      </c>
      <c r="B967">
        <v>18</v>
      </c>
      <c r="C967">
        <v>775501.07421875</v>
      </c>
      <c r="D967">
        <v>895882.68213543063</v>
      </c>
      <c r="E967">
        <v>2.5947697042239047E-5</v>
      </c>
      <c r="F967">
        <v>2.5920904158505433E-5</v>
      </c>
      <c r="G967">
        <v>2.6792883733613561E-8</v>
      </c>
      <c r="H967" t="b">
        <v>0</v>
      </c>
    </row>
    <row r="968" spans="1:8" x14ac:dyDescent="0.15">
      <c r="A968">
        <v>39</v>
      </c>
      <c r="B968">
        <v>19</v>
      </c>
      <c r="C968">
        <v>775411.07421875</v>
      </c>
      <c r="D968">
        <v>-1011905.6561239362</v>
      </c>
      <c r="E968">
        <v>2.5890507246169711E-5</v>
      </c>
      <c r="F968">
        <v>2.5920904158505433E-5</v>
      </c>
      <c r="G968">
        <v>-3.0396912335722755E-8</v>
      </c>
      <c r="H968" t="b">
        <v>1</v>
      </c>
    </row>
    <row r="969" spans="1:8" x14ac:dyDescent="0.15">
      <c r="A969">
        <v>39</v>
      </c>
      <c r="B969">
        <v>20</v>
      </c>
      <c r="C969">
        <v>775456.07421875</v>
      </c>
      <c r="D969">
        <v>-60639.540517738125</v>
      </c>
      <c r="E969">
        <v>2.591908661863741E-5</v>
      </c>
      <c r="F969">
        <v>2.5920904158505433E-5</v>
      </c>
      <c r="G969">
        <v>-1.8175398680231835E-9</v>
      </c>
      <c r="H969" t="b">
        <v>1</v>
      </c>
    </row>
    <row r="970" spans="1:8" x14ac:dyDescent="0.15">
      <c r="A970">
        <v>39</v>
      </c>
      <c r="B970">
        <v>21</v>
      </c>
      <c r="C970">
        <v>775501.07421875</v>
      </c>
      <c r="D970">
        <v>895882.68213543063</v>
      </c>
      <c r="E970">
        <v>2.5947697042239047E-5</v>
      </c>
      <c r="F970">
        <v>2.5920904158505433E-5</v>
      </c>
      <c r="G970">
        <v>2.6792883733613561E-8</v>
      </c>
      <c r="H970" t="b">
        <v>0</v>
      </c>
    </row>
    <row r="971" spans="1:8" x14ac:dyDescent="0.15">
      <c r="A971">
        <v>39</v>
      </c>
      <c r="B971">
        <v>22</v>
      </c>
      <c r="C971">
        <v>775478.57421875</v>
      </c>
      <c r="D971">
        <v>417017.5246839152</v>
      </c>
      <c r="E971">
        <v>2.5933389551703717E-5</v>
      </c>
      <c r="F971">
        <v>2.5920904158505433E-5</v>
      </c>
      <c r="G971">
        <v>1.2485393198283787E-8</v>
      </c>
      <c r="H971" t="b">
        <v>0</v>
      </c>
    </row>
    <row r="972" spans="1:8" x14ac:dyDescent="0.15">
      <c r="A972">
        <v>39</v>
      </c>
      <c r="B972">
        <v>23</v>
      </c>
      <c r="C972">
        <v>775489.82421875</v>
      </c>
      <c r="D972">
        <v>656202.35262338049</v>
      </c>
      <c r="E972">
        <v>2.5940539837886784E-5</v>
      </c>
      <c r="F972">
        <v>2.5920904158505433E-5</v>
      </c>
      <c r="G972">
        <v>1.9635679381350464E-8</v>
      </c>
      <c r="H972" t="b">
        <v>0</v>
      </c>
    </row>
    <row r="973" spans="1:8" x14ac:dyDescent="0.15">
      <c r="A973">
        <v>39</v>
      </c>
      <c r="B973">
        <v>24</v>
      </c>
      <c r="C973">
        <v>775503.32421875</v>
      </c>
      <c r="D973">
        <v>943840.39698750095</v>
      </c>
      <c r="E973">
        <v>2.594912818321169E-5</v>
      </c>
      <c r="F973">
        <v>2.5920904158505433E-5</v>
      </c>
      <c r="G973">
        <v>2.8224024706256822E-8</v>
      </c>
      <c r="H973" t="b">
        <v>0</v>
      </c>
    </row>
    <row r="974" spans="1:8" x14ac:dyDescent="0.15">
      <c r="A974">
        <v>39</v>
      </c>
      <c r="B974">
        <v>25</v>
      </c>
      <c r="C974">
        <v>775496.57421875</v>
      </c>
      <c r="D974">
        <v>800006.09790660487</v>
      </c>
      <c r="E974">
        <v>2.5944834974095E-5</v>
      </c>
      <c r="F974">
        <v>2.5920904158505433E-5</v>
      </c>
      <c r="G974">
        <v>2.3930815589566664E-8</v>
      </c>
      <c r="H974" t="b">
        <v>0</v>
      </c>
    </row>
    <row r="975" spans="1:8" x14ac:dyDescent="0.15">
      <c r="A975">
        <v>39</v>
      </c>
      <c r="B975">
        <v>26</v>
      </c>
      <c r="C975">
        <v>775488.47421875002</v>
      </c>
      <c r="D975">
        <v>627558.740304837</v>
      </c>
      <c r="E975">
        <v>2.5939683969727244E-5</v>
      </c>
      <c r="F975">
        <v>2.5920904158505433E-5</v>
      </c>
      <c r="G975">
        <v>1.8779811221810257E-8</v>
      </c>
      <c r="H975" t="b">
        <v>0</v>
      </c>
    </row>
    <row r="976" spans="1:8" x14ac:dyDescent="0.15">
      <c r="A976">
        <v>39</v>
      </c>
      <c r="B976">
        <v>27</v>
      </c>
      <c r="C976">
        <v>775492.52421875007</v>
      </c>
      <c r="D976">
        <v>713761.44931931852</v>
      </c>
      <c r="E976">
        <v>2.594225935647848E-5</v>
      </c>
      <c r="F976">
        <v>2.5920904158505433E-5</v>
      </c>
      <c r="G976">
        <v>2.1355197973046378E-8</v>
      </c>
      <c r="H976" t="b">
        <v>0</v>
      </c>
    </row>
    <row r="977" spans="1:8" x14ac:dyDescent="0.15">
      <c r="A977">
        <v>39</v>
      </c>
      <c r="B977">
        <v>28</v>
      </c>
      <c r="C977">
        <v>775497.38421875006</v>
      </c>
      <c r="D977">
        <v>817174.01548491092</v>
      </c>
      <c r="E977">
        <v>2.5945347556366384E-5</v>
      </c>
      <c r="F977">
        <v>2.5920904158505433E-5</v>
      </c>
      <c r="G977">
        <v>2.4443397860950453E-8</v>
      </c>
      <c r="H977" t="b">
        <v>0</v>
      </c>
    </row>
    <row r="978" spans="1:8" x14ac:dyDescent="0.15">
      <c r="A978">
        <v>39</v>
      </c>
      <c r="B978">
        <v>29</v>
      </c>
      <c r="C978">
        <v>775494.95421875</v>
      </c>
      <c r="D978">
        <v>765417.18581006362</v>
      </c>
      <c r="E978">
        <v>2.5943802130551958E-5</v>
      </c>
      <c r="F978">
        <v>2.5920904158505433E-5</v>
      </c>
      <c r="G978">
        <v>2.2897972046524213E-8</v>
      </c>
      <c r="H978" t="b">
        <v>0</v>
      </c>
    </row>
    <row r="979" spans="1:8" x14ac:dyDescent="0.15">
      <c r="A979">
        <v>39</v>
      </c>
      <c r="B979">
        <v>30</v>
      </c>
      <c r="C979">
        <v>775496.16921874997</v>
      </c>
      <c r="D979">
        <v>791379.74556342652</v>
      </c>
      <c r="E979">
        <v>2.5944577401943719E-5</v>
      </c>
      <c r="F979">
        <v>2.5920904158505433E-5</v>
      </c>
      <c r="G979">
        <v>2.3673243438286092E-8</v>
      </c>
      <c r="H979" t="b">
        <v>0</v>
      </c>
    </row>
    <row r="980" spans="1:8" x14ac:dyDescent="0.15">
      <c r="A980">
        <v>39</v>
      </c>
      <c r="B980">
        <v>31</v>
      </c>
      <c r="C980">
        <v>775495.56171874993</v>
      </c>
      <c r="D980">
        <v>778354.97757075774</v>
      </c>
      <c r="E980">
        <v>2.5944188479213384E-5</v>
      </c>
      <c r="F980">
        <v>2.5920904158505433E-5</v>
      </c>
      <c r="G980">
        <v>2.3284320707951125E-8</v>
      </c>
      <c r="H980" t="b">
        <v>0</v>
      </c>
    </row>
    <row r="981" spans="1:8" x14ac:dyDescent="0.15">
      <c r="A981">
        <v>40</v>
      </c>
      <c r="B981">
        <v>1</v>
      </c>
      <c r="C981">
        <v>6050000</v>
      </c>
      <c r="D981">
        <v>2.3558588143406408E+18</v>
      </c>
      <c r="E981">
        <v>536.87092200000006</v>
      </c>
      <c r="F981">
        <v>1.7610239751775225E-5</v>
      </c>
      <c r="G981">
        <v>536.87090438976031</v>
      </c>
      <c r="H981" t="b">
        <v>0</v>
      </c>
    </row>
    <row r="982" spans="1:8" x14ac:dyDescent="0.15">
      <c r="A982">
        <v>40</v>
      </c>
      <c r="B982">
        <v>2</v>
      </c>
      <c r="C982">
        <v>3075000</v>
      </c>
      <c r="D982">
        <v>2.3558588143406408E+18</v>
      </c>
      <c r="E982">
        <v>536.87092200000006</v>
      </c>
      <c r="F982">
        <v>1.7610239751775225E-5</v>
      </c>
      <c r="G982">
        <v>536.87090438976031</v>
      </c>
      <c r="H982" t="b">
        <v>0</v>
      </c>
    </row>
    <row r="983" spans="1:8" x14ac:dyDescent="0.15">
      <c r="A983">
        <v>40</v>
      </c>
      <c r="B983">
        <v>3</v>
      </c>
      <c r="C983">
        <v>1587500</v>
      </c>
      <c r="D983">
        <v>39632696777521.789</v>
      </c>
      <c r="E983">
        <v>4.2808446102612106E-2</v>
      </c>
      <c r="F983">
        <v>1.7610239736655375E-5</v>
      </c>
      <c r="G983">
        <v>4.2790835862875451E-2</v>
      </c>
      <c r="H983" t="b">
        <v>0</v>
      </c>
    </row>
    <row r="984" spans="1:8" x14ac:dyDescent="0.15">
      <c r="A984">
        <v>40</v>
      </c>
      <c r="B984">
        <v>4</v>
      </c>
      <c r="C984">
        <v>843750</v>
      </c>
      <c r="D984">
        <v>-547567.39663273399</v>
      </c>
      <c r="E984">
        <v>4.5578828577761583E-6</v>
      </c>
      <c r="F984">
        <v>1.7610239736655148E-5</v>
      </c>
      <c r="G984">
        <v>-1.3052356878878991E-5</v>
      </c>
      <c r="H984" t="b">
        <v>1</v>
      </c>
    </row>
    <row r="985" spans="1:8" x14ac:dyDescent="0.15">
      <c r="A985">
        <v>40</v>
      </c>
      <c r="B985">
        <v>5</v>
      </c>
      <c r="C985">
        <v>1215625</v>
      </c>
      <c r="D985">
        <v>346282851060.65076</v>
      </c>
      <c r="E985">
        <v>9.8003764963226401E-4</v>
      </c>
      <c r="F985">
        <v>1.7610239736655159E-5</v>
      </c>
      <c r="G985">
        <v>9.6242740989560885E-4</v>
      </c>
      <c r="H985" t="b">
        <v>0</v>
      </c>
    </row>
    <row r="986" spans="1:8" x14ac:dyDescent="0.15">
      <c r="A986">
        <v>40</v>
      </c>
      <c r="B986">
        <v>6</v>
      </c>
      <c r="C986">
        <v>1029687.5</v>
      </c>
      <c r="D986">
        <v>6176965257.4375553</v>
      </c>
      <c r="E986">
        <v>6.3276484000645249E-5</v>
      </c>
      <c r="F986">
        <v>1.7610239736655145E-5</v>
      </c>
      <c r="G986">
        <v>4.5666244263990104E-5</v>
      </c>
      <c r="H986" t="b">
        <v>0</v>
      </c>
    </row>
    <row r="987" spans="1:8" x14ac:dyDescent="0.15">
      <c r="A987">
        <v>40</v>
      </c>
      <c r="B987">
        <v>7</v>
      </c>
      <c r="C987">
        <v>936718.75</v>
      </c>
      <c r="D987">
        <v>-78029996.350624025</v>
      </c>
      <c r="E987">
        <v>1.2365381115610695E-5</v>
      </c>
      <c r="F987">
        <v>1.7610239736655148E-5</v>
      </c>
      <c r="G987">
        <v>-5.2448586210444532E-6</v>
      </c>
      <c r="H987" t="b">
        <v>1</v>
      </c>
    </row>
    <row r="988" spans="1:8" x14ac:dyDescent="0.15">
      <c r="A988">
        <v>40</v>
      </c>
      <c r="B988">
        <v>8</v>
      </c>
      <c r="C988">
        <v>983203.125</v>
      </c>
      <c r="D988">
        <v>851929313.57960641</v>
      </c>
      <c r="E988">
        <v>2.7530968552368881E-5</v>
      </c>
      <c r="F988">
        <v>1.7610239736655148E-5</v>
      </c>
      <c r="G988">
        <v>9.9207288157137326E-6</v>
      </c>
      <c r="H988" t="b">
        <v>0</v>
      </c>
    </row>
    <row r="989" spans="1:8" x14ac:dyDescent="0.15">
      <c r="A989">
        <v>40</v>
      </c>
      <c r="B989">
        <v>9</v>
      </c>
      <c r="C989">
        <v>959960.9375</v>
      </c>
      <c r="D989">
        <v>2167480.3020404838</v>
      </c>
      <c r="E989">
        <v>1.7656229579631088E-5</v>
      </c>
      <c r="F989">
        <v>1.7610239736655148E-5</v>
      </c>
      <c r="G989">
        <v>4.5989842975939781E-8</v>
      </c>
      <c r="H989" t="b">
        <v>0</v>
      </c>
    </row>
    <row r="990" spans="1:8" x14ac:dyDescent="0.15">
      <c r="A990">
        <v>40</v>
      </c>
      <c r="B990">
        <v>10</v>
      </c>
      <c r="C990">
        <v>948339.84375</v>
      </c>
      <c r="D990">
        <v>-90381127.588420168</v>
      </c>
      <c r="E990">
        <v>1.4031295535689748E-5</v>
      </c>
      <c r="F990">
        <v>1.7610239736655148E-5</v>
      </c>
      <c r="G990">
        <v>-3.5789442009653999E-6</v>
      </c>
      <c r="H990" t="b">
        <v>1</v>
      </c>
    </row>
    <row r="991" spans="1:8" x14ac:dyDescent="0.15">
      <c r="A991">
        <v>40</v>
      </c>
      <c r="B991">
        <v>11</v>
      </c>
      <c r="C991">
        <v>954150.390625</v>
      </c>
      <c r="D991">
        <v>-66658032.756954752</v>
      </c>
      <c r="E991">
        <v>1.5750006647642879E-5</v>
      </c>
      <c r="F991">
        <v>1.7610239736655148E-5</v>
      </c>
      <c r="G991">
        <v>-1.8602330890122698E-6</v>
      </c>
      <c r="H991" t="b">
        <v>1</v>
      </c>
    </row>
    <row r="992" spans="1:8" x14ac:dyDescent="0.15">
      <c r="A992">
        <v>40</v>
      </c>
      <c r="B992">
        <v>12</v>
      </c>
      <c r="C992">
        <v>957055.6640625</v>
      </c>
      <c r="D992">
        <v>-38570255.410059109</v>
      </c>
      <c r="E992">
        <v>1.6678594044839461E-5</v>
      </c>
      <c r="F992">
        <v>1.7610239736655148E-5</v>
      </c>
      <c r="G992">
        <v>-9.3164569181568716E-7</v>
      </c>
      <c r="H992" t="b">
        <v>1</v>
      </c>
    </row>
    <row r="993" spans="1:8" x14ac:dyDescent="0.15">
      <c r="A993">
        <v>40</v>
      </c>
      <c r="B993">
        <v>13</v>
      </c>
      <c r="C993">
        <v>958508.30078125</v>
      </c>
      <c r="D993">
        <v>-19870583.009001113</v>
      </c>
      <c r="E993">
        <v>1.7161139303824237E-5</v>
      </c>
      <c r="F993">
        <v>1.7610239736655148E-5</v>
      </c>
      <c r="G993">
        <v>-4.4910043283091089E-7</v>
      </c>
      <c r="H993" t="b">
        <v>1</v>
      </c>
    </row>
    <row r="994" spans="1:8" x14ac:dyDescent="0.15">
      <c r="A994">
        <v>40</v>
      </c>
      <c r="B994">
        <v>14</v>
      </c>
      <c r="C994">
        <v>959008.30078125</v>
      </c>
      <c r="D994">
        <v>-12670781.619692555</v>
      </c>
      <c r="E994">
        <v>1.7330121736764043E-5</v>
      </c>
      <c r="F994">
        <v>1.7610239736655148E-5</v>
      </c>
      <c r="G994">
        <v>-2.801179998911056E-7</v>
      </c>
      <c r="H994" t="b">
        <v>1</v>
      </c>
    </row>
    <row r="995" spans="1:8" x14ac:dyDescent="0.15">
      <c r="A995">
        <v>40</v>
      </c>
      <c r="B995">
        <v>15</v>
      </c>
      <c r="C995">
        <v>959508.30078125</v>
      </c>
      <c r="D995">
        <v>-5068351.9044316681</v>
      </c>
      <c r="E995">
        <v>1.7500598543342899E-5</v>
      </c>
      <c r="F995">
        <v>1.7610239736655148E-5</v>
      </c>
      <c r="G995">
        <v>-1.0964119331224981E-7</v>
      </c>
      <c r="H995" t="b">
        <v>1</v>
      </c>
    </row>
    <row r="996" spans="1:8" x14ac:dyDescent="0.15">
      <c r="A996">
        <v>40</v>
      </c>
      <c r="B996">
        <v>16</v>
      </c>
      <c r="C996">
        <v>960008.30078125</v>
      </c>
      <c r="D996">
        <v>2944355.641465182</v>
      </c>
      <c r="E996">
        <v>1.7672588137275863E-5</v>
      </c>
      <c r="F996">
        <v>1.7610239736655148E-5</v>
      </c>
      <c r="G996">
        <v>6.2348400620714683E-8</v>
      </c>
      <c r="H996" t="b">
        <v>0</v>
      </c>
    </row>
    <row r="997" spans="1:8" x14ac:dyDescent="0.15">
      <c r="A997">
        <v>40</v>
      </c>
      <c r="B997">
        <v>17</v>
      </c>
      <c r="C997">
        <v>959758.30078125</v>
      </c>
      <c r="D997">
        <v>-1113687.2285156751</v>
      </c>
      <c r="E997">
        <v>1.7586404761867399E-5</v>
      </c>
      <c r="F997">
        <v>1.7610239736655148E-5</v>
      </c>
      <c r="G997">
        <v>-2.3834974787749654E-8</v>
      </c>
      <c r="H997" t="b">
        <v>1</v>
      </c>
    </row>
    <row r="998" spans="1:8" x14ac:dyDescent="0.15">
      <c r="A998">
        <v>40</v>
      </c>
      <c r="B998">
        <v>18</v>
      </c>
      <c r="C998">
        <v>959883.30078125</v>
      </c>
      <c r="D998">
        <v>902344.47328928532</v>
      </c>
      <c r="E998">
        <v>1.7629449003026288E-5</v>
      </c>
      <c r="F998">
        <v>1.7610239736655148E-5</v>
      </c>
      <c r="G998">
        <v>1.9209266371139459E-8</v>
      </c>
      <c r="H998" t="b">
        <v>0</v>
      </c>
    </row>
    <row r="999" spans="1:8" x14ac:dyDescent="0.15">
      <c r="A999">
        <v>40</v>
      </c>
      <c r="B999">
        <v>19</v>
      </c>
      <c r="C999">
        <v>960033.30078125</v>
      </c>
      <c r="D999">
        <v>3355798.6723075355</v>
      </c>
      <c r="E999">
        <v>1.7681225544131791E-5</v>
      </c>
      <c r="F999">
        <v>1.7610239736655148E-5</v>
      </c>
      <c r="G999">
        <v>7.0985807476642922E-8</v>
      </c>
      <c r="H999" t="b">
        <v>0</v>
      </c>
    </row>
    <row r="1000" spans="1:8" x14ac:dyDescent="0.15">
      <c r="A1000">
        <v>40</v>
      </c>
      <c r="B1000">
        <v>20</v>
      </c>
      <c r="C1000">
        <v>959958.30078125</v>
      </c>
      <c r="D1000">
        <v>2124426.2129572341</v>
      </c>
      <c r="E1000">
        <v>1.7655321084558287E-5</v>
      </c>
      <c r="F1000">
        <v>1.7610239736655148E-5</v>
      </c>
      <c r="G1000">
        <v>4.5081347903138709E-8</v>
      </c>
      <c r="H1000" t="b">
        <v>0</v>
      </c>
    </row>
    <row r="1001" spans="1:8" x14ac:dyDescent="0.15">
      <c r="A1001">
        <v>40</v>
      </c>
      <c r="B1001">
        <v>21</v>
      </c>
      <c r="C1001">
        <v>959868.30078125</v>
      </c>
      <c r="D1001">
        <v>659051.23941121798</v>
      </c>
      <c r="E1001">
        <v>1.7624278687379668E-5</v>
      </c>
      <c r="F1001">
        <v>1.7610239736655148E-5</v>
      </c>
      <c r="G1001">
        <v>1.4038950724519202E-8</v>
      </c>
      <c r="H1001" t="b">
        <v>0</v>
      </c>
    </row>
    <row r="1002" spans="1:8" x14ac:dyDescent="0.15">
      <c r="A1002">
        <v>40</v>
      </c>
      <c r="B1002">
        <v>22</v>
      </c>
      <c r="C1002">
        <v>959913.30078125</v>
      </c>
      <c r="D1002">
        <v>1390053.453576423</v>
      </c>
      <c r="E1002">
        <v>1.763979373401877E-5</v>
      </c>
      <c r="F1002">
        <v>1.7610239736655148E-5</v>
      </c>
      <c r="G1002">
        <v>2.9553997363621494E-8</v>
      </c>
      <c r="H1002" t="b">
        <v>0</v>
      </c>
    </row>
    <row r="1003" spans="1:8" x14ac:dyDescent="0.15">
      <c r="A1003">
        <v>40</v>
      </c>
      <c r="B1003">
        <v>23</v>
      </c>
      <c r="C1003">
        <v>959890.80078125</v>
      </c>
      <c r="D1003">
        <v>1024051.7473876998</v>
      </c>
      <c r="E1003">
        <v>1.763203298338282E-5</v>
      </c>
      <c r="F1003">
        <v>1.7610239736655148E-5</v>
      </c>
      <c r="G1003">
        <v>2.1793246727671401E-8</v>
      </c>
      <c r="H1003" t="b">
        <v>0</v>
      </c>
    </row>
    <row r="1004" spans="1:8" x14ac:dyDescent="0.15">
      <c r="A1004">
        <v>40</v>
      </c>
      <c r="B1004">
        <v>24</v>
      </c>
      <c r="C1004">
        <v>959863.80078125</v>
      </c>
      <c r="D1004">
        <v>586056.79818846739</v>
      </c>
      <c r="E1004">
        <v>1.7622726170201175E-5</v>
      </c>
      <c r="F1004">
        <v>1.7610239736655148E-5</v>
      </c>
      <c r="G1004">
        <v>1.2486433546026772E-8</v>
      </c>
      <c r="H1004" t="b">
        <v>0</v>
      </c>
    </row>
    <row r="1005" spans="1:8" x14ac:dyDescent="0.15">
      <c r="A1005">
        <v>40</v>
      </c>
      <c r="B1005">
        <v>25</v>
      </c>
      <c r="C1005">
        <v>959877.30078125</v>
      </c>
      <c r="D1005">
        <v>804902.79317782354</v>
      </c>
      <c r="E1005">
        <v>1.7627379023428107E-5</v>
      </c>
      <c r="F1005">
        <v>1.7610239736655148E-5</v>
      </c>
      <c r="G1005">
        <v>1.7139286772958868E-8</v>
      </c>
      <c r="H1005" t="b">
        <v>0</v>
      </c>
    </row>
    <row r="1006" spans="1:8" x14ac:dyDescent="0.15">
      <c r="A1006">
        <v>40</v>
      </c>
      <c r="B1006">
        <v>26</v>
      </c>
      <c r="C1006">
        <v>959893.50078124995</v>
      </c>
      <c r="D1006">
        <v>1067917.906305572</v>
      </c>
      <c r="E1006">
        <v>1.7632963908203994E-5</v>
      </c>
      <c r="F1006">
        <v>1.7610239736655148E-5</v>
      </c>
      <c r="G1006">
        <v>2.2724171548845504E-8</v>
      </c>
      <c r="H1006" t="b">
        <v>0</v>
      </c>
    </row>
    <row r="1007" spans="1:8" x14ac:dyDescent="0.15">
      <c r="A1007">
        <v>40</v>
      </c>
      <c r="B1007">
        <v>27</v>
      </c>
      <c r="C1007">
        <v>959885.40078124998</v>
      </c>
      <c r="D1007">
        <v>936355.80127066351</v>
      </c>
      <c r="E1007">
        <v>1.7630171266579185E-5</v>
      </c>
      <c r="F1007">
        <v>1.7610239736655148E-5</v>
      </c>
      <c r="G1007">
        <v>1.9931529924036641E-8</v>
      </c>
      <c r="H1007" t="b">
        <v>0</v>
      </c>
    </row>
    <row r="1008" spans="1:8" x14ac:dyDescent="0.15">
      <c r="A1008">
        <v>40</v>
      </c>
      <c r="B1008">
        <v>28</v>
      </c>
      <c r="C1008">
        <v>959889.45078125002</v>
      </c>
      <c r="D1008">
        <v>1002123.2147161966</v>
      </c>
      <c r="E1008">
        <v>1.7631567537579616E-5</v>
      </c>
      <c r="F1008">
        <v>1.7610239736655148E-5</v>
      </c>
      <c r="G1008">
        <v>2.1327800924468018E-8</v>
      </c>
      <c r="H1008" t="b">
        <v>0</v>
      </c>
    </row>
    <row r="1009" spans="1:8" x14ac:dyDescent="0.15">
      <c r="A1009">
        <v>40</v>
      </c>
      <c r="B1009">
        <v>29</v>
      </c>
      <c r="C1009">
        <v>959887.42578125</v>
      </c>
      <c r="D1009">
        <v>969236.09845236083</v>
      </c>
      <c r="E1009">
        <v>1.7630869389626383E-5</v>
      </c>
      <c r="F1009">
        <v>1.7610239736655148E-5</v>
      </c>
      <c r="G1009">
        <v>2.0629652971234925E-8</v>
      </c>
      <c r="H1009" t="b">
        <v>0</v>
      </c>
    </row>
    <row r="1010" spans="1:8" x14ac:dyDescent="0.15">
      <c r="A1010">
        <v>41</v>
      </c>
      <c r="B1010">
        <v>1</v>
      </c>
      <c r="C1010">
        <v>6050000</v>
      </c>
      <c r="D1010">
        <v>2.0014177576719053E+18</v>
      </c>
      <c r="E1010">
        <v>536.87092200000006</v>
      </c>
      <c r="F1010">
        <v>1.7138645148406795E-5</v>
      </c>
      <c r="G1010">
        <v>536.87090486135492</v>
      </c>
      <c r="H1010" t="b">
        <v>0</v>
      </c>
    </row>
    <row r="1011" spans="1:8" x14ac:dyDescent="0.15">
      <c r="A1011">
        <v>41</v>
      </c>
      <c r="B1011">
        <v>2</v>
      </c>
      <c r="C1011">
        <v>3075000</v>
      </c>
      <c r="D1011">
        <v>7.0413747963404928E+16</v>
      </c>
      <c r="E1011">
        <v>28.419111708336199</v>
      </c>
      <c r="F1011">
        <v>1.7138645151959508E-5</v>
      </c>
      <c r="G1011">
        <v>28.419094569691048</v>
      </c>
      <c r="H1011" t="b">
        <v>0</v>
      </c>
    </row>
    <row r="1012" spans="1:8" x14ac:dyDescent="0.15">
      <c r="A1012">
        <v>41</v>
      </c>
      <c r="B1012">
        <v>3</v>
      </c>
      <c r="C1012">
        <v>1587500</v>
      </c>
      <c r="D1012">
        <v>7270493750359.8613</v>
      </c>
      <c r="E1012">
        <v>1.2475503675915652E-2</v>
      </c>
      <c r="F1012">
        <v>1.7138645153258816E-5</v>
      </c>
      <c r="G1012">
        <v>1.2458365030762393E-2</v>
      </c>
      <c r="H1012" t="b">
        <v>0</v>
      </c>
    </row>
    <row r="1013" spans="1:8" x14ac:dyDescent="0.15">
      <c r="A1013">
        <v>41</v>
      </c>
      <c r="B1013">
        <v>4</v>
      </c>
      <c r="C1013">
        <v>843750</v>
      </c>
      <c r="D1013">
        <v>-1399726.8269288184</v>
      </c>
      <c r="E1013">
        <v>5.9469921465782339E-6</v>
      </c>
      <c r="F1013">
        <v>1.7138645153259314E-5</v>
      </c>
      <c r="G1013">
        <v>-1.119165300668108E-5</v>
      </c>
      <c r="H1013" t="b">
        <v>1</v>
      </c>
    </row>
    <row r="1014" spans="1:8" x14ac:dyDescent="0.15">
      <c r="A1014">
        <v>41</v>
      </c>
      <c r="B1014">
        <v>5</v>
      </c>
      <c r="C1014">
        <v>1215625</v>
      </c>
      <c r="D1014">
        <v>112923604454.53868</v>
      </c>
      <c r="E1014">
        <v>4.9094759208931805E-4</v>
      </c>
      <c r="F1014">
        <v>1.7138645153259304E-5</v>
      </c>
      <c r="G1014">
        <v>4.7380894693605874E-4</v>
      </c>
      <c r="H1014" t="b">
        <v>0</v>
      </c>
    </row>
    <row r="1015" spans="1:8" x14ac:dyDescent="0.15">
      <c r="A1015">
        <v>41</v>
      </c>
      <c r="B1015">
        <v>6</v>
      </c>
      <c r="C1015">
        <v>1029687.5</v>
      </c>
      <c r="D1015">
        <v>2795492655.3218622</v>
      </c>
      <c r="E1015">
        <v>4.692293879610451E-5</v>
      </c>
      <c r="F1015">
        <v>1.7138645153259314E-5</v>
      </c>
      <c r="G1015">
        <v>2.9784293642845196E-5</v>
      </c>
      <c r="H1015" t="b">
        <v>0</v>
      </c>
    </row>
    <row r="1016" spans="1:8" x14ac:dyDescent="0.15">
      <c r="A1016">
        <v>41</v>
      </c>
      <c r="B1016">
        <v>7</v>
      </c>
      <c r="C1016">
        <v>936718.75</v>
      </c>
      <c r="D1016">
        <v>-56333743.665056147</v>
      </c>
      <c r="E1016">
        <v>1.3362771206261914E-5</v>
      </c>
      <c r="F1016">
        <v>1.7138645153259314E-5</v>
      </c>
      <c r="G1016">
        <v>-3.7758739469974006E-6</v>
      </c>
      <c r="H1016" t="b">
        <v>1</v>
      </c>
    </row>
    <row r="1017" spans="1:8" x14ac:dyDescent="0.15">
      <c r="A1017">
        <v>41</v>
      </c>
      <c r="B1017">
        <v>8</v>
      </c>
      <c r="C1017">
        <v>983203.125</v>
      </c>
      <c r="D1017">
        <v>326077889.23172265</v>
      </c>
      <c r="E1017">
        <v>2.2992746282688552E-5</v>
      </c>
      <c r="F1017">
        <v>1.7138645153259314E-5</v>
      </c>
      <c r="G1017">
        <v>5.8541011294292379E-6</v>
      </c>
      <c r="H1017" t="b">
        <v>0</v>
      </c>
    </row>
    <row r="1018" spans="1:8" x14ac:dyDescent="0.15">
      <c r="A1018">
        <v>41</v>
      </c>
      <c r="B1018">
        <v>9</v>
      </c>
      <c r="C1018">
        <v>959960.9375</v>
      </c>
      <c r="D1018">
        <v>-27810392.611573331</v>
      </c>
      <c r="E1018">
        <v>1.6117214921238079E-5</v>
      </c>
      <c r="F1018">
        <v>1.7138645153259314E-5</v>
      </c>
      <c r="G1018">
        <v>-1.0214302320212356E-6</v>
      </c>
      <c r="H1018" t="b">
        <v>1</v>
      </c>
    </row>
    <row r="1019" spans="1:8" x14ac:dyDescent="0.15">
      <c r="A1019">
        <v>41</v>
      </c>
      <c r="B1019">
        <v>10</v>
      </c>
      <c r="C1019">
        <v>971582.03125</v>
      </c>
      <c r="D1019">
        <v>75957849.47348164</v>
      </c>
      <c r="E1019">
        <v>1.9045388593252524E-5</v>
      </c>
      <c r="F1019">
        <v>1.7138645153259314E-5</v>
      </c>
      <c r="G1019">
        <v>1.9067434399932101E-6</v>
      </c>
      <c r="H1019" t="b">
        <v>0</v>
      </c>
    </row>
    <row r="1020" spans="1:8" x14ac:dyDescent="0.15">
      <c r="A1020">
        <v>41</v>
      </c>
      <c r="B1020">
        <v>11</v>
      </c>
      <c r="C1020">
        <v>965771.484375</v>
      </c>
      <c r="D1020">
        <v>5440195.1491276594</v>
      </c>
      <c r="E1020">
        <v>1.7306397836022084E-5</v>
      </c>
      <c r="F1020">
        <v>1.7138645153259314E-5</v>
      </c>
      <c r="G1020">
        <v>1.6775268276276968E-7</v>
      </c>
      <c r="H1020" t="b">
        <v>0</v>
      </c>
    </row>
    <row r="1021" spans="1:8" x14ac:dyDescent="0.15">
      <c r="A1021">
        <v>41</v>
      </c>
      <c r="B1021">
        <v>12</v>
      </c>
      <c r="C1021">
        <v>962866.2109375</v>
      </c>
      <c r="D1021">
        <v>-18681319.253074441</v>
      </c>
      <c r="E1021">
        <v>1.6491704135412939E-5</v>
      </c>
      <c r="F1021">
        <v>1.7138645153259314E-5</v>
      </c>
      <c r="G1021">
        <v>-6.4694101784637536E-7</v>
      </c>
      <c r="H1021" t="b">
        <v>1</v>
      </c>
    </row>
    <row r="1022" spans="1:8" x14ac:dyDescent="0.15">
      <c r="A1022">
        <v>41</v>
      </c>
      <c r="B1022">
        <v>13</v>
      </c>
      <c r="C1022">
        <v>964318.84765625</v>
      </c>
      <c r="D1022">
        <v>-7488542.7642332455</v>
      </c>
      <c r="E1022">
        <v>1.689422763741485E-5</v>
      </c>
      <c r="F1022">
        <v>1.7138645153259314E-5</v>
      </c>
      <c r="G1022">
        <v>-2.4441751584446458E-7</v>
      </c>
      <c r="H1022" t="b">
        <v>1</v>
      </c>
    </row>
    <row r="1023" spans="1:8" x14ac:dyDescent="0.15">
      <c r="A1023">
        <v>41</v>
      </c>
      <c r="B1023">
        <v>14</v>
      </c>
      <c r="C1023">
        <v>964818.84765625</v>
      </c>
      <c r="D1023">
        <v>-3235757.9926938284</v>
      </c>
      <c r="E1023">
        <v>1.7035107999945255E-5</v>
      </c>
      <c r="F1023">
        <v>1.7138645153259314E-5</v>
      </c>
      <c r="G1023">
        <v>-1.0353715331405899E-7</v>
      </c>
      <c r="H1023" t="b">
        <v>1</v>
      </c>
    </row>
    <row r="1024" spans="1:8" x14ac:dyDescent="0.15">
      <c r="A1024">
        <v>41</v>
      </c>
      <c r="B1024">
        <v>15</v>
      </c>
      <c r="C1024">
        <v>965318.84765625</v>
      </c>
      <c r="D1024">
        <v>1223037.1097208951</v>
      </c>
      <c r="E1024">
        <v>1.7177022252451196E-5</v>
      </c>
      <c r="F1024">
        <v>1.7138645153259314E-5</v>
      </c>
      <c r="G1024">
        <v>3.83770991918813E-8</v>
      </c>
      <c r="H1024" t="b">
        <v>0</v>
      </c>
    </row>
    <row r="1025" spans="1:8" x14ac:dyDescent="0.15">
      <c r="A1025">
        <v>41</v>
      </c>
      <c r="B1025">
        <v>16</v>
      </c>
      <c r="C1025">
        <v>965068.84765625</v>
      </c>
      <c r="D1025">
        <v>-1032369.9049884366</v>
      </c>
      <c r="E1025">
        <v>1.7105933980523871E-5</v>
      </c>
      <c r="F1025">
        <v>1.7138645153259314E-5</v>
      </c>
      <c r="G1025">
        <v>-3.2711172735443129E-8</v>
      </c>
      <c r="H1025" t="b">
        <v>1</v>
      </c>
    </row>
    <row r="1026" spans="1:8" x14ac:dyDescent="0.15">
      <c r="A1026">
        <v>41</v>
      </c>
      <c r="B1026">
        <v>17</v>
      </c>
      <c r="C1026">
        <v>965193.84765625</v>
      </c>
      <c r="D1026">
        <v>88876.450538709512</v>
      </c>
      <c r="E1026">
        <v>1.7141447548242743E-5</v>
      </c>
      <c r="F1026">
        <v>1.7138645153259314E-5</v>
      </c>
      <c r="G1026">
        <v>2.8023949834283341E-9</v>
      </c>
      <c r="H1026" t="b">
        <v>0</v>
      </c>
    </row>
    <row r="1027" spans="1:8" x14ac:dyDescent="0.15">
      <c r="A1027">
        <v>41</v>
      </c>
      <c r="B1027">
        <v>18</v>
      </c>
      <c r="C1027">
        <v>965343.84765625</v>
      </c>
      <c r="D1027">
        <v>1451451.8187648111</v>
      </c>
      <c r="E1027">
        <v>1.7184145426932514E-5</v>
      </c>
      <c r="F1027">
        <v>1.7138645153259314E-5</v>
      </c>
      <c r="G1027">
        <v>4.5500273673199196E-8</v>
      </c>
      <c r="H1027" t="b">
        <v>0</v>
      </c>
    </row>
    <row r="1028" spans="1:8" x14ac:dyDescent="0.15">
      <c r="A1028">
        <v>41</v>
      </c>
      <c r="B1028">
        <v>19</v>
      </c>
      <c r="C1028">
        <v>965268.84765625</v>
      </c>
      <c r="D1028">
        <v>767778.73610099358</v>
      </c>
      <c r="E1028">
        <v>1.7162783735835361E-5</v>
      </c>
      <c r="F1028">
        <v>1.7138645153259314E-5</v>
      </c>
      <c r="G1028">
        <v>2.4138582576046667E-8</v>
      </c>
      <c r="H1028" t="b">
        <v>0</v>
      </c>
    </row>
    <row r="1029" spans="1:8" x14ac:dyDescent="0.15">
      <c r="A1029">
        <v>41</v>
      </c>
      <c r="B1029">
        <v>20</v>
      </c>
      <c r="C1029">
        <v>965306.34765625</v>
      </c>
      <c r="D1029">
        <v>1109026.2155839542</v>
      </c>
      <c r="E1029">
        <v>1.7173461644407414E-5</v>
      </c>
      <c r="F1029">
        <v>1.7138645153259314E-5</v>
      </c>
      <c r="G1029">
        <v>3.4816491148099337E-8</v>
      </c>
      <c r="H1029" t="b">
        <v>0</v>
      </c>
    </row>
    <row r="1030" spans="1:8" x14ac:dyDescent="0.15">
      <c r="A1030">
        <v>41</v>
      </c>
      <c r="B1030">
        <v>21</v>
      </c>
      <c r="C1030">
        <v>965287.59765625</v>
      </c>
      <c r="D1030">
        <v>938319.92262637871</v>
      </c>
      <c r="E1030">
        <v>1.7168123978138227E-5</v>
      </c>
      <c r="F1030">
        <v>1.7138645153259314E-5</v>
      </c>
      <c r="G1030">
        <v>2.9478824878912454E-8</v>
      </c>
      <c r="H1030" t="b">
        <v>0</v>
      </c>
    </row>
    <row r="1031" spans="1:8" x14ac:dyDescent="0.15">
      <c r="A1031">
        <v>41</v>
      </c>
      <c r="B1031">
        <v>22</v>
      </c>
      <c r="C1031">
        <v>965296.97265625</v>
      </c>
      <c r="D1031">
        <v>1023668.6327461087</v>
      </c>
      <c r="E1031">
        <v>1.7170793639112016E-5</v>
      </c>
      <c r="F1031">
        <v>1.7138645153259314E-5</v>
      </c>
      <c r="G1031">
        <v>3.2148485852701811E-8</v>
      </c>
      <c r="H1031" t="b">
        <v>0</v>
      </c>
    </row>
    <row r="1032" spans="1:8" x14ac:dyDescent="0.15">
      <c r="A1032">
        <v>41</v>
      </c>
      <c r="B1032">
        <v>23</v>
      </c>
      <c r="C1032">
        <v>965292.28515625</v>
      </c>
      <c r="D1032">
        <v>980985.0778061928</v>
      </c>
      <c r="E1032">
        <v>1.716945876274309E-5</v>
      </c>
      <c r="F1032">
        <v>1.7138645153259314E-5</v>
      </c>
      <c r="G1032">
        <v>3.0813609483775574E-8</v>
      </c>
      <c r="H1032" t="b">
        <v>0</v>
      </c>
    </row>
    <row r="1033" spans="1:8" x14ac:dyDescent="0.15">
      <c r="A1033">
        <v>41</v>
      </c>
      <c r="B1033">
        <v>24</v>
      </c>
      <c r="C1033">
        <v>965286.66015625</v>
      </c>
      <c r="D1033">
        <v>929789.09930431005</v>
      </c>
      <c r="E1033">
        <v>1.7167857032228141E-5</v>
      </c>
      <c r="F1033">
        <v>1.7138645153259314E-5</v>
      </c>
      <c r="G1033">
        <v>2.9211878968826721E-8</v>
      </c>
      <c r="H1033" t="b">
        <v>0</v>
      </c>
    </row>
    <row r="1034" spans="1:8" x14ac:dyDescent="0.15">
      <c r="A1034">
        <v>41</v>
      </c>
      <c r="B1034">
        <v>25</v>
      </c>
      <c r="C1034">
        <v>965289.47265625</v>
      </c>
      <c r="D1034">
        <v>955383.77691411192</v>
      </c>
      <c r="E1034">
        <v>1.7168657880969061E-5</v>
      </c>
      <c r="F1034">
        <v>1.7138645153259314E-5</v>
      </c>
      <c r="G1034">
        <v>3.0012727709746517E-8</v>
      </c>
      <c r="H1034" t="b">
        <v>0</v>
      </c>
    </row>
    <row r="1035" spans="1:8" x14ac:dyDescent="0.15">
      <c r="A1035">
        <v>41</v>
      </c>
      <c r="B1035">
        <v>26</v>
      </c>
      <c r="C1035">
        <v>965292.84765625</v>
      </c>
      <c r="D1035">
        <v>986041.4781700538</v>
      </c>
      <c r="E1035">
        <v>1.7169616920786884E-5</v>
      </c>
      <c r="F1035">
        <v>1.7138645153259314E-5</v>
      </c>
      <c r="G1035">
        <v>3.0971767527569359E-8</v>
      </c>
      <c r="H1035" t="b">
        <v>0</v>
      </c>
    </row>
    <row r="1036" spans="1:8" x14ac:dyDescent="0.15">
      <c r="A1036">
        <v>41</v>
      </c>
      <c r="B1036">
        <v>27</v>
      </c>
      <c r="C1036">
        <v>965291.16015625</v>
      </c>
      <c r="D1036">
        <v>970679.11828885344</v>
      </c>
      <c r="E1036">
        <v>1.7169136383853742E-5</v>
      </c>
      <c r="F1036">
        <v>1.7138645153259314E-5</v>
      </c>
      <c r="G1036">
        <v>3.0491230594427942E-8</v>
      </c>
      <c r="H1036" t="b">
        <v>0</v>
      </c>
    </row>
    <row r="1037" spans="1:8" x14ac:dyDescent="0.15">
      <c r="A1037">
        <v>42</v>
      </c>
      <c r="B1037">
        <v>1</v>
      </c>
      <c r="C1037">
        <v>6050000</v>
      </c>
      <c r="D1037">
        <v>1.9906548464538632E+18</v>
      </c>
      <c r="E1037">
        <v>297.35468464131282</v>
      </c>
      <c r="F1037">
        <v>1.1206576800759649E-5</v>
      </c>
      <c r="G1037">
        <v>297.35467343473601</v>
      </c>
      <c r="H1037" t="b">
        <v>0</v>
      </c>
    </row>
    <row r="1038" spans="1:8" x14ac:dyDescent="0.15">
      <c r="A1038">
        <v>42</v>
      </c>
      <c r="B1038">
        <v>2</v>
      </c>
      <c r="C1038">
        <v>3075000</v>
      </c>
      <c r="D1038">
        <v>5083380915931252</v>
      </c>
      <c r="E1038">
        <v>1.6557672774191239</v>
      </c>
      <c r="F1038">
        <v>1.1206576779221322E-5</v>
      </c>
      <c r="G1038">
        <v>1.6557560708423447</v>
      </c>
      <c r="H1038" t="b">
        <v>0</v>
      </c>
    </row>
    <row r="1039" spans="1:8" x14ac:dyDescent="0.15">
      <c r="A1039">
        <v>42</v>
      </c>
      <c r="B1039">
        <v>3</v>
      </c>
      <c r="C1039">
        <v>1587500</v>
      </c>
      <c r="D1039">
        <v>449047653785.7132</v>
      </c>
      <c r="E1039">
        <v>8.1582766543698349E-4</v>
      </c>
      <c r="F1039">
        <v>1.1206576779235742E-5</v>
      </c>
      <c r="G1039">
        <v>8.0462108865774775E-4</v>
      </c>
      <c r="H1039" t="b">
        <v>0</v>
      </c>
    </row>
    <row r="1040" spans="1:8" x14ac:dyDescent="0.15">
      <c r="A1040">
        <v>42</v>
      </c>
      <c r="B1040">
        <v>4</v>
      </c>
      <c r="C1040">
        <v>843750</v>
      </c>
      <c r="D1040">
        <v>-226829.03670421682</v>
      </c>
      <c r="E1040">
        <v>6.8316943377533304E-7</v>
      </c>
      <c r="F1040">
        <v>1.1206576779235746E-5</v>
      </c>
      <c r="G1040">
        <v>-1.0523407345460413E-5</v>
      </c>
      <c r="H1040" t="b">
        <v>1</v>
      </c>
    </row>
    <row r="1041" spans="1:8" x14ac:dyDescent="0.15">
      <c r="A1041">
        <v>42</v>
      </c>
      <c r="B1041">
        <v>5</v>
      </c>
      <c r="C1041">
        <v>1215625</v>
      </c>
      <c r="D1041">
        <v>1125133461.6096017</v>
      </c>
      <c r="E1041">
        <v>2.0329811386175636E-5</v>
      </c>
      <c r="F1041">
        <v>1.1206576779235746E-5</v>
      </c>
      <c r="G1041">
        <v>9.1232346069398903E-6</v>
      </c>
      <c r="H1041" t="b">
        <v>0</v>
      </c>
    </row>
    <row r="1042" spans="1:8" x14ac:dyDescent="0.15">
      <c r="A1042">
        <v>42</v>
      </c>
      <c r="B1042">
        <v>6</v>
      </c>
      <c r="C1042">
        <v>1029687.5</v>
      </c>
      <c r="D1042">
        <v>-2726262.4671112727</v>
      </c>
      <c r="E1042">
        <v>4.6203646757532238E-6</v>
      </c>
      <c r="F1042">
        <v>1.1206576779235746E-5</v>
      </c>
      <c r="G1042">
        <v>-6.5862121034825217E-6</v>
      </c>
      <c r="H1042" t="b">
        <v>1</v>
      </c>
    </row>
    <row r="1043" spans="1:8" x14ac:dyDescent="0.15">
      <c r="A1043">
        <v>42</v>
      </c>
      <c r="B1043">
        <v>7</v>
      </c>
      <c r="C1043">
        <v>1122656.25</v>
      </c>
      <c r="D1043">
        <v>-47042189.075201347</v>
      </c>
      <c r="E1043">
        <v>8.9561927801075702E-6</v>
      </c>
      <c r="F1043">
        <v>1.1206576779235746E-5</v>
      </c>
      <c r="G1043">
        <v>-2.2503839991281753E-6</v>
      </c>
      <c r="H1043" t="b">
        <v>1</v>
      </c>
    </row>
    <row r="1044" spans="1:8" x14ac:dyDescent="0.15">
      <c r="A1044">
        <v>42</v>
      </c>
      <c r="B1044">
        <v>8</v>
      </c>
      <c r="C1044">
        <v>1169140.625</v>
      </c>
      <c r="D1044">
        <v>52510559.367032573</v>
      </c>
      <c r="E1044">
        <v>1.2185097619146114E-5</v>
      </c>
      <c r="F1044">
        <v>1.1206576779235746E-5</v>
      </c>
      <c r="G1044">
        <v>9.7852083991036807E-7</v>
      </c>
      <c r="H1044" t="b">
        <v>0</v>
      </c>
    </row>
    <row r="1045" spans="1:8" x14ac:dyDescent="0.15">
      <c r="A1045">
        <v>42</v>
      </c>
      <c r="B1045">
        <v>9</v>
      </c>
      <c r="C1045">
        <v>1145898.4375</v>
      </c>
      <c r="D1045">
        <v>-26721936.373702087</v>
      </c>
      <c r="E1045">
        <v>1.0468934876873991E-5</v>
      </c>
      <c r="F1045">
        <v>1.1206576779235746E-5</v>
      </c>
      <c r="G1045">
        <v>-7.3764190236175432E-7</v>
      </c>
      <c r="H1045" t="b">
        <v>1</v>
      </c>
    </row>
    <row r="1046" spans="1:8" x14ac:dyDescent="0.15">
      <c r="A1046">
        <v>42</v>
      </c>
      <c r="B1046">
        <v>10</v>
      </c>
      <c r="C1046">
        <v>1157519.53125</v>
      </c>
      <c r="D1046">
        <v>4192695.5080837724</v>
      </c>
      <c r="E1046">
        <v>1.1300339797629218E-5</v>
      </c>
      <c r="F1046">
        <v>1.1206576779235746E-5</v>
      </c>
      <c r="G1046">
        <v>9.3763018393472377E-8</v>
      </c>
      <c r="H1046" t="b">
        <v>0</v>
      </c>
    </row>
    <row r="1047" spans="1:8" x14ac:dyDescent="0.15">
      <c r="A1047">
        <v>42</v>
      </c>
      <c r="B1047">
        <v>11</v>
      </c>
      <c r="C1047">
        <v>1151708.984375</v>
      </c>
      <c r="D1047">
        <v>-13273535.600771312</v>
      </c>
      <c r="E1047">
        <v>1.0878105644577484E-5</v>
      </c>
      <c r="F1047">
        <v>1.1206576779235746E-5</v>
      </c>
      <c r="G1047">
        <v>-3.284711346582615E-7</v>
      </c>
      <c r="H1047" t="b">
        <v>1</v>
      </c>
    </row>
    <row r="1048" spans="1:8" x14ac:dyDescent="0.15">
      <c r="A1048">
        <v>42</v>
      </c>
      <c r="B1048">
        <v>12</v>
      </c>
      <c r="C1048">
        <v>1154614.2578125</v>
      </c>
      <c r="D1048">
        <v>-5063426.7177898306</v>
      </c>
      <c r="E1048">
        <v>1.1087572383461474E-5</v>
      </c>
      <c r="F1048">
        <v>1.1206576779235746E-5</v>
      </c>
      <c r="G1048">
        <v>-1.1900439577427197E-7</v>
      </c>
      <c r="H1048" t="b">
        <v>1</v>
      </c>
    </row>
    <row r="1049" spans="1:8" x14ac:dyDescent="0.15">
      <c r="A1049">
        <v>42</v>
      </c>
      <c r="B1049">
        <v>13</v>
      </c>
      <c r="C1049">
        <v>1156066.89453125</v>
      </c>
      <c r="D1049">
        <v>-568685.28580676415</v>
      </c>
      <c r="E1049">
        <v>1.1193542040770051E-5</v>
      </c>
      <c r="F1049">
        <v>1.1206576779235746E-5</v>
      </c>
      <c r="G1049">
        <v>-1.3034738465694625E-8</v>
      </c>
      <c r="H1049" t="b">
        <v>1</v>
      </c>
    </row>
    <row r="1050" spans="1:8" x14ac:dyDescent="0.15">
      <c r="A1050">
        <v>42</v>
      </c>
      <c r="B1050">
        <v>14</v>
      </c>
      <c r="C1050">
        <v>1156566.89453125</v>
      </c>
      <c r="D1050">
        <v>1039810.2046651704</v>
      </c>
      <c r="E1050">
        <v>1.1230207797852253E-5</v>
      </c>
      <c r="F1050">
        <v>1.1206576779235746E-5</v>
      </c>
      <c r="G1050">
        <v>2.3631018616507578E-8</v>
      </c>
      <c r="H1050" t="b">
        <v>0</v>
      </c>
    </row>
    <row r="1051" spans="1:8" x14ac:dyDescent="0.15">
      <c r="A1051">
        <v>42</v>
      </c>
      <c r="B1051">
        <v>15</v>
      </c>
      <c r="C1051">
        <v>1157166.89453125</v>
      </c>
      <c r="D1051">
        <v>3012041.709681408</v>
      </c>
      <c r="E1051">
        <v>1.1274337368356756E-5</v>
      </c>
      <c r="F1051">
        <v>1.1206576779235746E-5</v>
      </c>
      <c r="G1051">
        <v>6.7760589121010183E-8</v>
      </c>
      <c r="H1051" t="b">
        <v>0</v>
      </c>
    </row>
    <row r="1052" spans="1:8" x14ac:dyDescent="0.15">
      <c r="A1052">
        <v>42</v>
      </c>
      <c r="B1052">
        <v>16</v>
      </c>
      <c r="C1052">
        <v>1156866.89453125</v>
      </c>
      <c r="D1052">
        <v>2020177.5914084136</v>
      </c>
      <c r="E1052">
        <v>1.1252254847537504E-5</v>
      </c>
      <c r="F1052">
        <v>1.1206576779235746E-5</v>
      </c>
      <c r="G1052">
        <v>4.5678068301758772E-8</v>
      </c>
      <c r="H1052" t="b">
        <v>0</v>
      </c>
    </row>
    <row r="1053" spans="1:8" x14ac:dyDescent="0.15">
      <c r="A1053">
        <v>42</v>
      </c>
      <c r="B1053">
        <v>17</v>
      </c>
      <c r="C1053">
        <v>1156506.89453125</v>
      </c>
      <c r="D1053">
        <v>845139.0444461084</v>
      </c>
      <c r="E1053">
        <v>1.1225803246755739E-5</v>
      </c>
      <c r="F1053">
        <v>1.1206576779235746E-5</v>
      </c>
      <c r="G1053">
        <v>1.9226467519993675E-8</v>
      </c>
      <c r="H1053" t="b">
        <v>0</v>
      </c>
    </row>
    <row r="1054" spans="1:8" x14ac:dyDescent="0.15">
      <c r="A1054">
        <v>42</v>
      </c>
      <c r="B1054">
        <v>18</v>
      </c>
      <c r="C1054">
        <v>1156686.89453125</v>
      </c>
      <c r="D1054">
        <v>1430580.4834058082</v>
      </c>
      <c r="E1054">
        <v>1.1239022363607028E-5</v>
      </c>
      <c r="F1054">
        <v>1.1206576779235746E-5</v>
      </c>
      <c r="G1054">
        <v>3.244558437128257E-8</v>
      </c>
      <c r="H1054" t="b">
        <v>0</v>
      </c>
    </row>
    <row r="1055" spans="1:8" x14ac:dyDescent="0.15">
      <c r="A1055">
        <v>42</v>
      </c>
      <c r="B1055">
        <v>19</v>
      </c>
      <c r="C1055">
        <v>1156596.89453125</v>
      </c>
      <c r="D1055">
        <v>1137357.7366339765</v>
      </c>
      <c r="E1055">
        <v>1.1232411513752658E-5</v>
      </c>
      <c r="F1055">
        <v>1.1206576779235746E-5</v>
      </c>
      <c r="G1055">
        <v>2.5834734516912689E-8</v>
      </c>
      <c r="H1055" t="b">
        <v>0</v>
      </c>
    </row>
    <row r="1056" spans="1:8" x14ac:dyDescent="0.15">
      <c r="A1056">
        <v>42</v>
      </c>
      <c r="B1056">
        <v>20</v>
      </c>
      <c r="C1056">
        <v>1156641.89453125</v>
      </c>
      <c r="D1056">
        <v>1283826.7379203022</v>
      </c>
      <c r="E1056">
        <v>1.123571623691992E-5</v>
      </c>
      <c r="F1056">
        <v>1.1206576779235746E-5</v>
      </c>
      <c r="G1056">
        <v>2.9139457684174502E-8</v>
      </c>
      <c r="H1056" t="b">
        <v>0</v>
      </c>
    </row>
    <row r="1057" spans="1:8" x14ac:dyDescent="0.15">
      <c r="A1057">
        <v>42</v>
      </c>
      <c r="B1057">
        <v>21</v>
      </c>
      <c r="C1057">
        <v>1156619.39453125</v>
      </c>
      <c r="D1057">
        <v>1210546.5886521442</v>
      </c>
      <c r="E1057">
        <v>1.1234063472633158E-5</v>
      </c>
      <c r="F1057">
        <v>1.1206576779235746E-5</v>
      </c>
      <c r="G1057">
        <v>2.7486693397412676E-8</v>
      </c>
      <c r="H1057" t="b">
        <v>0</v>
      </c>
    </row>
    <row r="1058" spans="1:8" x14ac:dyDescent="0.15">
      <c r="A1058">
        <v>42</v>
      </c>
      <c r="B1058">
        <v>22</v>
      </c>
      <c r="C1058">
        <v>1156592.39453125</v>
      </c>
      <c r="D1058">
        <v>1122722.3261480574</v>
      </c>
      <c r="E1058">
        <v>1.123208102466439E-5</v>
      </c>
      <c r="F1058">
        <v>1.1206576779235746E-5</v>
      </c>
      <c r="G1058">
        <v>2.5504245428644467E-8</v>
      </c>
      <c r="H1058" t="b">
        <v>0</v>
      </c>
    </row>
    <row r="1059" spans="1:8" x14ac:dyDescent="0.15">
      <c r="A1059">
        <v>42</v>
      </c>
      <c r="B1059">
        <v>23</v>
      </c>
      <c r="C1059">
        <v>1156605.89453125</v>
      </c>
      <c r="D1059">
        <v>1166636.2902304151</v>
      </c>
      <c r="E1059">
        <v>1.1233072515849408E-5</v>
      </c>
      <c r="F1059">
        <v>1.1206576779235746E-5</v>
      </c>
      <c r="G1059">
        <v>2.6495736613662952E-8</v>
      </c>
      <c r="H1059" t="b">
        <v>0</v>
      </c>
    </row>
    <row r="1060" spans="1:8" x14ac:dyDescent="0.15">
      <c r="A1060">
        <v>43</v>
      </c>
      <c r="B1060">
        <v>1</v>
      </c>
      <c r="C1060">
        <v>6050000</v>
      </c>
      <c r="D1060">
        <v>2.2446440949584161E+18</v>
      </c>
      <c r="E1060">
        <v>536.87092200000006</v>
      </c>
      <c r="F1060">
        <v>1.5834039459150517E-5</v>
      </c>
      <c r="G1060">
        <v>536.8709061659606</v>
      </c>
      <c r="H1060" t="b">
        <v>0</v>
      </c>
    </row>
    <row r="1061" spans="1:8" x14ac:dyDescent="0.15">
      <c r="A1061">
        <v>43</v>
      </c>
      <c r="B1061">
        <v>2</v>
      </c>
      <c r="C1061">
        <v>3075000</v>
      </c>
      <c r="D1061">
        <v>7.495121814574592E+17</v>
      </c>
      <c r="E1061">
        <v>203.84525463204835</v>
      </c>
      <c r="F1061">
        <v>1.5834039430728808E-5</v>
      </c>
      <c r="G1061">
        <v>203.84523879800892</v>
      </c>
      <c r="H1061" t="b">
        <v>0</v>
      </c>
    </row>
    <row r="1062" spans="1:8" x14ac:dyDescent="0.15">
      <c r="A1062">
        <v>43</v>
      </c>
      <c r="B1062">
        <v>3</v>
      </c>
      <c r="C1062">
        <v>1587500</v>
      </c>
      <c r="D1062">
        <v>986427176771046.75</v>
      </c>
      <c r="E1062">
        <v>0.65870813230935066</v>
      </c>
      <c r="F1062">
        <v>1.5834039417184087E-5</v>
      </c>
      <c r="G1062">
        <v>0.65869229826993347</v>
      </c>
      <c r="H1062" t="b">
        <v>0</v>
      </c>
    </row>
    <row r="1063" spans="1:8" x14ac:dyDescent="0.15">
      <c r="A1063">
        <v>43</v>
      </c>
      <c r="B1063">
        <v>4</v>
      </c>
      <c r="C1063">
        <v>843750</v>
      </c>
      <c r="D1063">
        <v>39100188678.101509</v>
      </c>
      <c r="E1063">
        <v>2.1045510210305032E-4</v>
      </c>
      <c r="F1063">
        <v>1.5834039417207831E-5</v>
      </c>
      <c r="G1063">
        <v>1.9462106268584248E-4</v>
      </c>
      <c r="H1063" t="b">
        <v>0</v>
      </c>
    </row>
    <row r="1064" spans="1:8" x14ac:dyDescent="0.15">
      <c r="A1064">
        <v>43</v>
      </c>
      <c r="B1064">
        <v>5</v>
      </c>
      <c r="C1064">
        <v>471875</v>
      </c>
      <c r="D1064">
        <v>-109922.46799137363</v>
      </c>
      <c r="E1064">
        <v>-1.1611824957304968E-6</v>
      </c>
      <c r="F1064">
        <v>1.5834039417207831E-5</v>
      </c>
      <c r="G1064">
        <v>-1.6995221912938328E-5</v>
      </c>
      <c r="H1064" t="b">
        <v>1</v>
      </c>
    </row>
    <row r="1065" spans="1:8" x14ac:dyDescent="0.15">
      <c r="A1065">
        <v>43</v>
      </c>
      <c r="B1065">
        <v>6</v>
      </c>
      <c r="C1065">
        <v>657812.5</v>
      </c>
      <c r="D1065">
        <v>-7876737.9982541203</v>
      </c>
      <c r="E1065">
        <v>8.0801940853355315E-6</v>
      </c>
      <c r="F1065">
        <v>1.5834039417207831E-5</v>
      </c>
      <c r="G1065">
        <v>-7.7538453318722995E-6</v>
      </c>
      <c r="H1065" t="b">
        <v>1</v>
      </c>
    </row>
    <row r="1066" spans="1:8" x14ac:dyDescent="0.15">
      <c r="A1066">
        <v>43</v>
      </c>
      <c r="B1066">
        <v>7</v>
      </c>
      <c r="C1066">
        <v>750781.25</v>
      </c>
      <c r="D1066">
        <v>1730710486.1835568</v>
      </c>
      <c r="E1066">
        <v>3.4905433127662295E-5</v>
      </c>
      <c r="F1066">
        <v>1.5834039417207831E-5</v>
      </c>
      <c r="G1066">
        <v>1.9071393710454464E-5</v>
      </c>
      <c r="H1066" t="b">
        <v>0</v>
      </c>
    </row>
    <row r="1067" spans="1:8" x14ac:dyDescent="0.15">
      <c r="A1067">
        <v>43</v>
      </c>
      <c r="B1067">
        <v>8</v>
      </c>
      <c r="C1067">
        <v>704296.875</v>
      </c>
      <c r="D1067">
        <v>-43563538.95492623</v>
      </c>
      <c r="E1067">
        <v>1.4009073687158659E-5</v>
      </c>
      <c r="F1067">
        <v>1.5834039417207831E-5</v>
      </c>
      <c r="G1067">
        <v>-1.8249657300491723E-6</v>
      </c>
      <c r="H1067" t="b">
        <v>1</v>
      </c>
    </row>
    <row r="1068" spans="1:8" x14ac:dyDescent="0.15">
      <c r="A1068">
        <v>43</v>
      </c>
      <c r="B1068">
        <v>9</v>
      </c>
      <c r="C1068">
        <v>727539.0625</v>
      </c>
      <c r="D1068">
        <v>288115166.03341782</v>
      </c>
      <c r="E1068">
        <v>2.0867291106817893E-5</v>
      </c>
      <c r="F1068">
        <v>1.5834039417207831E-5</v>
      </c>
      <c r="G1068">
        <v>5.0332516896100621E-6</v>
      </c>
      <c r="H1068" t="b">
        <v>0</v>
      </c>
    </row>
    <row r="1069" spans="1:8" x14ac:dyDescent="0.15">
      <c r="A1069">
        <v>43</v>
      </c>
      <c r="B1069">
        <v>10</v>
      </c>
      <c r="C1069">
        <v>715917.96875</v>
      </c>
      <c r="D1069">
        <v>4341645.0123898452</v>
      </c>
      <c r="E1069">
        <v>1.5962456710041768E-5</v>
      </c>
      <c r="F1069">
        <v>1.5834039417207831E-5</v>
      </c>
      <c r="G1069">
        <v>1.2841729283393692E-7</v>
      </c>
      <c r="H1069" t="b">
        <v>0</v>
      </c>
    </row>
    <row r="1070" spans="1:8" x14ac:dyDescent="0.15">
      <c r="A1070">
        <v>43</v>
      </c>
      <c r="B1070">
        <v>11</v>
      </c>
      <c r="C1070">
        <v>710107.421875</v>
      </c>
      <c r="D1070">
        <v>-25132215.413471658</v>
      </c>
      <c r="E1070">
        <v>1.4959509446926666E-5</v>
      </c>
      <c r="F1070">
        <v>1.5834039417207831E-5</v>
      </c>
      <c r="G1070">
        <v>-8.7452997028116489E-7</v>
      </c>
      <c r="H1070" t="b">
        <v>1</v>
      </c>
    </row>
    <row r="1071" spans="1:8" x14ac:dyDescent="0.15">
      <c r="A1071">
        <v>43</v>
      </c>
      <c r="B1071">
        <v>12</v>
      </c>
      <c r="C1071">
        <v>713012.6953125</v>
      </c>
      <c r="D1071">
        <v>-11861642.071788076</v>
      </c>
      <c r="E1071">
        <v>1.5454471595067188E-5</v>
      </c>
      <c r="F1071">
        <v>1.5834039417207831E-5</v>
      </c>
      <c r="G1071">
        <v>-3.7956782214064314E-7</v>
      </c>
      <c r="H1071" t="b">
        <v>1</v>
      </c>
    </row>
    <row r="1072" spans="1:8" x14ac:dyDescent="0.15">
      <c r="A1072">
        <v>43</v>
      </c>
      <c r="B1072">
        <v>13</v>
      </c>
      <c r="C1072">
        <v>714465.33203125</v>
      </c>
      <c r="D1072">
        <v>-4134964.9531279244</v>
      </c>
      <c r="E1072">
        <v>1.5706905453059286E-5</v>
      </c>
      <c r="F1072">
        <v>1.5834039417207831E-5</v>
      </c>
      <c r="G1072">
        <v>-1.27133964148545E-7</v>
      </c>
      <c r="H1072" t="b">
        <v>1</v>
      </c>
    </row>
    <row r="1073" spans="1:8" x14ac:dyDescent="0.15">
      <c r="A1073">
        <v>43</v>
      </c>
      <c r="B1073">
        <v>14</v>
      </c>
      <c r="C1073">
        <v>714965.33203125</v>
      </c>
      <c r="D1073">
        <v>-1304033.4739297181</v>
      </c>
      <c r="E1073">
        <v>1.5794481605464095E-5</v>
      </c>
      <c r="F1073">
        <v>1.5834039417207831E-5</v>
      </c>
      <c r="G1073">
        <v>-3.9557811743736398E-8</v>
      </c>
      <c r="H1073" t="b">
        <v>1</v>
      </c>
    </row>
    <row r="1074" spans="1:8" x14ac:dyDescent="0.15">
      <c r="A1074">
        <v>43</v>
      </c>
      <c r="B1074">
        <v>15</v>
      </c>
      <c r="C1074">
        <v>715465.33203125</v>
      </c>
      <c r="D1074">
        <v>1617695.9454654518</v>
      </c>
      <c r="E1074">
        <v>1.5882462657278399E-5</v>
      </c>
      <c r="F1074">
        <v>1.5834039417207831E-5</v>
      </c>
      <c r="G1074">
        <v>4.8423240070567857E-8</v>
      </c>
      <c r="H1074" t="b">
        <v>0</v>
      </c>
    </row>
    <row r="1075" spans="1:8" x14ac:dyDescent="0.15">
      <c r="A1075">
        <v>43</v>
      </c>
      <c r="B1075">
        <v>16</v>
      </c>
      <c r="C1075">
        <v>715215.33203125</v>
      </c>
      <c r="D1075">
        <v>145444.63717749508</v>
      </c>
      <c r="E1075">
        <v>1.5838422104841714E-5</v>
      </c>
      <c r="F1075">
        <v>1.5834039417207831E-5</v>
      </c>
      <c r="G1075">
        <v>4.3826876338829259E-9</v>
      </c>
      <c r="H1075" t="b">
        <v>0</v>
      </c>
    </row>
    <row r="1076" spans="1:8" x14ac:dyDescent="0.15">
      <c r="A1076">
        <v>43</v>
      </c>
      <c r="B1076">
        <v>17</v>
      </c>
      <c r="C1076">
        <v>715340.33203125</v>
      </c>
      <c r="D1076">
        <v>878676.1209528147</v>
      </c>
      <c r="E1076">
        <v>1.5860428660208099E-5</v>
      </c>
      <c r="F1076">
        <v>1.5834039417207831E-5</v>
      </c>
      <c r="G1076">
        <v>2.6389243000268E-8</v>
      </c>
      <c r="H1076" t="b">
        <v>0</v>
      </c>
    </row>
    <row r="1077" spans="1:8" x14ac:dyDescent="0.15">
      <c r="A1077">
        <v>43</v>
      </c>
      <c r="B1077">
        <v>18</v>
      </c>
      <c r="C1077">
        <v>715277.83203125</v>
      </c>
      <c r="D1077">
        <v>511364.55896223732</v>
      </c>
      <c r="E1077">
        <v>1.5849422755344502E-5</v>
      </c>
      <c r="F1077">
        <v>1.5834039417207831E-5</v>
      </c>
      <c r="G1077">
        <v>1.538333813667068E-8</v>
      </c>
      <c r="H1077" t="b">
        <v>0</v>
      </c>
    </row>
    <row r="1078" spans="1:8" x14ac:dyDescent="0.15">
      <c r="A1078">
        <v>43</v>
      </c>
      <c r="B1078">
        <v>19</v>
      </c>
      <c r="C1078">
        <v>715309.08203125</v>
      </c>
      <c r="D1078">
        <v>694824.04639172752</v>
      </c>
      <c r="E1078">
        <v>1.5854924384265213E-5</v>
      </c>
      <c r="F1078">
        <v>1.5834039417207831E-5</v>
      </c>
      <c r="G1078">
        <v>2.0884967057381695E-8</v>
      </c>
      <c r="H1078" t="b">
        <v>0</v>
      </c>
    </row>
    <row r="1079" spans="1:8" x14ac:dyDescent="0.15">
      <c r="A1079">
        <v>43</v>
      </c>
      <c r="B1079">
        <v>20</v>
      </c>
      <c r="C1079">
        <v>715346.58203125</v>
      </c>
      <c r="D1079">
        <v>915525.09277322574</v>
      </c>
      <c r="E1079">
        <v>1.5861530772369909E-5</v>
      </c>
      <c r="F1079">
        <v>1.5834039417207831E-5</v>
      </c>
      <c r="G1079">
        <v>2.7491355162078307E-8</v>
      </c>
      <c r="H1079" t="b">
        <v>0</v>
      </c>
    </row>
    <row r="1080" spans="1:8" x14ac:dyDescent="0.15">
      <c r="A1080">
        <v>43</v>
      </c>
      <c r="B1080">
        <v>21</v>
      </c>
      <c r="C1080">
        <v>715327.83203125</v>
      </c>
      <c r="D1080">
        <v>805092.42937480286</v>
      </c>
      <c r="E1080">
        <v>1.5858226760126504E-5</v>
      </c>
      <c r="F1080">
        <v>1.5834039417207831E-5</v>
      </c>
      <c r="G1080">
        <v>2.4187342918673035E-8</v>
      </c>
      <c r="H1080" t="b">
        <v>0</v>
      </c>
    </row>
    <row r="1081" spans="1:8" x14ac:dyDescent="0.15">
      <c r="A1081">
        <v>43</v>
      </c>
      <c r="B1081">
        <v>22</v>
      </c>
      <c r="C1081">
        <v>715305.33203125</v>
      </c>
      <c r="D1081">
        <v>672821.38924314664</v>
      </c>
      <c r="E1081">
        <v>1.585426504407893E-5</v>
      </c>
      <c r="F1081">
        <v>1.5834039417207831E-5</v>
      </c>
      <c r="G1081">
        <v>2.0225626871098667E-8</v>
      </c>
      <c r="H1081" t="b">
        <v>0</v>
      </c>
    </row>
    <row r="1082" spans="1:8" x14ac:dyDescent="0.15">
      <c r="A1082">
        <v>43</v>
      </c>
      <c r="B1082">
        <v>23</v>
      </c>
      <c r="C1082">
        <v>715316.58203125</v>
      </c>
      <c r="D1082">
        <v>738951.59115901671</v>
      </c>
      <c r="E1082">
        <v>1.5856246333170759E-5</v>
      </c>
      <c r="F1082">
        <v>1.5834039417207831E-5</v>
      </c>
      <c r="G1082">
        <v>2.220691596292756E-8</v>
      </c>
      <c r="H1082" t="b">
        <v>0</v>
      </c>
    </row>
    <row r="1083" spans="1:8" x14ac:dyDescent="0.15">
      <c r="A1083">
        <v>43</v>
      </c>
      <c r="B1083">
        <v>24</v>
      </c>
      <c r="C1083">
        <v>715310.95703125</v>
      </c>
      <c r="D1083">
        <v>705845.09951766662</v>
      </c>
      <c r="E1083">
        <v>1.5855254596242769E-5</v>
      </c>
      <c r="F1083">
        <v>1.5834039417207831E-5</v>
      </c>
      <c r="G1083">
        <v>2.1215179034938424E-8</v>
      </c>
      <c r="H1083" t="b">
        <v>0</v>
      </c>
    </row>
    <row r="1084" spans="1:8" x14ac:dyDescent="0.15">
      <c r="A1084">
        <v>43</v>
      </c>
      <c r="B1084">
        <v>25</v>
      </c>
      <c r="C1084">
        <v>715313.76953125</v>
      </c>
      <c r="D1084">
        <v>722414.70216766396</v>
      </c>
      <c r="E1084">
        <v>1.5855750991692004E-5</v>
      </c>
      <c r="F1084">
        <v>1.5834039417207831E-5</v>
      </c>
      <c r="G1084">
        <v>2.1711574484172496E-8</v>
      </c>
      <c r="H1084" t="b">
        <v>0</v>
      </c>
    </row>
    <row r="1085" spans="1:8" x14ac:dyDescent="0.15">
      <c r="A1085">
        <v>44</v>
      </c>
      <c r="B1085">
        <v>1</v>
      </c>
      <c r="C1085">
        <v>6050000</v>
      </c>
      <c r="D1085">
        <v>3.8010055746734756E+18</v>
      </c>
      <c r="E1085">
        <v>536.87092200000006</v>
      </c>
      <c r="F1085">
        <v>1.1454191962911864E-5</v>
      </c>
      <c r="G1085">
        <v>536.8709105458081</v>
      </c>
      <c r="H1085" t="b">
        <v>0</v>
      </c>
    </row>
    <row r="1086" spans="1:8" x14ac:dyDescent="0.15">
      <c r="A1086">
        <v>44</v>
      </c>
      <c r="B1086">
        <v>2</v>
      </c>
      <c r="C1086">
        <v>3075000</v>
      </c>
      <c r="D1086">
        <v>2.9603820700793165E+17</v>
      </c>
      <c r="E1086">
        <v>56.719682948829806</v>
      </c>
      <c r="F1086">
        <v>1.1454191991333573E-5</v>
      </c>
      <c r="G1086">
        <v>56.719671494637815</v>
      </c>
      <c r="H1086" t="b">
        <v>0</v>
      </c>
    </row>
    <row r="1087" spans="1:8" x14ac:dyDescent="0.15">
      <c r="A1087">
        <v>44</v>
      </c>
      <c r="B1087">
        <v>3</v>
      </c>
      <c r="C1087">
        <v>1587500</v>
      </c>
      <c r="D1087">
        <v>93607588513781.078</v>
      </c>
      <c r="E1087">
        <v>5.8704144447092779E-2</v>
      </c>
      <c r="F1087">
        <v>1.1454191989425377E-5</v>
      </c>
      <c r="G1087">
        <v>5.8692690255103354E-2</v>
      </c>
      <c r="H1087" t="b">
        <v>0</v>
      </c>
    </row>
    <row r="1088" spans="1:8" x14ac:dyDescent="0.15">
      <c r="A1088">
        <v>44</v>
      </c>
      <c r="B1088">
        <v>4</v>
      </c>
      <c r="C1088">
        <v>843750</v>
      </c>
      <c r="D1088">
        <v>34381750.133257389</v>
      </c>
      <c r="E1088">
        <v>1.21294962953488E-5</v>
      </c>
      <c r="F1088">
        <v>1.1454191989426209E-5</v>
      </c>
      <c r="G1088">
        <v>6.7530430592259079E-7</v>
      </c>
      <c r="H1088" t="b">
        <v>0</v>
      </c>
    </row>
    <row r="1089" spans="1:8" x14ac:dyDescent="0.15">
      <c r="A1089">
        <v>44</v>
      </c>
      <c r="B1089">
        <v>5</v>
      </c>
      <c r="C1089">
        <v>471875</v>
      </c>
      <c r="D1089">
        <v>-43584.39722810236</v>
      </c>
      <c r="E1089">
        <v>-4.7195402697099921E-6</v>
      </c>
      <c r="F1089">
        <v>1.1454191989426211E-5</v>
      </c>
      <c r="G1089">
        <v>-1.6173732259136203E-5</v>
      </c>
      <c r="H1089" t="b">
        <v>1</v>
      </c>
    </row>
    <row r="1090" spans="1:8" x14ac:dyDescent="0.15">
      <c r="A1090">
        <v>44</v>
      </c>
      <c r="B1090">
        <v>6</v>
      </c>
      <c r="C1090">
        <v>657812.5</v>
      </c>
      <c r="D1090">
        <v>-347781.74763488304</v>
      </c>
      <c r="E1090">
        <v>1.6673350689860752E-6</v>
      </c>
      <c r="F1090">
        <v>1.1454191989426209E-5</v>
      </c>
      <c r="G1090">
        <v>-9.7868569204401334E-6</v>
      </c>
      <c r="H1090" t="b">
        <v>1</v>
      </c>
    </row>
    <row r="1091" spans="1:8" x14ac:dyDescent="0.15">
      <c r="A1091">
        <v>44</v>
      </c>
      <c r="B1091">
        <v>7</v>
      </c>
      <c r="C1091">
        <v>750781.25</v>
      </c>
      <c r="D1091">
        <v>-2706819.3361286763</v>
      </c>
      <c r="E1091">
        <v>4.7106732973586783E-6</v>
      </c>
      <c r="F1091">
        <v>1.1454191989426209E-5</v>
      </c>
      <c r="G1091">
        <v>-6.7435186920675309E-6</v>
      </c>
      <c r="H1091" t="b">
        <v>1</v>
      </c>
    </row>
    <row r="1092" spans="1:8" x14ac:dyDescent="0.15">
      <c r="A1092">
        <v>44</v>
      </c>
      <c r="B1092">
        <v>8</v>
      </c>
      <c r="C1092">
        <v>797265.625</v>
      </c>
      <c r="D1092">
        <v>-30283836.014965195</v>
      </c>
      <c r="E1092">
        <v>7.6706790461361128E-6</v>
      </c>
      <c r="F1092">
        <v>1.1454191989426209E-5</v>
      </c>
      <c r="G1092">
        <v>-3.7835129432900964E-6</v>
      </c>
      <c r="H1092" t="b">
        <v>1</v>
      </c>
    </row>
    <row r="1093" spans="1:8" x14ac:dyDescent="0.15">
      <c r="A1093">
        <v>44</v>
      </c>
      <c r="B1093">
        <v>9</v>
      </c>
      <c r="C1093">
        <v>820507.8125</v>
      </c>
      <c r="D1093">
        <v>-46905794.652175419</v>
      </c>
      <c r="E1093">
        <v>9.6850708889934478E-6</v>
      </c>
      <c r="F1093">
        <v>1.1454191989426209E-5</v>
      </c>
      <c r="G1093">
        <v>-1.7691211004327614E-6</v>
      </c>
      <c r="H1093" t="b">
        <v>1</v>
      </c>
    </row>
    <row r="1094" spans="1:8" x14ac:dyDescent="0.15">
      <c r="A1094">
        <v>44</v>
      </c>
      <c r="B1094">
        <v>10</v>
      </c>
      <c r="C1094">
        <v>832128.90625</v>
      </c>
      <c r="D1094">
        <v>-23070773.736078378</v>
      </c>
      <c r="E1094">
        <v>1.0849715875810385E-5</v>
      </c>
      <c r="F1094">
        <v>1.1454191989426209E-5</v>
      </c>
      <c r="G1094">
        <v>-6.0447611361582425E-7</v>
      </c>
      <c r="H1094" t="b">
        <v>1</v>
      </c>
    </row>
    <row r="1095" spans="1:8" x14ac:dyDescent="0.15">
      <c r="A1095">
        <v>44</v>
      </c>
      <c r="B1095">
        <v>11</v>
      </c>
      <c r="C1095">
        <v>837939.453125</v>
      </c>
      <c r="D1095">
        <v>912625.67316928552</v>
      </c>
      <c r="E1095">
        <v>1.1474739028136243E-5</v>
      </c>
      <c r="F1095">
        <v>1.1454191989426209E-5</v>
      </c>
      <c r="G1095">
        <v>2.0547038710033637E-8</v>
      </c>
      <c r="H1095" t="b">
        <v>0</v>
      </c>
    </row>
    <row r="1096" spans="1:8" x14ac:dyDescent="0.15">
      <c r="A1096">
        <v>44</v>
      </c>
      <c r="B1096">
        <v>12</v>
      </c>
      <c r="C1096">
        <v>835034.1796875</v>
      </c>
      <c r="D1096">
        <v>-12197087.949671412</v>
      </c>
      <c r="E1096">
        <v>1.1158571055659837E-5</v>
      </c>
      <c r="F1096">
        <v>1.1454191989426209E-5</v>
      </c>
      <c r="G1096">
        <v>-2.9562093376637232E-7</v>
      </c>
      <c r="H1096" t="b">
        <v>1</v>
      </c>
    </row>
    <row r="1097" spans="1:8" x14ac:dyDescent="0.15">
      <c r="A1097">
        <v>44</v>
      </c>
      <c r="B1097">
        <v>13</v>
      </c>
      <c r="C1097">
        <v>836486.81640625</v>
      </c>
      <c r="D1097">
        <v>-5930157.5557084056</v>
      </c>
      <c r="E1097">
        <v>1.1315733760110991E-5</v>
      </c>
      <c r="F1097">
        <v>1.1454191989426209E-5</v>
      </c>
      <c r="G1097">
        <v>-1.3845822931521782E-7</v>
      </c>
      <c r="H1097" t="b">
        <v>1</v>
      </c>
    </row>
    <row r="1098" spans="1:8" x14ac:dyDescent="0.15">
      <c r="A1098">
        <v>44</v>
      </c>
      <c r="B1098">
        <v>14</v>
      </c>
      <c r="C1098">
        <v>836986.81640625</v>
      </c>
      <c r="D1098">
        <v>-3640730.6391821029</v>
      </c>
      <c r="E1098">
        <v>1.1370254366368158E-5</v>
      </c>
      <c r="F1098">
        <v>1.1454191989426209E-5</v>
      </c>
      <c r="G1098">
        <v>-8.3937623058051353E-8</v>
      </c>
      <c r="H1098" t="b">
        <v>1</v>
      </c>
    </row>
    <row r="1099" spans="1:8" x14ac:dyDescent="0.15">
      <c r="A1099">
        <v>44</v>
      </c>
      <c r="B1099">
        <v>15</v>
      </c>
      <c r="C1099">
        <v>837486.81640625</v>
      </c>
      <c r="D1099">
        <v>-1282324.7613343706</v>
      </c>
      <c r="E1099">
        <v>1.1424995430721046E-5</v>
      </c>
      <c r="F1099">
        <v>1.1454191989426209E-5</v>
      </c>
      <c r="G1099">
        <v>-2.9196558705163483E-8</v>
      </c>
      <c r="H1099" t="b">
        <v>1</v>
      </c>
    </row>
    <row r="1100" spans="1:8" x14ac:dyDescent="0.15">
      <c r="A1100">
        <v>44</v>
      </c>
      <c r="B1100">
        <v>16</v>
      </c>
      <c r="C1100">
        <v>837986.81640625</v>
      </c>
      <c r="D1100">
        <v>1145623.1588432996</v>
      </c>
      <c r="E1100">
        <v>1.1479954626105983E-5</v>
      </c>
      <c r="F1100">
        <v>1.1454191989426209E-5</v>
      </c>
      <c r="G1100">
        <v>2.5762636679773818E-8</v>
      </c>
      <c r="H1100" t="b">
        <v>0</v>
      </c>
    </row>
    <row r="1101" spans="1:8" x14ac:dyDescent="0.15">
      <c r="A1101">
        <v>44</v>
      </c>
      <c r="B1101">
        <v>17</v>
      </c>
      <c r="C1101">
        <v>837736.81640625</v>
      </c>
      <c r="D1101">
        <v>-77078.154807252387</v>
      </c>
      <c r="E1101">
        <v>1.1452447910016777E-5</v>
      </c>
      <c r="F1101">
        <v>1.1454191989426209E-5</v>
      </c>
      <c r="G1101">
        <v>-1.7440794094326857E-9</v>
      </c>
      <c r="H1101" t="b">
        <v>1</v>
      </c>
    </row>
    <row r="1102" spans="1:8" x14ac:dyDescent="0.15">
      <c r="A1102">
        <v>44</v>
      </c>
      <c r="B1102">
        <v>18</v>
      </c>
      <c r="C1102">
        <v>837861.81640625</v>
      </c>
      <c r="D1102">
        <v>532064.81698646722</v>
      </c>
      <c r="E1102">
        <v>1.1466194021827474E-5</v>
      </c>
      <c r="F1102">
        <v>1.1454191989426209E-5</v>
      </c>
      <c r="G1102">
        <v>1.200203240126472E-8</v>
      </c>
      <c r="H1102" t="b">
        <v>0</v>
      </c>
    </row>
    <row r="1103" spans="1:8" x14ac:dyDescent="0.15">
      <c r="A1103">
        <v>44</v>
      </c>
      <c r="B1103">
        <v>19</v>
      </c>
      <c r="C1103">
        <v>838011.81640625</v>
      </c>
      <c r="D1103">
        <v>1268894.8801823943</v>
      </c>
      <c r="E1103">
        <v>1.1482709139102135E-5</v>
      </c>
      <c r="F1103">
        <v>1.1454191989426209E-5</v>
      </c>
      <c r="G1103">
        <v>2.8517149675925596E-8</v>
      </c>
      <c r="H1103" t="b">
        <v>0</v>
      </c>
    </row>
    <row r="1104" spans="1:8" x14ac:dyDescent="0.15">
      <c r="A1104">
        <v>44</v>
      </c>
      <c r="B1104">
        <v>20</v>
      </c>
      <c r="C1104">
        <v>837936.81640625</v>
      </c>
      <c r="D1104">
        <v>899706.22734664299</v>
      </c>
      <c r="E1104">
        <v>1.1474449473524478E-5</v>
      </c>
      <c r="F1104">
        <v>1.1454191989426209E-5</v>
      </c>
      <c r="G1104">
        <v>2.0257484098268504E-8</v>
      </c>
      <c r="H1104" t="b">
        <v>0</v>
      </c>
    </row>
    <row r="1105" spans="1:8" x14ac:dyDescent="0.15">
      <c r="A1105">
        <v>44</v>
      </c>
      <c r="B1105">
        <v>21</v>
      </c>
      <c r="C1105">
        <v>837846.81640625</v>
      </c>
      <c r="D1105">
        <v>458765.39455707662</v>
      </c>
      <c r="E1105">
        <v>1.1464544413231997E-5</v>
      </c>
      <c r="F1105">
        <v>1.1454191989426209E-5</v>
      </c>
      <c r="G1105">
        <v>1.0352423805787351E-8</v>
      </c>
      <c r="H1105" t="b">
        <v>0</v>
      </c>
    </row>
    <row r="1106" spans="1:8" x14ac:dyDescent="0.15">
      <c r="A1106">
        <v>44</v>
      </c>
      <c r="B1106">
        <v>22</v>
      </c>
      <c r="C1106">
        <v>837891.81640625</v>
      </c>
      <c r="D1106">
        <v>678918.70621488348</v>
      </c>
      <c r="E1106">
        <v>1.1469495312137379E-5</v>
      </c>
      <c r="F1106">
        <v>1.1454191989426209E-5</v>
      </c>
      <c r="G1106">
        <v>1.5303322711170204E-8</v>
      </c>
      <c r="H1106" t="b">
        <v>0</v>
      </c>
    </row>
    <row r="1107" spans="1:8" x14ac:dyDescent="0.15">
      <c r="A1107">
        <v>44</v>
      </c>
      <c r="B1107">
        <v>23</v>
      </c>
      <c r="C1107">
        <v>837945.81640625</v>
      </c>
      <c r="D1107">
        <v>943925.389517367</v>
      </c>
      <c r="E1107">
        <v>1.1475440371809715E-5</v>
      </c>
      <c r="F1107">
        <v>1.1454191989426209E-5</v>
      </c>
      <c r="G1107">
        <v>2.1248382383505458E-8</v>
      </c>
      <c r="H1107" t="b">
        <v>0</v>
      </c>
    </row>
    <row r="1108" spans="1:8" x14ac:dyDescent="0.15">
      <c r="A1108">
        <v>44</v>
      </c>
      <c r="B1108">
        <v>24</v>
      </c>
      <c r="C1108">
        <v>837918.81640625</v>
      </c>
      <c r="D1108">
        <v>811336.16005378508</v>
      </c>
      <c r="E1108">
        <v>1.1472467890939995E-5</v>
      </c>
      <c r="F1108">
        <v>1.1454191989426209E-5</v>
      </c>
      <c r="G1108">
        <v>1.8275901513785657E-8</v>
      </c>
      <c r="H1108" t="b">
        <v>0</v>
      </c>
    </row>
    <row r="1109" spans="1:8" x14ac:dyDescent="0.15">
      <c r="A1109">
        <v>44</v>
      </c>
      <c r="B1109">
        <v>25</v>
      </c>
      <c r="C1109">
        <v>837932.31640625</v>
      </c>
      <c r="D1109">
        <v>877605.17912477278</v>
      </c>
      <c r="E1109">
        <v>1.1473954051130271E-5</v>
      </c>
      <c r="F1109">
        <v>1.1454191989426209E-5</v>
      </c>
      <c r="G1109">
        <v>1.9762061704061963E-8</v>
      </c>
      <c r="H1109" t="b">
        <v>0</v>
      </c>
    </row>
    <row r="1110" spans="1:8" x14ac:dyDescent="0.15">
      <c r="A1110">
        <v>44</v>
      </c>
      <c r="B1110">
        <v>26</v>
      </c>
      <c r="C1110">
        <v>837925.56640625</v>
      </c>
      <c r="D1110">
        <v>844431.26913925027</v>
      </c>
      <c r="E1110">
        <v>1.1473210210857579E-5</v>
      </c>
      <c r="F1110">
        <v>1.1454191989426209E-5</v>
      </c>
      <c r="G1110">
        <v>1.9018221431370242E-8</v>
      </c>
      <c r="H1110" t="b">
        <v>0</v>
      </c>
    </row>
    <row r="1111" spans="1:8" x14ac:dyDescent="0.15">
      <c r="A1111">
        <v>45</v>
      </c>
      <c r="B1111">
        <v>1</v>
      </c>
      <c r="C1111">
        <v>6050000</v>
      </c>
      <c r="D1111">
        <v>6.0975783048603044E+18</v>
      </c>
      <c r="E1111">
        <v>536.87092200000006</v>
      </c>
      <c r="F1111">
        <v>8.4377409166336292E-6</v>
      </c>
      <c r="G1111">
        <v>536.87091356225915</v>
      </c>
      <c r="H1111" t="b">
        <v>0</v>
      </c>
    </row>
    <row r="1112" spans="1:8" x14ac:dyDescent="0.15">
      <c r="A1112">
        <v>45</v>
      </c>
      <c r="B1112">
        <v>2</v>
      </c>
      <c r="C1112">
        <v>3075000</v>
      </c>
      <c r="D1112">
        <v>8.1075634751317728E+16</v>
      </c>
      <c r="E1112">
        <v>12.131422566614901</v>
      </c>
      <c r="F1112">
        <v>8.437740907751845E-6</v>
      </c>
      <c r="G1112">
        <v>12.131414128873994</v>
      </c>
      <c r="H1112" t="b">
        <v>0</v>
      </c>
    </row>
    <row r="1113" spans="1:8" x14ac:dyDescent="0.15">
      <c r="A1113">
        <v>45</v>
      </c>
      <c r="B1113">
        <v>3</v>
      </c>
      <c r="C1113">
        <v>1587500</v>
      </c>
      <c r="D1113">
        <v>12319006948709.928</v>
      </c>
      <c r="E1113">
        <v>7.5746700542191148E-3</v>
      </c>
      <c r="F1113">
        <v>8.4377409085819102E-6</v>
      </c>
      <c r="G1113">
        <v>7.5662323133105329E-3</v>
      </c>
      <c r="H1113" t="b">
        <v>0</v>
      </c>
    </row>
    <row r="1114" spans="1:8" x14ac:dyDescent="0.15">
      <c r="A1114">
        <v>45</v>
      </c>
      <c r="B1114">
        <v>4</v>
      </c>
      <c r="C1114">
        <v>843750</v>
      </c>
      <c r="D1114">
        <v>-1878433.0473791687</v>
      </c>
      <c r="E1114">
        <v>3.1208192032706839E-6</v>
      </c>
      <c r="F1114">
        <v>8.4377409085819746E-6</v>
      </c>
      <c r="G1114">
        <v>-5.3169217053112907E-6</v>
      </c>
      <c r="H1114" t="b">
        <v>1</v>
      </c>
    </row>
    <row r="1115" spans="1:8" x14ac:dyDescent="0.15">
      <c r="A1115">
        <v>45</v>
      </c>
      <c r="B1115">
        <v>5</v>
      </c>
      <c r="C1115">
        <v>1215625</v>
      </c>
      <c r="D1115">
        <v>147056987765.5694</v>
      </c>
      <c r="E1115">
        <v>2.482683899659372E-4</v>
      </c>
      <c r="F1115">
        <v>8.4377409085819644E-6</v>
      </c>
      <c r="G1115">
        <v>2.3983064905735524E-4</v>
      </c>
      <c r="H1115" t="b">
        <v>0</v>
      </c>
    </row>
    <row r="1116" spans="1:8" x14ac:dyDescent="0.15">
      <c r="A1116">
        <v>45</v>
      </c>
      <c r="B1116">
        <v>6</v>
      </c>
      <c r="C1116">
        <v>1029687.5</v>
      </c>
      <c r="D1116">
        <v>2545022904.5773048</v>
      </c>
      <c r="E1116">
        <v>2.0512356386646752E-5</v>
      </c>
      <c r="F1116">
        <v>8.4377409085819746E-6</v>
      </c>
      <c r="G1116">
        <v>1.2074615478064778E-5</v>
      </c>
      <c r="H1116" t="b">
        <v>0</v>
      </c>
    </row>
    <row r="1117" spans="1:8" x14ac:dyDescent="0.15">
      <c r="A1117">
        <v>45</v>
      </c>
      <c r="B1117">
        <v>7</v>
      </c>
      <c r="C1117">
        <v>936718.75</v>
      </c>
      <c r="D1117">
        <v>-40154004.058734998</v>
      </c>
      <c r="E1117">
        <v>7.1770848973143272E-6</v>
      </c>
      <c r="F1117">
        <v>8.4377409085819746E-6</v>
      </c>
      <c r="G1117">
        <v>-1.2606560112676474E-6</v>
      </c>
      <c r="H1117" t="b">
        <v>1</v>
      </c>
    </row>
    <row r="1118" spans="1:8" x14ac:dyDescent="0.15">
      <c r="A1118">
        <v>45</v>
      </c>
      <c r="B1118">
        <v>8</v>
      </c>
      <c r="C1118">
        <v>983203.125</v>
      </c>
      <c r="D1118">
        <v>195366434.6264936</v>
      </c>
      <c r="E1118">
        <v>1.0556188239150416E-5</v>
      </c>
      <c r="F1118">
        <v>8.4377409085819746E-6</v>
      </c>
      <c r="G1118">
        <v>2.1184473305684416E-6</v>
      </c>
      <c r="H1118" t="b">
        <v>0</v>
      </c>
    </row>
    <row r="1119" spans="1:8" x14ac:dyDescent="0.15">
      <c r="A1119">
        <v>45</v>
      </c>
      <c r="B1119">
        <v>9</v>
      </c>
      <c r="C1119">
        <v>959960.9375</v>
      </c>
      <c r="D1119">
        <v>17449928.493192416</v>
      </c>
      <c r="E1119">
        <v>8.7302936625909818E-6</v>
      </c>
      <c r="F1119">
        <v>8.4377409085819746E-6</v>
      </c>
      <c r="G1119">
        <v>2.9255275400900724E-7</v>
      </c>
      <c r="H1119" t="b">
        <v>0</v>
      </c>
    </row>
    <row r="1120" spans="1:8" x14ac:dyDescent="0.15">
      <c r="A1120">
        <v>45</v>
      </c>
      <c r="B1120">
        <v>10</v>
      </c>
      <c r="C1120">
        <v>948339.84375</v>
      </c>
      <c r="D1120">
        <v>-23263521.788434707</v>
      </c>
      <c r="E1120">
        <v>7.9214394325940377E-6</v>
      </c>
      <c r="F1120">
        <v>8.4377409085819746E-6</v>
      </c>
      <c r="G1120">
        <v>-5.1630147598793687E-7</v>
      </c>
      <c r="H1120" t="b">
        <v>1</v>
      </c>
    </row>
    <row r="1121" spans="1:8" x14ac:dyDescent="0.15">
      <c r="A1121">
        <v>45</v>
      </c>
      <c r="B1121">
        <v>11</v>
      </c>
      <c r="C1121">
        <v>954150.390625</v>
      </c>
      <c r="D1121">
        <v>-6272173.9120523985</v>
      </c>
      <c r="E1121">
        <v>8.317570181376772E-6</v>
      </c>
      <c r="F1121">
        <v>8.4377409085819746E-6</v>
      </c>
      <c r="G1121">
        <v>-1.2017072720520256E-7</v>
      </c>
      <c r="H1121" t="b">
        <v>1</v>
      </c>
    </row>
    <row r="1122" spans="1:8" x14ac:dyDescent="0.15">
      <c r="A1122">
        <v>45</v>
      </c>
      <c r="B1122">
        <v>12</v>
      </c>
      <c r="C1122">
        <v>957055.6640625</v>
      </c>
      <c r="D1122">
        <v>4698983.9266713373</v>
      </c>
      <c r="E1122">
        <v>8.5218280575514472E-6</v>
      </c>
      <c r="F1122">
        <v>8.4377409085819746E-6</v>
      </c>
      <c r="G1122">
        <v>8.408714896947255E-8</v>
      </c>
      <c r="H1122" t="b">
        <v>0</v>
      </c>
    </row>
    <row r="1123" spans="1:8" x14ac:dyDescent="0.15">
      <c r="A1123">
        <v>45</v>
      </c>
      <c r="B1123">
        <v>13</v>
      </c>
      <c r="C1123">
        <v>955603.02734375</v>
      </c>
      <c r="D1123">
        <v>-1002953.0428614718</v>
      </c>
      <c r="E1123">
        <v>8.4191774571687464E-6</v>
      </c>
      <c r="F1123">
        <v>8.4377409085819746E-6</v>
      </c>
      <c r="G1123">
        <v>-1.85634514132282E-8</v>
      </c>
      <c r="H1123" t="b">
        <v>1</v>
      </c>
    </row>
    <row r="1124" spans="1:8" x14ac:dyDescent="0.15">
      <c r="A1124">
        <v>45</v>
      </c>
      <c r="B1124">
        <v>14</v>
      </c>
      <c r="C1124">
        <v>956103.02734375</v>
      </c>
      <c r="D1124">
        <v>910186.27849853341</v>
      </c>
      <c r="E1124">
        <v>8.4543913732317633E-6</v>
      </c>
      <c r="F1124">
        <v>8.4377409085819746E-6</v>
      </c>
      <c r="G1124">
        <v>1.6650464649788695E-8</v>
      </c>
      <c r="H1124" t="b">
        <v>0</v>
      </c>
    </row>
    <row r="1125" spans="1:8" x14ac:dyDescent="0.15">
      <c r="A1125">
        <v>45</v>
      </c>
      <c r="B1125">
        <v>15</v>
      </c>
      <c r="C1125">
        <v>956703.02734375</v>
      </c>
      <c r="D1125">
        <v>3274364.5803051922</v>
      </c>
      <c r="E1125">
        <v>8.4968124590611008E-6</v>
      </c>
      <c r="F1125">
        <v>8.4377409085819746E-6</v>
      </c>
      <c r="G1125">
        <v>5.9071550479126221E-8</v>
      </c>
      <c r="H1125" t="b">
        <v>0</v>
      </c>
    </row>
    <row r="1126" spans="1:8" x14ac:dyDescent="0.15">
      <c r="A1126">
        <v>45</v>
      </c>
      <c r="B1126">
        <v>16</v>
      </c>
      <c r="C1126">
        <v>956403.02734375</v>
      </c>
      <c r="D1126">
        <v>2082903.7210265656</v>
      </c>
      <c r="E1126">
        <v>8.4755795575494864E-6</v>
      </c>
      <c r="F1126">
        <v>8.4377409085819746E-6</v>
      </c>
      <c r="G1126">
        <v>3.7838648967511836E-8</v>
      </c>
      <c r="H1126" t="b">
        <v>0</v>
      </c>
    </row>
    <row r="1127" spans="1:8" x14ac:dyDescent="0.15">
      <c r="A1127">
        <v>45</v>
      </c>
      <c r="B1127">
        <v>17</v>
      </c>
      <c r="C1127">
        <v>956043.02734375</v>
      </c>
      <c r="D1127">
        <v>677911.76792279398</v>
      </c>
      <c r="E1127">
        <v>8.4501596292354641E-6</v>
      </c>
      <c r="F1127">
        <v>8.4377409085819746E-6</v>
      </c>
      <c r="G1127">
        <v>1.2418720653489536E-8</v>
      </c>
      <c r="H1127" t="b">
        <v>0</v>
      </c>
    </row>
    <row r="1128" spans="1:8" x14ac:dyDescent="0.15">
      <c r="A1128">
        <v>45</v>
      </c>
      <c r="B1128">
        <v>18</v>
      </c>
      <c r="C1128">
        <v>956223.02734375</v>
      </c>
      <c r="D1128">
        <v>1377030.8986336528</v>
      </c>
      <c r="E1128">
        <v>8.4628612850752927E-6</v>
      </c>
      <c r="F1128">
        <v>8.4377409085819746E-6</v>
      </c>
      <c r="G1128">
        <v>2.512037649331812E-8</v>
      </c>
      <c r="H1128" t="b">
        <v>0</v>
      </c>
    </row>
    <row r="1129" spans="1:8" x14ac:dyDescent="0.15">
      <c r="A1129">
        <v>45</v>
      </c>
      <c r="B1129">
        <v>19</v>
      </c>
      <c r="C1129">
        <v>956133.02734375</v>
      </c>
      <c r="D1129">
        <v>1026646.9590025246</v>
      </c>
      <c r="E1129">
        <v>8.4565087142731193E-6</v>
      </c>
      <c r="F1129">
        <v>8.4377409085819746E-6</v>
      </c>
      <c r="G1129">
        <v>1.876780569114472E-8</v>
      </c>
      <c r="H1129" t="b">
        <v>0</v>
      </c>
    </row>
    <row r="1130" spans="1:8" x14ac:dyDescent="0.15">
      <c r="A1130">
        <v>45</v>
      </c>
      <c r="B1130">
        <v>20</v>
      </c>
      <c r="C1130">
        <v>956025.02734375</v>
      </c>
      <c r="D1130">
        <v>608336.70291115926</v>
      </c>
      <c r="E1130">
        <v>8.4488897619266864E-6</v>
      </c>
      <c r="F1130">
        <v>8.4377409085819746E-6</v>
      </c>
      <c r="G1130">
        <v>1.114885334471177E-8</v>
      </c>
      <c r="H1130" t="b">
        <v>0</v>
      </c>
    </row>
    <row r="1131" spans="1:8" x14ac:dyDescent="0.15">
      <c r="A1131">
        <v>45</v>
      </c>
      <c r="B1131">
        <v>21</v>
      </c>
      <c r="C1131">
        <v>956079.02734375</v>
      </c>
      <c r="D1131">
        <v>817204.64108268439</v>
      </c>
      <c r="E1131">
        <v>8.452698781052373E-6</v>
      </c>
      <c r="F1131">
        <v>8.4377409085819746E-6</v>
      </c>
      <c r="G1131">
        <v>1.4957872470398403E-8</v>
      </c>
      <c r="H1131" t="b">
        <v>0</v>
      </c>
    </row>
    <row r="1132" spans="1:8" x14ac:dyDescent="0.15">
      <c r="A1132">
        <v>45</v>
      </c>
      <c r="B1132">
        <v>22</v>
      </c>
      <c r="C1132">
        <v>956143.82734375005</v>
      </c>
      <c r="D1132">
        <v>1068578.5462502318</v>
      </c>
      <c r="E1132">
        <v>8.4572703414584229E-6</v>
      </c>
      <c r="F1132">
        <v>8.4377409085819746E-6</v>
      </c>
      <c r="G1132">
        <v>1.9529432876448305E-8</v>
      </c>
      <c r="H1132" t="b">
        <v>0</v>
      </c>
    </row>
    <row r="1133" spans="1:8" x14ac:dyDescent="0.15">
      <c r="A1133">
        <v>45</v>
      </c>
      <c r="B1133">
        <v>23</v>
      </c>
      <c r="C1133">
        <v>956111.42734375002</v>
      </c>
      <c r="D1133">
        <v>942768.26424738439</v>
      </c>
      <c r="E1133">
        <v>8.4549840344650057E-6</v>
      </c>
      <c r="F1133">
        <v>8.4377409085819746E-6</v>
      </c>
      <c r="G1133">
        <v>1.7243125883031074E-8</v>
      </c>
      <c r="H1133" t="b">
        <v>0</v>
      </c>
    </row>
    <row r="1134" spans="1:8" x14ac:dyDescent="0.15">
      <c r="A1134">
        <v>45</v>
      </c>
      <c r="B1134">
        <v>24</v>
      </c>
      <c r="C1134">
        <v>956127.62734374998</v>
      </c>
      <c r="D1134">
        <v>1005646.2206562604</v>
      </c>
      <c r="E1134">
        <v>8.4561271228515249E-6</v>
      </c>
      <c r="F1134">
        <v>8.4377409085819746E-6</v>
      </c>
      <c r="G1134">
        <v>1.8386214269550314E-8</v>
      </c>
      <c r="H1134" t="b">
        <v>0</v>
      </c>
    </row>
    <row r="1135" spans="1:8" x14ac:dyDescent="0.15">
      <c r="A1135">
        <v>45</v>
      </c>
      <c r="B1135">
        <v>25</v>
      </c>
      <c r="C1135">
        <v>956119.52734375</v>
      </c>
      <c r="D1135">
        <v>974200.44736479281</v>
      </c>
      <c r="E1135">
        <v>8.4555555623815006E-6</v>
      </c>
      <c r="F1135">
        <v>8.4377409085819746E-6</v>
      </c>
      <c r="G1135">
        <v>1.7814653799526009E-8</v>
      </c>
      <c r="H1135" t="b">
        <v>0</v>
      </c>
    </row>
    <row r="1136" spans="1:8" x14ac:dyDescent="0.15">
      <c r="A1136">
        <v>45</v>
      </c>
      <c r="B1136">
        <v>26</v>
      </c>
      <c r="C1136">
        <v>956109.80734375003</v>
      </c>
      <c r="D1136">
        <v>936512.75836827501</v>
      </c>
      <c r="E1136">
        <v>8.4548702656885948E-6</v>
      </c>
      <c r="F1136">
        <v>8.4377409085819746E-6</v>
      </c>
      <c r="G1136">
        <v>1.7129357106620158E-8</v>
      </c>
      <c r="H1136" t="b">
        <v>0</v>
      </c>
    </row>
    <row r="1137" spans="1:8" x14ac:dyDescent="0.15">
      <c r="A1137">
        <v>45</v>
      </c>
      <c r="B1137">
        <v>27</v>
      </c>
      <c r="C1137">
        <v>956114.66734375001</v>
      </c>
      <c r="D1137">
        <v>955368.8149082259</v>
      </c>
      <c r="E1137">
        <v>8.4552131746511215E-6</v>
      </c>
      <c r="F1137">
        <v>8.4377409085819746E-6</v>
      </c>
      <c r="G1137">
        <v>1.7472266069146924E-8</v>
      </c>
      <c r="H1137" t="b">
        <v>0</v>
      </c>
    </row>
    <row r="1138" spans="1:8" x14ac:dyDescent="0.15">
      <c r="A1138">
        <v>46</v>
      </c>
      <c r="B1138">
        <v>1</v>
      </c>
      <c r="C1138">
        <v>6050000</v>
      </c>
      <c r="D1138">
        <v>1.4260496952837192E+18</v>
      </c>
      <c r="E1138">
        <v>536.87092200000006</v>
      </c>
      <c r="F1138">
        <v>2.4228921233770961E-5</v>
      </c>
      <c r="G1138">
        <v>536.87089777107883</v>
      </c>
      <c r="H1138" t="b">
        <v>0</v>
      </c>
    </row>
    <row r="1139" spans="1:8" x14ac:dyDescent="0.15">
      <c r="A1139">
        <v>46</v>
      </c>
      <c r="B1139">
        <v>2</v>
      </c>
      <c r="C1139">
        <v>3075000</v>
      </c>
      <c r="D1139">
        <v>1.4260496952837192E+18</v>
      </c>
      <c r="E1139">
        <v>536.87092200000006</v>
      </c>
      <c r="F1139">
        <v>2.4228921233770961E-5</v>
      </c>
      <c r="G1139">
        <v>536.87089777107883</v>
      </c>
      <c r="H1139" t="b">
        <v>0</v>
      </c>
    </row>
    <row r="1140" spans="1:8" x14ac:dyDescent="0.15">
      <c r="A1140">
        <v>46</v>
      </c>
      <c r="B1140">
        <v>3</v>
      </c>
      <c r="C1140">
        <v>1587500</v>
      </c>
      <c r="D1140">
        <v>1.4202634397722504E+18</v>
      </c>
      <c r="E1140">
        <v>534.94220973130086</v>
      </c>
      <c r="F1140">
        <v>2.4228921233770961E-5</v>
      </c>
      <c r="G1140">
        <v>534.94218550237963</v>
      </c>
      <c r="H1140" t="b">
        <v>0</v>
      </c>
    </row>
    <row r="1141" spans="1:8" x14ac:dyDescent="0.15">
      <c r="A1141">
        <v>46</v>
      </c>
      <c r="B1141">
        <v>4</v>
      </c>
      <c r="C1141">
        <v>843750</v>
      </c>
      <c r="D1141">
        <v>23192106799892.629</v>
      </c>
      <c r="E1141">
        <v>4.2008089887846566E-2</v>
      </c>
      <c r="F1141">
        <v>2.4228921185705243E-5</v>
      </c>
      <c r="G1141">
        <v>4.198386096666086E-2</v>
      </c>
      <c r="H1141" t="b">
        <v>0</v>
      </c>
    </row>
    <row r="1142" spans="1:8" x14ac:dyDescent="0.15">
      <c r="A1142">
        <v>46</v>
      </c>
      <c r="B1142">
        <v>5</v>
      </c>
      <c r="C1142">
        <v>471875</v>
      </c>
      <c r="D1142">
        <v>-292530.44509633927</v>
      </c>
      <c r="E1142">
        <v>4.6953806399971743E-6</v>
      </c>
      <c r="F1142">
        <v>2.4228921185705779E-5</v>
      </c>
      <c r="G1142">
        <v>-1.9533540545708604E-5</v>
      </c>
      <c r="H1142" t="b">
        <v>1</v>
      </c>
    </row>
    <row r="1143" spans="1:8" x14ac:dyDescent="0.15">
      <c r="A1143">
        <v>46</v>
      </c>
      <c r="B1143">
        <v>6</v>
      </c>
      <c r="C1143">
        <v>657812.5</v>
      </c>
      <c r="D1143">
        <v>163577673876.07983</v>
      </c>
      <c r="E1143">
        <v>8.2959596814001447E-4</v>
      </c>
      <c r="F1143">
        <v>2.4228921185705785E-5</v>
      </c>
      <c r="G1143">
        <v>8.0536704695430869E-4</v>
      </c>
      <c r="H1143" t="b">
        <v>0</v>
      </c>
    </row>
    <row r="1144" spans="1:8" x14ac:dyDescent="0.15">
      <c r="A1144">
        <v>46</v>
      </c>
      <c r="B1144">
        <v>7</v>
      </c>
      <c r="C1144">
        <v>564843.75</v>
      </c>
      <c r="D1144">
        <v>1914592958.9718852</v>
      </c>
      <c r="E1144">
        <v>5.1615876883024376E-5</v>
      </c>
      <c r="F1144">
        <v>2.4228921185705779E-5</v>
      </c>
      <c r="G1144">
        <v>2.7386955697318597E-5</v>
      </c>
      <c r="H1144" t="b">
        <v>0</v>
      </c>
    </row>
    <row r="1145" spans="1:8" x14ac:dyDescent="0.15">
      <c r="A1145">
        <v>46</v>
      </c>
      <c r="B1145">
        <v>8</v>
      </c>
      <c r="C1145">
        <v>518359.375</v>
      </c>
      <c r="D1145">
        <v>-11065595.475599427</v>
      </c>
      <c r="E1145">
        <v>1.2281604033870015E-5</v>
      </c>
      <c r="F1145">
        <v>2.4228921185705779E-5</v>
      </c>
      <c r="G1145">
        <v>-1.1947317151835763E-5</v>
      </c>
      <c r="H1145" t="b">
        <v>1</v>
      </c>
    </row>
    <row r="1146" spans="1:8" x14ac:dyDescent="0.15">
      <c r="A1146">
        <v>46</v>
      </c>
      <c r="B1146">
        <v>9</v>
      </c>
      <c r="C1146">
        <v>541601.5625</v>
      </c>
      <c r="D1146">
        <v>-51420476.618077204</v>
      </c>
      <c r="E1146">
        <v>2.2519531874156143E-5</v>
      </c>
      <c r="F1146">
        <v>2.4228921185705779E-5</v>
      </c>
      <c r="G1146">
        <v>-1.7093893115496354E-6</v>
      </c>
      <c r="H1146" t="b">
        <v>1</v>
      </c>
    </row>
    <row r="1147" spans="1:8" x14ac:dyDescent="0.15">
      <c r="A1147">
        <v>46</v>
      </c>
      <c r="B1147">
        <v>10</v>
      </c>
      <c r="C1147">
        <v>553222.65625</v>
      </c>
      <c r="D1147">
        <v>553264063.06624663</v>
      </c>
      <c r="E1147">
        <v>3.4369714692904951E-5</v>
      </c>
      <c r="F1147">
        <v>2.4228921185705779E-5</v>
      </c>
      <c r="G1147">
        <v>1.0140793507199172E-5</v>
      </c>
      <c r="H1147" t="b">
        <v>0</v>
      </c>
    </row>
    <row r="1148" spans="1:8" x14ac:dyDescent="0.15">
      <c r="A1148">
        <v>46</v>
      </c>
      <c r="B1148">
        <v>11</v>
      </c>
      <c r="C1148">
        <v>547412.109375</v>
      </c>
      <c r="D1148">
        <v>166485179.08675876</v>
      </c>
      <c r="E1148">
        <v>2.7878188635430084E-5</v>
      </c>
      <c r="F1148">
        <v>2.4228921185705779E-5</v>
      </c>
      <c r="G1148">
        <v>3.6492674497243054E-6</v>
      </c>
      <c r="H1148" t="b">
        <v>0</v>
      </c>
    </row>
    <row r="1149" spans="1:8" x14ac:dyDescent="0.15">
      <c r="A1149">
        <v>46</v>
      </c>
      <c r="B1149">
        <v>12</v>
      </c>
      <c r="C1149">
        <v>544506.8359375</v>
      </c>
      <c r="D1149">
        <v>31680101.186160978</v>
      </c>
      <c r="E1149">
        <v>2.5069156406067947E-5</v>
      </c>
      <c r="F1149">
        <v>2.4228921185705779E-5</v>
      </c>
      <c r="G1149">
        <v>8.4023522036216872E-7</v>
      </c>
      <c r="H1149" t="b">
        <v>0</v>
      </c>
    </row>
    <row r="1150" spans="1:8" x14ac:dyDescent="0.15">
      <c r="A1150">
        <v>46</v>
      </c>
      <c r="B1150">
        <v>13</v>
      </c>
      <c r="C1150">
        <v>543054.19921875</v>
      </c>
      <c r="D1150">
        <v>-15762727.69205288</v>
      </c>
      <c r="E1150">
        <v>2.3763312395603156E-5</v>
      </c>
      <c r="F1150">
        <v>2.4228921185705779E-5</v>
      </c>
      <c r="G1150">
        <v>-4.6560879010262244E-7</v>
      </c>
      <c r="H1150" t="b">
        <v>1</v>
      </c>
    </row>
    <row r="1151" spans="1:8" x14ac:dyDescent="0.15">
      <c r="A1151">
        <v>46</v>
      </c>
      <c r="B1151">
        <v>14</v>
      </c>
      <c r="C1151">
        <v>543554.19921875</v>
      </c>
      <c r="D1151">
        <v>-818640.68436588102</v>
      </c>
      <c r="E1151">
        <v>2.4205644939375325E-5</v>
      </c>
      <c r="F1151">
        <v>2.4228921185705779E-5</v>
      </c>
      <c r="G1151">
        <v>-2.3276246330453674E-8</v>
      </c>
      <c r="H1151" t="b">
        <v>1</v>
      </c>
    </row>
    <row r="1152" spans="1:8" x14ac:dyDescent="0.15">
      <c r="A1152">
        <v>46</v>
      </c>
      <c r="B1152">
        <v>15</v>
      </c>
      <c r="C1152">
        <v>544054.19921875</v>
      </c>
      <c r="D1152">
        <v>15566252.25992419</v>
      </c>
      <c r="E1152">
        <v>2.4655437944937531E-5</v>
      </c>
      <c r="F1152">
        <v>2.4228921185705779E-5</v>
      </c>
      <c r="G1152">
        <v>4.2651675923175201E-7</v>
      </c>
      <c r="H1152" t="b">
        <v>0</v>
      </c>
    </row>
    <row r="1153" spans="1:8" x14ac:dyDescent="0.15">
      <c r="A1153">
        <v>46</v>
      </c>
      <c r="B1153">
        <v>16</v>
      </c>
      <c r="C1153">
        <v>543804.19921875</v>
      </c>
      <c r="D1153">
        <v>7190896.9864956569</v>
      </c>
      <c r="E1153">
        <v>2.442960298926345E-5</v>
      </c>
      <c r="F1153">
        <v>2.4228921185705779E-5</v>
      </c>
      <c r="G1153">
        <v>2.0068180355767103E-7</v>
      </c>
      <c r="H1153" t="b">
        <v>0</v>
      </c>
    </row>
    <row r="1154" spans="1:8" x14ac:dyDescent="0.15">
      <c r="A1154">
        <v>46</v>
      </c>
      <c r="B1154">
        <v>17</v>
      </c>
      <c r="C1154">
        <v>543504.19921875</v>
      </c>
      <c r="D1154">
        <v>-2377140.2966166437</v>
      </c>
      <c r="E1154">
        <v>2.4161077674720525E-5</v>
      </c>
      <c r="F1154">
        <v>2.4228921185705779E-5</v>
      </c>
      <c r="G1154">
        <v>-6.7843510985253562E-8</v>
      </c>
      <c r="H1154" t="b">
        <v>1</v>
      </c>
    </row>
    <row r="1155" spans="1:8" x14ac:dyDescent="0.15">
      <c r="A1155">
        <v>46</v>
      </c>
      <c r="B1155">
        <v>18</v>
      </c>
      <c r="C1155">
        <v>543654.19921875</v>
      </c>
      <c r="D1155">
        <v>2341629.6398330638</v>
      </c>
      <c r="E1155">
        <v>2.4295003478379369E-5</v>
      </c>
      <c r="F1155">
        <v>2.4228921185705779E-5</v>
      </c>
      <c r="G1155">
        <v>6.6082292673590057E-8</v>
      </c>
      <c r="H1155" t="b">
        <v>0</v>
      </c>
    </row>
    <row r="1156" spans="1:8" x14ac:dyDescent="0.15">
      <c r="A1156">
        <v>46</v>
      </c>
      <c r="B1156">
        <v>19</v>
      </c>
      <c r="C1156">
        <v>543579.19921875</v>
      </c>
      <c r="D1156">
        <v>-33990.525706141219</v>
      </c>
      <c r="E1156">
        <v>2.4227956551967972E-5</v>
      </c>
      <c r="F1156">
        <v>2.4228921185705779E-5</v>
      </c>
      <c r="G1156">
        <v>-9.6463373780677933E-10</v>
      </c>
      <c r="H1156" t="b">
        <v>1</v>
      </c>
    </row>
    <row r="1157" spans="1:8" x14ac:dyDescent="0.15">
      <c r="A1157">
        <v>46</v>
      </c>
      <c r="B1157">
        <v>20</v>
      </c>
      <c r="C1157">
        <v>543616.69921875</v>
      </c>
      <c r="D1157">
        <v>1149649.4655090475</v>
      </c>
      <c r="E1157">
        <v>2.4261456115590193E-5</v>
      </c>
      <c r="F1157">
        <v>2.4228921185705779E-5</v>
      </c>
      <c r="G1157">
        <v>3.2534929884414285E-8</v>
      </c>
      <c r="H1157" t="b">
        <v>0</v>
      </c>
    </row>
    <row r="1158" spans="1:8" x14ac:dyDescent="0.15">
      <c r="A1158">
        <v>46</v>
      </c>
      <c r="B1158">
        <v>21</v>
      </c>
      <c r="C1158">
        <v>543597.94921875</v>
      </c>
      <c r="D1158">
        <v>556763.08660007955</v>
      </c>
      <c r="E1158">
        <v>2.4244699646477225E-5</v>
      </c>
      <c r="F1158">
        <v>2.4228921185705779E-5</v>
      </c>
      <c r="G1158">
        <v>1.5778460771446399E-8</v>
      </c>
      <c r="H1158" t="b">
        <v>0</v>
      </c>
    </row>
    <row r="1159" spans="1:8" x14ac:dyDescent="0.15">
      <c r="A1159">
        <v>46</v>
      </c>
      <c r="B1159">
        <v>22</v>
      </c>
      <c r="C1159">
        <v>543575.44921875</v>
      </c>
      <c r="D1159">
        <v>-152018.80484087218</v>
      </c>
      <c r="E1159">
        <v>2.4224605754851164E-5</v>
      </c>
      <c r="F1159">
        <v>2.4228921185705779E-5</v>
      </c>
      <c r="G1159">
        <v>-4.3154308546151303E-9</v>
      </c>
      <c r="H1159" t="b">
        <v>1</v>
      </c>
    </row>
    <row r="1160" spans="1:8" x14ac:dyDescent="0.15">
      <c r="A1160">
        <v>46</v>
      </c>
      <c r="B1160">
        <v>23</v>
      </c>
      <c r="C1160">
        <v>543586.69921875</v>
      </c>
      <c r="D1160">
        <v>202107.78749768954</v>
      </c>
      <c r="E1160">
        <v>2.4234653676173864E-5</v>
      </c>
      <c r="F1160">
        <v>2.4228921185705779E-5</v>
      </c>
      <c r="G1160">
        <v>5.7324904680853541E-9</v>
      </c>
      <c r="H1160" t="b">
        <v>0</v>
      </c>
    </row>
    <row r="1161" spans="1:8" x14ac:dyDescent="0.15">
      <c r="A1161">
        <v>46</v>
      </c>
      <c r="B1161">
        <v>24</v>
      </c>
      <c r="C1161">
        <v>543600.19921875</v>
      </c>
      <c r="D1161">
        <v>627903.49491592753</v>
      </c>
      <c r="E1161">
        <v>2.4246712735784327E-5</v>
      </c>
      <c r="F1161">
        <v>2.4228921185705779E-5</v>
      </c>
      <c r="G1161">
        <v>1.7791550078548026E-8</v>
      </c>
      <c r="H1161" t="b">
        <v>0</v>
      </c>
    </row>
    <row r="1162" spans="1:8" x14ac:dyDescent="0.15">
      <c r="A1162">
        <v>46</v>
      </c>
      <c r="B1162">
        <v>25</v>
      </c>
      <c r="C1162">
        <v>543593.44921875</v>
      </c>
      <c r="D1162">
        <v>414772.77790129068</v>
      </c>
      <c r="E1162">
        <v>2.4240679657845485E-5</v>
      </c>
      <c r="F1162">
        <v>2.4228921185705779E-5</v>
      </c>
      <c r="G1162">
        <v>1.1758472139705971E-8</v>
      </c>
      <c r="H1162" t="b">
        <v>0</v>
      </c>
    </row>
    <row r="1163" spans="1:8" x14ac:dyDescent="0.15">
      <c r="A1163">
        <v>46</v>
      </c>
      <c r="B1163">
        <v>26</v>
      </c>
      <c r="C1163">
        <v>543596.82421875</v>
      </c>
      <c r="D1163">
        <v>521355.84361110232</v>
      </c>
      <c r="E1163">
        <v>2.424369746019721E-5</v>
      </c>
      <c r="F1163">
        <v>2.4228921185705779E-5</v>
      </c>
      <c r="G1163">
        <v>1.4776274491431113E-8</v>
      </c>
      <c r="H1163" t="b">
        <v>0</v>
      </c>
    </row>
    <row r="1164" spans="1:8" x14ac:dyDescent="0.15">
      <c r="A1164">
        <v>46</v>
      </c>
      <c r="B1164">
        <v>27</v>
      </c>
      <c r="C1164">
        <v>543600.87421875005</v>
      </c>
      <c r="D1164">
        <v>649220.92560384539</v>
      </c>
      <c r="E1164">
        <v>2.42473158317656E-5</v>
      </c>
      <c r="F1164">
        <v>2.4228921185705779E-5</v>
      </c>
      <c r="G1164">
        <v>1.8394646059821662E-8</v>
      </c>
      <c r="H1164" t="b">
        <v>0</v>
      </c>
    </row>
    <row r="1165" spans="1:8" x14ac:dyDescent="0.15">
      <c r="A1165">
        <v>46</v>
      </c>
      <c r="B1165">
        <v>28</v>
      </c>
      <c r="C1165">
        <v>543598.84921875002</v>
      </c>
      <c r="D1165">
        <v>585175.19111740019</v>
      </c>
      <c r="E1165">
        <v>2.4245503716840224E-5</v>
      </c>
      <c r="F1165">
        <v>2.4228921185705779E-5</v>
      </c>
      <c r="G1165">
        <v>1.6582531134445546E-8</v>
      </c>
      <c r="H1165" t="b">
        <v>0</v>
      </c>
    </row>
    <row r="1166" spans="1:8" x14ac:dyDescent="0.15">
      <c r="A1166">
        <v>46</v>
      </c>
      <c r="B1166">
        <v>29</v>
      </c>
      <c r="C1166">
        <v>543596.41921874997</v>
      </c>
      <c r="D1166">
        <v>508574.54925228364</v>
      </c>
      <c r="E1166">
        <v>2.4243335650008731E-5</v>
      </c>
      <c r="F1166">
        <v>2.4228921185705779E-5</v>
      </c>
      <c r="G1166">
        <v>1.4414464302952532E-8</v>
      </c>
      <c r="H1166" t="b">
        <v>0</v>
      </c>
    </row>
    <row r="1167" spans="1:8" x14ac:dyDescent="0.15">
      <c r="A1167">
        <v>46</v>
      </c>
      <c r="B1167">
        <v>30</v>
      </c>
      <c r="C1167">
        <v>543597.63421874994</v>
      </c>
      <c r="D1167">
        <v>546921.27616044122</v>
      </c>
      <c r="E1167">
        <v>2.4244421095286889E-5</v>
      </c>
      <c r="F1167">
        <v>2.4228921185705779E-5</v>
      </c>
      <c r="G1167">
        <v>1.5499909581110011E-8</v>
      </c>
      <c r="H1167" t="b">
        <v>0</v>
      </c>
    </row>
    <row r="1168" spans="1:8" x14ac:dyDescent="0.15">
      <c r="A1168">
        <v>47</v>
      </c>
      <c r="B1168">
        <v>1</v>
      </c>
      <c r="C1168">
        <v>6050000</v>
      </c>
      <c r="D1168">
        <v>2.3712368266250189E+18</v>
      </c>
      <c r="E1168">
        <v>536.87092200000018</v>
      </c>
      <c r="F1168">
        <v>1.7510233988105028E-5</v>
      </c>
      <c r="G1168">
        <v>536.87090448976619</v>
      </c>
      <c r="H1168" t="b">
        <v>0</v>
      </c>
    </row>
    <row r="1169" spans="1:8" x14ac:dyDescent="0.15">
      <c r="A1169">
        <v>47</v>
      </c>
      <c r="B1169">
        <v>2</v>
      </c>
      <c r="C1169">
        <v>3075000</v>
      </c>
      <c r="D1169">
        <v>2.3712368266250184E+18</v>
      </c>
      <c r="E1169">
        <v>536.87092200000006</v>
      </c>
      <c r="F1169">
        <v>1.7510233988105028E-5</v>
      </c>
      <c r="G1169">
        <v>536.87090448976608</v>
      </c>
      <c r="H1169" t="b">
        <v>0</v>
      </c>
    </row>
    <row r="1170" spans="1:8" x14ac:dyDescent="0.15">
      <c r="A1170">
        <v>47</v>
      </c>
      <c r="B1170">
        <v>3</v>
      </c>
      <c r="C1170">
        <v>1587500</v>
      </c>
      <c r="D1170">
        <v>3.2242913666769384E+16</v>
      </c>
      <c r="E1170">
        <v>12.398872375146549</v>
      </c>
      <c r="F1170">
        <v>1.7510234039619377E-5</v>
      </c>
      <c r="G1170">
        <v>12.39885486491251</v>
      </c>
      <c r="H1170" t="b">
        <v>0</v>
      </c>
    </row>
    <row r="1171" spans="1:8" x14ac:dyDescent="0.15">
      <c r="A1171">
        <v>47</v>
      </c>
      <c r="B1171">
        <v>4</v>
      </c>
      <c r="C1171">
        <v>843750</v>
      </c>
      <c r="D1171">
        <v>614196754715.83167</v>
      </c>
      <c r="E1171">
        <v>1.5138550454427281E-3</v>
      </c>
      <c r="F1171">
        <v>1.7510234040073441E-5</v>
      </c>
      <c r="G1171">
        <v>1.4963448114026546E-3</v>
      </c>
      <c r="H1171" t="b">
        <v>0</v>
      </c>
    </row>
    <row r="1172" spans="1:8" x14ac:dyDescent="0.15">
      <c r="A1172">
        <v>47</v>
      </c>
      <c r="B1172">
        <v>5</v>
      </c>
      <c r="C1172">
        <v>471875</v>
      </c>
      <c r="D1172">
        <v>-83677.666049900494</v>
      </c>
      <c r="E1172">
        <v>-1.0829016630743706E-6</v>
      </c>
      <c r="F1172">
        <v>1.751023404007341E-5</v>
      </c>
      <c r="G1172">
        <v>-1.8593135703147781E-5</v>
      </c>
      <c r="H1172" t="b">
        <v>1</v>
      </c>
    </row>
    <row r="1173" spans="1:8" x14ac:dyDescent="0.15">
      <c r="A1173">
        <v>47</v>
      </c>
      <c r="B1173">
        <v>6</v>
      </c>
      <c r="C1173">
        <v>657812.5</v>
      </c>
      <c r="D1173">
        <v>17677833.73866966</v>
      </c>
      <c r="E1173">
        <v>1.7871386527427404E-5</v>
      </c>
      <c r="F1173">
        <v>1.751023404007341E-5</v>
      </c>
      <c r="G1173">
        <v>3.6115248735399386E-7</v>
      </c>
      <c r="H1173" t="b">
        <v>0</v>
      </c>
    </row>
    <row r="1174" spans="1:8" x14ac:dyDescent="0.15">
      <c r="A1174">
        <v>47</v>
      </c>
      <c r="B1174">
        <v>7</v>
      </c>
      <c r="C1174">
        <v>564843.75</v>
      </c>
      <c r="D1174">
        <v>-333519.28311906941</v>
      </c>
      <c r="E1174">
        <v>3.405915840884369E-6</v>
      </c>
      <c r="F1174">
        <v>1.751023404007341E-5</v>
      </c>
      <c r="G1174">
        <v>-1.4104318199189041E-5</v>
      </c>
      <c r="H1174" t="b">
        <v>1</v>
      </c>
    </row>
    <row r="1175" spans="1:8" x14ac:dyDescent="0.15">
      <c r="A1175">
        <v>47</v>
      </c>
      <c r="B1175">
        <v>8</v>
      </c>
      <c r="C1175">
        <v>611328.125</v>
      </c>
      <c r="D1175">
        <v>-3639110.6893625553</v>
      </c>
      <c r="E1175">
        <v>7.5778491924030084E-6</v>
      </c>
      <c r="F1175">
        <v>1.751023404007341E-5</v>
      </c>
      <c r="G1175">
        <v>-9.9323848476704018E-6</v>
      </c>
      <c r="H1175" t="b">
        <v>1</v>
      </c>
    </row>
    <row r="1176" spans="1:8" x14ac:dyDescent="0.15">
      <c r="A1176">
        <v>47</v>
      </c>
      <c r="B1176">
        <v>9</v>
      </c>
      <c r="C1176">
        <v>634570.3125</v>
      </c>
      <c r="D1176">
        <v>-46187025.541935928</v>
      </c>
      <c r="E1176">
        <v>1.0982494055849489E-5</v>
      </c>
      <c r="F1176">
        <v>1.751023404007341E-5</v>
      </c>
      <c r="G1176">
        <v>-6.5277399842239212E-6</v>
      </c>
      <c r="H1176" t="b">
        <v>1</v>
      </c>
    </row>
    <row r="1177" spans="1:8" x14ac:dyDescent="0.15">
      <c r="A1177">
        <v>47</v>
      </c>
      <c r="B1177">
        <v>10</v>
      </c>
      <c r="C1177">
        <v>646191.40625</v>
      </c>
      <c r="D1177">
        <v>-87732988.204012617</v>
      </c>
      <c r="E1177">
        <v>1.3121200951970559E-5</v>
      </c>
      <c r="F1177">
        <v>1.751023404007341E-5</v>
      </c>
      <c r="G1177">
        <v>-4.3890330881028514E-6</v>
      </c>
      <c r="H1177" t="b">
        <v>1</v>
      </c>
    </row>
    <row r="1178" spans="1:8" x14ac:dyDescent="0.15">
      <c r="A1178">
        <v>47</v>
      </c>
      <c r="B1178">
        <v>11</v>
      </c>
      <c r="C1178">
        <v>652001.953125</v>
      </c>
      <c r="D1178">
        <v>-79849741.049962997</v>
      </c>
      <c r="E1178">
        <v>1.4989559469267248E-5</v>
      </c>
      <c r="F1178">
        <v>1.751023404007341E-5</v>
      </c>
      <c r="G1178">
        <v>-2.5206745708061621E-6</v>
      </c>
      <c r="H1178" t="b">
        <v>1</v>
      </c>
    </row>
    <row r="1179" spans="1:8" x14ac:dyDescent="0.15">
      <c r="A1179">
        <v>47</v>
      </c>
      <c r="B1179">
        <v>12</v>
      </c>
      <c r="C1179">
        <v>654907.2265625</v>
      </c>
      <c r="D1179">
        <v>-45611049.248847589</v>
      </c>
      <c r="E1179">
        <v>1.6373192342484544E-5</v>
      </c>
      <c r="F1179">
        <v>1.751023404007341E-5</v>
      </c>
      <c r="G1179">
        <v>-1.137041697588866E-6</v>
      </c>
      <c r="H1179" t="b">
        <v>1</v>
      </c>
    </row>
    <row r="1180" spans="1:8" x14ac:dyDescent="0.15">
      <c r="A1180">
        <v>47</v>
      </c>
      <c r="B1180">
        <v>13</v>
      </c>
      <c r="C1180">
        <v>656359.86328125</v>
      </c>
      <c r="D1180">
        <v>-17918354.954980612</v>
      </c>
      <c r="E1180">
        <v>1.7107430158273148E-5</v>
      </c>
      <c r="F1180">
        <v>1.751023404007341E-5</v>
      </c>
      <c r="G1180">
        <v>-4.0280388180026209E-7</v>
      </c>
      <c r="H1180" t="b">
        <v>1</v>
      </c>
    </row>
    <row r="1181" spans="1:8" x14ac:dyDescent="0.15">
      <c r="A1181">
        <v>47</v>
      </c>
      <c r="B1181">
        <v>14</v>
      </c>
      <c r="C1181">
        <v>656859.86328125</v>
      </c>
      <c r="D1181">
        <v>-6591272.1779081896</v>
      </c>
      <c r="E1181">
        <v>1.7366977662716056E-5</v>
      </c>
      <c r="F1181">
        <v>1.751023404007341E-5</v>
      </c>
      <c r="G1181">
        <v>-1.4325637735735432E-7</v>
      </c>
      <c r="H1181" t="b">
        <v>1</v>
      </c>
    </row>
    <row r="1182" spans="1:8" x14ac:dyDescent="0.15">
      <c r="A1182">
        <v>47</v>
      </c>
      <c r="B1182">
        <v>15</v>
      </c>
      <c r="C1182">
        <v>657359.86328125</v>
      </c>
      <c r="D1182">
        <v>5698810.5732682319</v>
      </c>
      <c r="E1182">
        <v>1.7630089091688324E-5</v>
      </c>
      <c r="F1182">
        <v>1.751023404007341E-5</v>
      </c>
      <c r="G1182">
        <v>1.1985505161491374E-7</v>
      </c>
      <c r="H1182" t="b">
        <v>0</v>
      </c>
    </row>
    <row r="1183" spans="1:8" x14ac:dyDescent="0.15">
      <c r="A1183">
        <v>47</v>
      </c>
      <c r="B1183">
        <v>16</v>
      </c>
      <c r="C1183">
        <v>657109.86328125</v>
      </c>
      <c r="D1183">
        <v>-568293.8715127937</v>
      </c>
      <c r="E1183">
        <v>1.7498085184865049E-5</v>
      </c>
      <c r="F1183">
        <v>1.751023404007341E-5</v>
      </c>
      <c r="G1183">
        <v>-1.2148855208360935E-8</v>
      </c>
      <c r="H1183" t="b">
        <v>1</v>
      </c>
    </row>
    <row r="1184" spans="1:8" x14ac:dyDescent="0.15">
      <c r="A1184">
        <v>47</v>
      </c>
      <c r="B1184">
        <v>17</v>
      </c>
      <c r="C1184">
        <v>657234.86328125</v>
      </c>
      <c r="D1184">
        <v>2534625.695008961</v>
      </c>
      <c r="E1184">
        <v>1.7563976757064256E-5</v>
      </c>
      <c r="F1184">
        <v>1.751023404007341E-5</v>
      </c>
      <c r="G1184">
        <v>5.3742716990845969E-8</v>
      </c>
      <c r="H1184" t="b">
        <v>0</v>
      </c>
    </row>
    <row r="1185" spans="1:8" x14ac:dyDescent="0.15">
      <c r="A1185">
        <v>47</v>
      </c>
      <c r="B1185">
        <v>18</v>
      </c>
      <c r="C1185">
        <v>657172.36328125</v>
      </c>
      <c r="D1185">
        <v>975557.19652215985</v>
      </c>
      <c r="E1185">
        <v>1.7531003916316685E-5</v>
      </c>
      <c r="F1185">
        <v>1.751023404007341E-5</v>
      </c>
      <c r="G1185">
        <v>2.0769876243274923E-8</v>
      </c>
      <c r="H1185" t="b">
        <v>0</v>
      </c>
    </row>
    <row r="1186" spans="1:8" x14ac:dyDescent="0.15">
      <c r="A1186">
        <v>47</v>
      </c>
      <c r="B1186">
        <v>19</v>
      </c>
      <c r="C1186">
        <v>657097.36328125</v>
      </c>
      <c r="D1186">
        <v>-875212.58220977767</v>
      </c>
      <c r="E1186">
        <v>1.749150856494597E-5</v>
      </c>
      <c r="F1186">
        <v>1.751023404007341E-5</v>
      </c>
      <c r="G1186">
        <v>-1.8725475127440031E-8</v>
      </c>
      <c r="H1186" t="b">
        <v>1</v>
      </c>
    </row>
    <row r="1187" spans="1:8" x14ac:dyDescent="0.15">
      <c r="A1187">
        <v>47</v>
      </c>
      <c r="B1187">
        <v>20</v>
      </c>
      <c r="C1187">
        <v>657134.86328125</v>
      </c>
      <c r="D1187">
        <v>47374.906805196479</v>
      </c>
      <c r="E1187">
        <v>1.7511245148249749E-5</v>
      </c>
      <c r="F1187">
        <v>1.751023404007341E-5</v>
      </c>
      <c r="G1187">
        <v>1.0111081763384188E-9</v>
      </c>
      <c r="H1187" t="b">
        <v>0</v>
      </c>
    </row>
    <row r="1188" spans="1:8" x14ac:dyDescent="0.15">
      <c r="A1188">
        <v>47</v>
      </c>
      <c r="B1188">
        <v>21</v>
      </c>
      <c r="C1188">
        <v>657179.86328125</v>
      </c>
      <c r="D1188">
        <v>1161835.957468261</v>
      </c>
      <c r="E1188">
        <v>1.7534957692960757E-5</v>
      </c>
      <c r="F1188">
        <v>1.751023404007341E-5</v>
      </c>
      <c r="G1188">
        <v>2.4723652887347254E-8</v>
      </c>
      <c r="H1188" t="b">
        <v>0</v>
      </c>
    </row>
    <row r="1189" spans="1:8" x14ac:dyDescent="0.15">
      <c r="A1189">
        <v>47</v>
      </c>
      <c r="B1189">
        <v>22</v>
      </c>
      <c r="C1189">
        <v>657157.36328125</v>
      </c>
      <c r="D1189">
        <v>603566.87581916677</v>
      </c>
      <c r="E1189">
        <v>1.7523096783872527E-5</v>
      </c>
      <c r="F1189">
        <v>1.751023404007341E-5</v>
      </c>
      <c r="G1189">
        <v>1.2862743799116685E-8</v>
      </c>
      <c r="H1189" t="b">
        <v>0</v>
      </c>
    </row>
    <row r="1190" spans="1:8" x14ac:dyDescent="0.15">
      <c r="A1190">
        <v>47</v>
      </c>
      <c r="B1190">
        <v>23</v>
      </c>
      <c r="C1190">
        <v>657168.61328125</v>
      </c>
      <c r="D1190">
        <v>882500.50026728376</v>
      </c>
      <c r="E1190">
        <v>1.7529027330993267E-5</v>
      </c>
      <c r="F1190">
        <v>1.751023404007341E-5</v>
      </c>
      <c r="G1190">
        <v>1.8793290919857182E-8</v>
      </c>
      <c r="H1190" t="b">
        <v>0</v>
      </c>
    </row>
    <row r="1191" spans="1:8" x14ac:dyDescent="0.15">
      <c r="A1191">
        <v>47</v>
      </c>
      <c r="B1191">
        <v>24</v>
      </c>
      <c r="C1191">
        <v>657162.98828125</v>
      </c>
      <c r="D1191">
        <v>742924.55763265409</v>
      </c>
      <c r="E1191">
        <v>1.752606082841899E-5</v>
      </c>
      <c r="F1191">
        <v>1.751023404007341E-5</v>
      </c>
      <c r="G1191">
        <v>1.582678834558023E-8</v>
      </c>
      <c r="H1191" t="b">
        <v>0</v>
      </c>
    </row>
    <row r="1192" spans="1:8" x14ac:dyDescent="0.15">
      <c r="A1192">
        <v>47</v>
      </c>
      <c r="B1192">
        <v>25</v>
      </c>
      <c r="C1192">
        <v>657156.23828125</v>
      </c>
      <c r="D1192">
        <v>575710.21043240535</v>
      </c>
      <c r="E1192">
        <v>1.7522504029483368E-5</v>
      </c>
      <c r="F1192">
        <v>1.751023404007341E-5</v>
      </c>
      <c r="G1192">
        <v>1.2269989409958179E-8</v>
      </c>
      <c r="H1192" t="b">
        <v>0</v>
      </c>
    </row>
    <row r="1193" spans="1:8" x14ac:dyDescent="0.15">
      <c r="A1193">
        <v>47</v>
      </c>
      <c r="B1193">
        <v>26</v>
      </c>
      <c r="C1193">
        <v>657159.61328125</v>
      </c>
      <c r="D1193">
        <v>659295.0766186564</v>
      </c>
      <c r="E1193">
        <v>1.7524282347169032E-5</v>
      </c>
      <c r="F1193">
        <v>1.751023404007341E-5</v>
      </c>
      <c r="G1193">
        <v>1.4048307095621758E-8</v>
      </c>
      <c r="H1193" t="b">
        <v>0</v>
      </c>
    </row>
    <row r="1194" spans="1:8" x14ac:dyDescent="0.15">
      <c r="A1194">
        <v>48</v>
      </c>
      <c r="B1194">
        <v>1</v>
      </c>
      <c r="C1194">
        <v>6050000</v>
      </c>
      <c r="D1194">
        <v>3.8516351649438899E+18</v>
      </c>
      <c r="E1194">
        <v>536.87092199999995</v>
      </c>
      <c r="F1194">
        <v>1.2788591561729845E-5</v>
      </c>
      <c r="G1194">
        <v>536.87090921140839</v>
      </c>
      <c r="H1194" t="b">
        <v>0</v>
      </c>
    </row>
    <row r="1195" spans="1:8" x14ac:dyDescent="0.15">
      <c r="A1195">
        <v>48</v>
      </c>
      <c r="B1195">
        <v>2</v>
      </c>
      <c r="C1195">
        <v>3075000</v>
      </c>
      <c r="D1195">
        <v>3.8516351649438904E+18</v>
      </c>
      <c r="E1195">
        <v>536.87092200000006</v>
      </c>
      <c r="F1195">
        <v>1.2788591561729845E-5</v>
      </c>
      <c r="G1195">
        <v>536.8709092114085</v>
      </c>
      <c r="H1195" t="b">
        <v>0</v>
      </c>
    </row>
    <row r="1196" spans="1:8" x14ac:dyDescent="0.15">
      <c r="A1196">
        <v>48</v>
      </c>
      <c r="B1196">
        <v>3</v>
      </c>
      <c r="C1196">
        <v>1587500</v>
      </c>
      <c r="D1196">
        <v>1667646887464457.5</v>
      </c>
      <c r="E1196">
        <v>0.64219362208210073</v>
      </c>
      <c r="F1196">
        <v>1.2788591577050923E-5</v>
      </c>
      <c r="G1196">
        <v>0.64218083349052368</v>
      </c>
      <c r="H1196" t="b">
        <v>0</v>
      </c>
    </row>
    <row r="1197" spans="1:8" x14ac:dyDescent="0.15">
      <c r="A1197">
        <v>48</v>
      </c>
      <c r="B1197">
        <v>4</v>
      </c>
      <c r="C1197">
        <v>843750</v>
      </c>
      <c r="D1197">
        <v>9979412194.6124249</v>
      </c>
      <c r="E1197">
        <v>5.7798600034979268E-5</v>
      </c>
      <c r="F1197">
        <v>1.2788591577026095E-5</v>
      </c>
      <c r="G1197">
        <v>4.5010008457953174E-5</v>
      </c>
      <c r="H1197" t="b">
        <v>0</v>
      </c>
    </row>
    <row r="1198" spans="1:8" x14ac:dyDescent="0.15">
      <c r="A1198">
        <v>48</v>
      </c>
      <c r="B1198">
        <v>5</v>
      </c>
      <c r="C1198">
        <v>471875</v>
      </c>
      <c r="D1198">
        <v>-34104.34042388809</v>
      </c>
      <c r="E1198">
        <v>-4.9525284203254476E-6</v>
      </c>
      <c r="F1198">
        <v>1.2788591577026091E-5</v>
      </c>
      <c r="G1198">
        <v>-1.7741119997351538E-5</v>
      </c>
      <c r="H1198" t="b">
        <v>1</v>
      </c>
    </row>
    <row r="1199" spans="1:8" x14ac:dyDescent="0.15">
      <c r="A1199">
        <v>48</v>
      </c>
      <c r="B1199">
        <v>6</v>
      </c>
      <c r="C1199">
        <v>657812.5</v>
      </c>
      <c r="D1199">
        <v>-350237.64441766473</v>
      </c>
      <c r="E1199">
        <v>2.3448504685751643E-6</v>
      </c>
      <c r="F1199">
        <v>1.2788591577026091E-5</v>
      </c>
      <c r="G1199">
        <v>-1.0443741108450927E-5</v>
      </c>
      <c r="H1199" t="b">
        <v>1</v>
      </c>
    </row>
    <row r="1200" spans="1:8" x14ac:dyDescent="0.15">
      <c r="A1200">
        <v>48</v>
      </c>
      <c r="B1200">
        <v>7</v>
      </c>
      <c r="C1200">
        <v>750781.25</v>
      </c>
      <c r="D1200">
        <v>-55844829.948811531</v>
      </c>
      <c r="E1200">
        <v>8.6307788904603182E-6</v>
      </c>
      <c r="F1200">
        <v>1.2788591577026091E-5</v>
      </c>
      <c r="G1200">
        <v>-4.157812686565773E-6</v>
      </c>
      <c r="H1200" t="b">
        <v>1</v>
      </c>
    </row>
    <row r="1201" spans="1:8" x14ac:dyDescent="0.15">
      <c r="A1201">
        <v>48</v>
      </c>
      <c r="B1201">
        <v>8</v>
      </c>
      <c r="C1201">
        <v>797265.625</v>
      </c>
      <c r="D1201">
        <v>916677410.08014011</v>
      </c>
      <c r="E1201">
        <v>2.0115157556886489E-5</v>
      </c>
      <c r="F1201">
        <v>1.2788591577026091E-5</v>
      </c>
      <c r="G1201">
        <v>7.3265659798603981E-6</v>
      </c>
      <c r="H1201" t="b">
        <v>0</v>
      </c>
    </row>
    <row r="1202" spans="1:8" x14ac:dyDescent="0.15">
      <c r="A1202">
        <v>48</v>
      </c>
      <c r="B1202">
        <v>9</v>
      </c>
      <c r="C1202">
        <v>774023.4375</v>
      </c>
      <c r="D1202">
        <v>-56664682.993355274</v>
      </c>
      <c r="E1202">
        <v>1.1566807287549191E-5</v>
      </c>
      <c r="F1202">
        <v>1.2788591577026091E-5</v>
      </c>
      <c r="G1202">
        <v>-1.2217842894768998E-6</v>
      </c>
      <c r="H1202" t="b">
        <v>1</v>
      </c>
    </row>
    <row r="1203" spans="1:8" x14ac:dyDescent="0.15">
      <c r="A1203">
        <v>48</v>
      </c>
      <c r="B1203">
        <v>10</v>
      </c>
      <c r="C1203">
        <v>785644.53125</v>
      </c>
      <c r="D1203">
        <v>203798361.90440238</v>
      </c>
      <c r="E1203">
        <v>1.5171411978855921E-5</v>
      </c>
      <c r="F1203">
        <v>1.2788591577026091E-5</v>
      </c>
      <c r="G1203">
        <v>2.3828204018298298E-6</v>
      </c>
      <c r="H1203" t="b">
        <v>0</v>
      </c>
    </row>
    <row r="1204" spans="1:8" x14ac:dyDescent="0.15">
      <c r="A1204">
        <v>48</v>
      </c>
      <c r="B1204">
        <v>11</v>
      </c>
      <c r="C1204">
        <v>779833.984375</v>
      </c>
      <c r="D1204">
        <v>22224617.789887104</v>
      </c>
      <c r="E1204">
        <v>1.3136519003742856E-5</v>
      </c>
      <c r="F1204">
        <v>1.2788591577026091E-5</v>
      </c>
      <c r="G1204">
        <v>3.4792742671676505E-7</v>
      </c>
      <c r="H1204" t="b">
        <v>0</v>
      </c>
    </row>
    <row r="1205" spans="1:8" x14ac:dyDescent="0.15">
      <c r="A1205">
        <v>48</v>
      </c>
      <c r="B1205">
        <v>12</v>
      </c>
      <c r="C1205">
        <v>776928.7109375</v>
      </c>
      <c r="D1205">
        <v>-30806377.47352349</v>
      </c>
      <c r="E1205">
        <v>1.2214646936301086E-5</v>
      </c>
      <c r="F1205">
        <v>1.2788591577026091E-5</v>
      </c>
      <c r="G1205">
        <v>-5.73944640725005E-7</v>
      </c>
      <c r="H1205" t="b">
        <v>1</v>
      </c>
    </row>
    <row r="1206" spans="1:8" x14ac:dyDescent="0.15">
      <c r="A1206">
        <v>48</v>
      </c>
      <c r="B1206">
        <v>13</v>
      </c>
      <c r="C1206">
        <v>778381.34765625</v>
      </c>
      <c r="D1206">
        <v>-7081162.0676636891</v>
      </c>
      <c r="E1206">
        <v>1.266800110625889E-5</v>
      </c>
      <c r="F1206">
        <v>1.2788591577026091E-5</v>
      </c>
      <c r="G1206">
        <v>-1.2059047076720148E-7</v>
      </c>
      <c r="H1206" t="b">
        <v>1</v>
      </c>
    </row>
    <row r="1207" spans="1:8" x14ac:dyDescent="0.15">
      <c r="A1207">
        <v>48</v>
      </c>
      <c r="B1207">
        <v>14</v>
      </c>
      <c r="C1207">
        <v>778881.34765625</v>
      </c>
      <c r="D1207">
        <v>2355227.2863947586</v>
      </c>
      <c r="E1207">
        <v>1.2827531661841057E-5</v>
      </c>
      <c r="F1207">
        <v>1.2788591577026091E-5</v>
      </c>
      <c r="G1207">
        <v>3.8940084814965858E-8</v>
      </c>
      <c r="H1207" t="b">
        <v>0</v>
      </c>
    </row>
    <row r="1208" spans="1:8" x14ac:dyDescent="0.15">
      <c r="A1208">
        <v>48</v>
      </c>
      <c r="B1208">
        <v>15</v>
      </c>
      <c r="C1208">
        <v>778631.34765625</v>
      </c>
      <c r="D1208">
        <v>-2446650.9774633194</v>
      </c>
      <c r="E1208">
        <v>1.2747540682162449E-5</v>
      </c>
      <c r="F1208">
        <v>1.2788591577026091E-5</v>
      </c>
      <c r="G1208">
        <v>-4.1050894863642708E-8</v>
      </c>
      <c r="H1208" t="b">
        <v>1</v>
      </c>
    </row>
    <row r="1209" spans="1:8" x14ac:dyDescent="0.15">
      <c r="A1209">
        <v>48</v>
      </c>
      <c r="B1209">
        <v>16</v>
      </c>
      <c r="C1209">
        <v>778756.34765625</v>
      </c>
      <c r="D1209">
        <v>-66851.376993044323</v>
      </c>
      <c r="E1209">
        <v>1.2787478157081769E-5</v>
      </c>
      <c r="F1209">
        <v>1.2788591577026091E-5</v>
      </c>
      <c r="G1209">
        <v>-1.1134199443218307E-9</v>
      </c>
      <c r="H1209" t="b">
        <v>1</v>
      </c>
    </row>
    <row r="1210" spans="1:8" x14ac:dyDescent="0.15">
      <c r="A1210">
        <v>48</v>
      </c>
      <c r="B1210">
        <v>17</v>
      </c>
      <c r="C1210">
        <v>778881.34765625</v>
      </c>
      <c r="D1210">
        <v>2355227.2863947586</v>
      </c>
      <c r="E1210">
        <v>1.2827531661841057E-5</v>
      </c>
      <c r="F1210">
        <v>1.2788591577026091E-5</v>
      </c>
      <c r="G1210">
        <v>3.8940084814965858E-8</v>
      </c>
      <c r="H1210" t="b">
        <v>0</v>
      </c>
    </row>
    <row r="1211" spans="1:8" x14ac:dyDescent="0.15">
      <c r="A1211">
        <v>48</v>
      </c>
      <c r="B1211">
        <v>18</v>
      </c>
      <c r="C1211">
        <v>778818.84765625</v>
      </c>
      <c r="D1211">
        <v>1138951.7538587109</v>
      </c>
      <c r="E1211">
        <v>1.2807491473807157E-5</v>
      </c>
      <c r="F1211">
        <v>1.2788591577026091E-5</v>
      </c>
      <c r="G1211">
        <v>1.8899896781065582E-8</v>
      </c>
      <c r="H1211" t="b">
        <v>0</v>
      </c>
    </row>
    <row r="1212" spans="1:8" x14ac:dyDescent="0.15">
      <c r="A1212">
        <v>48</v>
      </c>
      <c r="B1212">
        <v>19</v>
      </c>
      <c r="C1212">
        <v>778743.84765625</v>
      </c>
      <c r="D1212">
        <v>-306730.25305342325</v>
      </c>
      <c r="E1212">
        <v>1.2783479178934195E-5</v>
      </c>
      <c r="F1212">
        <v>1.2788591577026091E-5</v>
      </c>
      <c r="G1212">
        <v>-5.1123980918959156E-9</v>
      </c>
      <c r="H1212" t="b">
        <v>1</v>
      </c>
    </row>
    <row r="1213" spans="1:8" x14ac:dyDescent="0.15">
      <c r="A1213">
        <v>48</v>
      </c>
      <c r="B1213">
        <v>20</v>
      </c>
      <c r="C1213">
        <v>778781.34765625</v>
      </c>
      <c r="D1213">
        <v>414169.79478658008</v>
      </c>
      <c r="E1213">
        <v>1.279547950769088E-5</v>
      </c>
      <c r="F1213">
        <v>1.2788591577026091E-5</v>
      </c>
      <c r="G1213">
        <v>6.8879306647886597E-9</v>
      </c>
      <c r="H1213" t="b">
        <v>0</v>
      </c>
    </row>
    <row r="1214" spans="1:8" x14ac:dyDescent="0.15">
      <c r="A1214">
        <v>48</v>
      </c>
      <c r="B1214">
        <v>21</v>
      </c>
      <c r="C1214">
        <v>778826.34765625</v>
      </c>
      <c r="D1214">
        <v>1284346.6352494904</v>
      </c>
      <c r="E1214">
        <v>1.2809894800425433E-5</v>
      </c>
      <c r="F1214">
        <v>1.2788591577026091E-5</v>
      </c>
      <c r="G1214">
        <v>2.1303223399341787E-8</v>
      </c>
      <c r="H1214" t="b">
        <v>0</v>
      </c>
    </row>
    <row r="1215" spans="1:8" x14ac:dyDescent="0.15">
      <c r="A1215">
        <v>48</v>
      </c>
      <c r="B1215">
        <v>22</v>
      </c>
      <c r="C1215">
        <v>778803.84765625</v>
      </c>
      <c r="D1215">
        <v>848530.59215757914</v>
      </c>
      <c r="E1215">
        <v>1.2802684594308307E-5</v>
      </c>
      <c r="F1215">
        <v>1.2788591577026091E-5</v>
      </c>
      <c r="G1215">
        <v>1.4093017282216106E-8</v>
      </c>
      <c r="H1215" t="b">
        <v>0</v>
      </c>
    </row>
    <row r="1216" spans="1:8" x14ac:dyDescent="0.15">
      <c r="A1216">
        <v>48</v>
      </c>
      <c r="B1216">
        <v>23</v>
      </c>
      <c r="C1216">
        <v>778776.84765625</v>
      </c>
      <c r="D1216">
        <v>327548.75916850992</v>
      </c>
      <c r="E1216">
        <v>1.279404037904512E-5</v>
      </c>
      <c r="F1216">
        <v>1.2788591577026091E-5</v>
      </c>
      <c r="G1216">
        <v>5.4488020190292117E-9</v>
      </c>
      <c r="H1216" t="b">
        <v>0</v>
      </c>
    </row>
    <row r="1217" spans="1:8" x14ac:dyDescent="0.15">
      <c r="A1217">
        <v>48</v>
      </c>
      <c r="B1217">
        <v>24</v>
      </c>
      <c r="C1217">
        <v>778790.34765625</v>
      </c>
      <c r="D1217">
        <v>587750.11730472557</v>
      </c>
      <c r="E1217">
        <v>1.2798361102158864E-5</v>
      </c>
      <c r="F1217">
        <v>1.2788591577026091E-5</v>
      </c>
      <c r="G1217">
        <v>9.7695251327730348E-9</v>
      </c>
      <c r="H1217" t="b">
        <v>0</v>
      </c>
    </row>
    <row r="1218" spans="1:8" x14ac:dyDescent="0.15">
      <c r="A1218">
        <v>48</v>
      </c>
      <c r="B1218">
        <v>25</v>
      </c>
      <c r="C1218">
        <v>778806.54765624995</v>
      </c>
      <c r="D1218">
        <v>900833.28853047953</v>
      </c>
      <c r="E1218">
        <v>1.2803550900918151E-5</v>
      </c>
      <c r="F1218">
        <v>1.2788591577026091E-5</v>
      </c>
      <c r="G1218">
        <v>1.4959323892060162E-8</v>
      </c>
      <c r="H1218" t="b">
        <v>0</v>
      </c>
    </row>
    <row r="1219" spans="1:8" x14ac:dyDescent="0.15">
      <c r="A1219">
        <v>48</v>
      </c>
      <c r="B1219">
        <v>26</v>
      </c>
      <c r="C1219">
        <v>778798.44765624998</v>
      </c>
      <c r="D1219">
        <v>744246.78253288206</v>
      </c>
      <c r="E1219">
        <v>1.2800956488340227E-5</v>
      </c>
      <c r="F1219">
        <v>1.2788591577026091E-5</v>
      </c>
      <c r="G1219">
        <v>1.2364911314135258E-8</v>
      </c>
      <c r="H1219" t="b">
        <v>0</v>
      </c>
    </row>
    <row r="1220" spans="1:8" x14ac:dyDescent="0.15">
      <c r="A1220">
        <v>48</v>
      </c>
      <c r="B1220">
        <v>27</v>
      </c>
      <c r="C1220">
        <v>778802.49765625002</v>
      </c>
      <c r="D1220">
        <v>822430.39736767486</v>
      </c>
      <c r="E1220">
        <v>1.2802252185661312E-5</v>
      </c>
      <c r="F1220">
        <v>1.2788591577026091E-5</v>
      </c>
      <c r="G1220">
        <v>1.3660608635221149E-8</v>
      </c>
      <c r="H1220" t="b">
        <v>0</v>
      </c>
    </row>
    <row r="1221" spans="1:8" x14ac:dyDescent="0.15">
      <c r="A1221">
        <v>48</v>
      </c>
      <c r="B1221">
        <v>28</v>
      </c>
      <c r="C1221">
        <v>778800.47265625</v>
      </c>
      <c r="D1221">
        <v>783376.79613979929</v>
      </c>
      <c r="E1221">
        <v>1.2801605046908434E-5</v>
      </c>
      <c r="F1221">
        <v>1.2788591577026091E-5</v>
      </c>
      <c r="G1221">
        <v>1.3013469882342541E-8</v>
      </c>
      <c r="H1221" t="b">
        <v>0</v>
      </c>
    </row>
    <row r="1222" spans="1:8" x14ac:dyDescent="0.15">
      <c r="A1222">
        <v>49</v>
      </c>
      <c r="B1222">
        <v>1</v>
      </c>
      <c r="C1222">
        <v>6050000</v>
      </c>
      <c r="D1222">
        <v>2.1267737463587848E+18</v>
      </c>
      <c r="E1222">
        <v>536.87092200000006</v>
      </c>
      <c r="F1222">
        <v>1.6620320820948109E-5</v>
      </c>
      <c r="G1222">
        <v>536.87090537967924</v>
      </c>
      <c r="H1222" t="b">
        <v>0</v>
      </c>
    </row>
    <row r="1223" spans="1:8" x14ac:dyDescent="0.15">
      <c r="A1223">
        <v>49</v>
      </c>
      <c r="B1223">
        <v>2</v>
      </c>
      <c r="C1223">
        <v>3075000</v>
      </c>
      <c r="D1223">
        <v>2.1267737463587848E+18</v>
      </c>
      <c r="E1223">
        <v>536.87092200000006</v>
      </c>
      <c r="F1223">
        <v>1.6620320820948109E-5</v>
      </c>
      <c r="G1223">
        <v>536.87090537967924</v>
      </c>
      <c r="H1223" t="b">
        <v>0</v>
      </c>
    </row>
    <row r="1224" spans="1:8" x14ac:dyDescent="0.15">
      <c r="A1224">
        <v>49</v>
      </c>
      <c r="B1224">
        <v>3</v>
      </c>
      <c r="C1224">
        <v>1587500</v>
      </c>
      <c r="D1224">
        <v>4.5990063829589965E+17</v>
      </c>
      <c r="E1224">
        <v>139.09406131630689</v>
      </c>
      <c r="F1224">
        <v>1.66203207925264E-5</v>
      </c>
      <c r="G1224">
        <v>139.0940446959861</v>
      </c>
      <c r="H1224" t="b">
        <v>0</v>
      </c>
    </row>
    <row r="1225" spans="1:8" x14ac:dyDescent="0.15">
      <c r="A1225">
        <v>49</v>
      </c>
      <c r="B1225">
        <v>4</v>
      </c>
      <c r="C1225">
        <v>843750</v>
      </c>
      <c r="D1225">
        <v>525217170560105.69</v>
      </c>
      <c r="E1225">
        <v>0.40501903104447778</v>
      </c>
      <c r="F1225">
        <v>1.662032080557152E-5</v>
      </c>
      <c r="G1225">
        <v>0.40500241072367221</v>
      </c>
      <c r="H1225" t="b">
        <v>0</v>
      </c>
    </row>
    <row r="1226" spans="1:8" x14ac:dyDescent="0.15">
      <c r="A1226">
        <v>49</v>
      </c>
      <c r="B1226">
        <v>5</v>
      </c>
      <c r="C1226">
        <v>471875</v>
      </c>
      <c r="D1226">
        <v>6776883943.5778942</v>
      </c>
      <c r="E1226">
        <v>7.1555289365233613E-5</v>
      </c>
      <c r="F1226">
        <v>1.6620320805582796E-5</v>
      </c>
      <c r="G1226">
        <v>5.4934968559650817E-5</v>
      </c>
      <c r="H1226" t="b">
        <v>0</v>
      </c>
    </row>
    <row r="1227" spans="1:8" x14ac:dyDescent="0.15">
      <c r="A1227">
        <v>49</v>
      </c>
      <c r="B1227">
        <v>6</v>
      </c>
      <c r="C1227">
        <v>285937.5</v>
      </c>
      <c r="D1227">
        <v>-84345.293151636361</v>
      </c>
      <c r="E1227">
        <v>-2.1750649107996687E-6</v>
      </c>
      <c r="F1227">
        <v>1.6620320805582792E-5</v>
      </c>
      <c r="G1227">
        <v>-1.8795385716382461E-5</v>
      </c>
      <c r="H1227" t="b">
        <v>1</v>
      </c>
    </row>
    <row r="1228" spans="1:8" x14ac:dyDescent="0.15">
      <c r="A1228">
        <v>49</v>
      </c>
      <c r="B1228">
        <v>7</v>
      </c>
      <c r="C1228">
        <v>378906.25</v>
      </c>
      <c r="D1228">
        <v>-811759.56951093662</v>
      </c>
      <c r="E1228">
        <v>4.7469837723557704E-6</v>
      </c>
      <c r="F1228">
        <v>1.6620320805582792E-5</v>
      </c>
      <c r="G1228">
        <v>-1.1873337033227022E-5</v>
      </c>
      <c r="H1228" t="b">
        <v>1</v>
      </c>
    </row>
    <row r="1229" spans="1:8" x14ac:dyDescent="0.15">
      <c r="A1229">
        <v>49</v>
      </c>
      <c r="B1229">
        <v>8</v>
      </c>
      <c r="C1229">
        <v>425390.625</v>
      </c>
      <c r="D1229">
        <v>-57355178.606328711</v>
      </c>
      <c r="E1229">
        <v>1.3309326091368913E-5</v>
      </c>
      <c r="F1229">
        <v>1.6620320805582792E-5</v>
      </c>
      <c r="G1229">
        <v>-3.3109947142138795E-6</v>
      </c>
      <c r="H1229" t="b">
        <v>1</v>
      </c>
    </row>
    <row r="1230" spans="1:8" x14ac:dyDescent="0.15">
      <c r="A1230">
        <v>49</v>
      </c>
      <c r="B1230">
        <v>9</v>
      </c>
      <c r="C1230">
        <v>448632.8125</v>
      </c>
      <c r="D1230">
        <v>948352843.99776912</v>
      </c>
      <c r="E1230">
        <v>2.9037056311325764E-5</v>
      </c>
      <c r="F1230">
        <v>1.6620320805582792E-5</v>
      </c>
      <c r="G1230">
        <v>1.2416735505742971E-5</v>
      </c>
      <c r="H1230" t="b">
        <v>0</v>
      </c>
    </row>
    <row r="1231" spans="1:8" x14ac:dyDescent="0.15">
      <c r="A1231">
        <v>49</v>
      </c>
      <c r="B1231">
        <v>10</v>
      </c>
      <c r="C1231">
        <v>437011.71875</v>
      </c>
      <c r="D1231">
        <v>50719117.022885166</v>
      </c>
      <c r="E1231">
        <v>1.7910464726658109E-5</v>
      </c>
      <c r="F1231">
        <v>1.6620320805582792E-5</v>
      </c>
      <c r="G1231">
        <v>1.2901439210753166E-6</v>
      </c>
      <c r="H1231" t="b">
        <v>0</v>
      </c>
    </row>
    <row r="1232" spans="1:8" x14ac:dyDescent="0.15">
      <c r="A1232">
        <v>49</v>
      </c>
      <c r="B1232">
        <v>11</v>
      </c>
      <c r="C1232">
        <v>431201.171875</v>
      </c>
      <c r="D1232">
        <v>-41008749.157335818</v>
      </c>
      <c r="E1232">
        <v>1.5021466931449207E-5</v>
      </c>
      <c r="F1232">
        <v>1.6620320805582792E-5</v>
      </c>
      <c r="G1232">
        <v>-1.5988538741335858E-6</v>
      </c>
      <c r="H1232" t="b">
        <v>1</v>
      </c>
    </row>
    <row r="1233" spans="1:8" x14ac:dyDescent="0.15">
      <c r="A1233">
        <v>49</v>
      </c>
      <c r="B1233">
        <v>12</v>
      </c>
      <c r="C1233">
        <v>434106.4453125</v>
      </c>
      <c r="D1233">
        <v>-20342601.460310575</v>
      </c>
      <c r="E1233">
        <v>1.5944158923162219E-5</v>
      </c>
      <c r="F1233">
        <v>1.6620320805582792E-5</v>
      </c>
      <c r="G1233">
        <v>-6.7616188242057302E-7</v>
      </c>
      <c r="H1233" t="b">
        <v>1</v>
      </c>
    </row>
    <row r="1234" spans="1:8" x14ac:dyDescent="0.15">
      <c r="A1234">
        <v>49</v>
      </c>
      <c r="B1234">
        <v>13</v>
      </c>
      <c r="C1234">
        <v>435559.08203125</v>
      </c>
      <c r="D1234">
        <v>7305906.2714970885</v>
      </c>
      <c r="E1234">
        <v>1.6833321216641684E-5</v>
      </c>
      <c r="F1234">
        <v>1.6620320805582792E-5</v>
      </c>
      <c r="G1234">
        <v>2.1300041105889189E-7</v>
      </c>
      <c r="H1234" t="b">
        <v>0</v>
      </c>
    </row>
    <row r="1235" spans="1:8" x14ac:dyDescent="0.15">
      <c r="A1235">
        <v>49</v>
      </c>
      <c r="B1235">
        <v>14</v>
      </c>
      <c r="C1235">
        <v>434359.08203125</v>
      </c>
      <c r="D1235">
        <v>-18095944.539736465</v>
      </c>
      <c r="E1235">
        <v>1.6026599720625213E-5</v>
      </c>
      <c r="F1235">
        <v>1.6620320805582792E-5</v>
      </c>
      <c r="G1235">
        <v>-5.9372108495757897E-7</v>
      </c>
      <c r="H1235" t="b">
        <v>1</v>
      </c>
    </row>
    <row r="1236" spans="1:8" x14ac:dyDescent="0.15">
      <c r="A1236">
        <v>49</v>
      </c>
      <c r="B1236">
        <v>15</v>
      </c>
      <c r="C1236">
        <v>434959.08203125</v>
      </c>
      <c r="D1236">
        <v>-6926255.5639114585</v>
      </c>
      <c r="E1236">
        <v>1.640576308459605E-5</v>
      </c>
      <c r="F1236">
        <v>1.6620320805582792E-5</v>
      </c>
      <c r="G1236">
        <v>-2.1455772098674211E-7</v>
      </c>
      <c r="H1236" t="b">
        <v>1</v>
      </c>
    </row>
    <row r="1237" spans="1:8" x14ac:dyDescent="0.15">
      <c r="A1237">
        <v>49</v>
      </c>
      <c r="B1237">
        <v>16</v>
      </c>
      <c r="C1237">
        <v>435559.08203125</v>
      </c>
      <c r="D1237">
        <v>7305906.2714970885</v>
      </c>
      <c r="E1237">
        <v>1.6833321216641684E-5</v>
      </c>
      <c r="F1237">
        <v>1.6620320805582792E-5</v>
      </c>
      <c r="G1237">
        <v>2.1300041105889189E-7</v>
      </c>
      <c r="H1237" t="b">
        <v>0</v>
      </c>
    </row>
    <row r="1238" spans="1:8" x14ac:dyDescent="0.15">
      <c r="A1238">
        <v>49</v>
      </c>
      <c r="B1238">
        <v>17</v>
      </c>
      <c r="C1238">
        <v>435259.08203125</v>
      </c>
      <c r="D1238">
        <v>-67272.89301270619</v>
      </c>
      <c r="E1238">
        <v>1.6618299800251348E-5</v>
      </c>
      <c r="F1238">
        <v>1.6620320805582792E-5</v>
      </c>
      <c r="G1238">
        <v>-2.0210053314439992E-9</v>
      </c>
      <c r="H1238" t="b">
        <v>1</v>
      </c>
    </row>
    <row r="1239" spans="1:8" x14ac:dyDescent="0.15">
      <c r="A1239">
        <v>49</v>
      </c>
      <c r="B1239">
        <v>18</v>
      </c>
      <c r="C1239">
        <v>435409.08203125</v>
      </c>
      <c r="D1239">
        <v>3554317.9103229702</v>
      </c>
      <c r="E1239">
        <v>1.6725501635236428E-5</v>
      </c>
      <c r="F1239">
        <v>1.6620320805582792E-5</v>
      </c>
      <c r="G1239">
        <v>1.0518082965363593E-7</v>
      </c>
      <c r="H1239" t="b">
        <v>0</v>
      </c>
    </row>
    <row r="1240" spans="1:8" x14ac:dyDescent="0.15">
      <c r="A1240">
        <v>49</v>
      </c>
      <c r="B1240">
        <v>19</v>
      </c>
      <c r="C1240">
        <v>435334.08203125</v>
      </c>
      <c r="D1240">
        <v>1727292.673376472</v>
      </c>
      <c r="E1240">
        <v>1.6671821215486126E-5</v>
      </c>
      <c r="F1240">
        <v>1.6620320805582792E-5</v>
      </c>
      <c r="G1240">
        <v>5.150040990333391E-8</v>
      </c>
      <c r="H1240" t="b">
        <v>0</v>
      </c>
    </row>
    <row r="1241" spans="1:8" x14ac:dyDescent="0.15">
      <c r="A1241">
        <v>49</v>
      </c>
      <c r="B1241">
        <v>20</v>
      </c>
      <c r="C1241">
        <v>435244.08203125</v>
      </c>
      <c r="D1241">
        <v>-422213.64810782624</v>
      </c>
      <c r="E1241">
        <v>1.660761745857429E-5</v>
      </c>
      <c r="F1241">
        <v>1.6620320805582792E-5</v>
      </c>
      <c r="G1241">
        <v>-1.2703347008502801E-8</v>
      </c>
      <c r="H1241" t="b">
        <v>1</v>
      </c>
    </row>
    <row r="1242" spans="1:8" x14ac:dyDescent="0.15">
      <c r="A1242">
        <v>49</v>
      </c>
      <c r="B1242">
        <v>21</v>
      </c>
      <c r="C1242">
        <v>435289.08203125</v>
      </c>
      <c r="D1242">
        <v>646685.23313566321</v>
      </c>
      <c r="E1242">
        <v>1.6639689709350556E-5</v>
      </c>
      <c r="F1242">
        <v>1.6620320805582792E-5</v>
      </c>
      <c r="G1242">
        <v>1.9368903767763936E-8</v>
      </c>
      <c r="H1242" t="b">
        <v>0</v>
      </c>
    </row>
    <row r="1243" spans="1:8" x14ac:dyDescent="0.15">
      <c r="A1243">
        <v>49</v>
      </c>
      <c r="B1243">
        <v>22</v>
      </c>
      <c r="C1243">
        <v>435266.58203125</v>
      </c>
      <c r="D1243">
        <v>110734.0678684234</v>
      </c>
      <c r="E1243">
        <v>1.6623644947191112E-5</v>
      </c>
      <c r="F1243">
        <v>1.6620320805582792E-5</v>
      </c>
      <c r="G1243">
        <v>3.3241416083194147E-9</v>
      </c>
      <c r="H1243" t="b">
        <v>0</v>
      </c>
    </row>
    <row r="1244" spans="1:8" x14ac:dyDescent="0.15">
      <c r="A1244">
        <v>49</v>
      </c>
      <c r="B1244">
        <v>23</v>
      </c>
      <c r="C1244">
        <v>435277.83203125</v>
      </c>
      <c r="D1244">
        <v>378457.71742234705</v>
      </c>
      <c r="E1244">
        <v>1.663166887893471E-5</v>
      </c>
      <c r="F1244">
        <v>1.6620320805582792E-5</v>
      </c>
      <c r="G1244">
        <v>1.1348073351917206E-8</v>
      </c>
      <c r="H1244" t="b">
        <v>0</v>
      </c>
    </row>
    <row r="1245" spans="1:8" x14ac:dyDescent="0.15">
      <c r="A1245">
        <v>49</v>
      </c>
      <c r="B1245">
        <v>24</v>
      </c>
      <c r="C1245">
        <v>435291.33203125</v>
      </c>
      <c r="D1245">
        <v>700439.74642791855</v>
      </c>
      <c r="E1245">
        <v>1.6641294954858896E-5</v>
      </c>
      <c r="F1245">
        <v>1.6620320805582792E-5</v>
      </c>
      <c r="G1245">
        <v>2.0974149276103542E-8</v>
      </c>
      <c r="H1245" t="b">
        <v>0</v>
      </c>
    </row>
    <row r="1246" spans="1:8" x14ac:dyDescent="0.15">
      <c r="A1246">
        <v>49</v>
      </c>
      <c r="B1246">
        <v>25</v>
      </c>
      <c r="C1246">
        <v>435284.58203125</v>
      </c>
      <c r="D1246">
        <v>539373.56899714831</v>
      </c>
      <c r="E1246">
        <v>1.6636482937796637E-5</v>
      </c>
      <c r="F1246">
        <v>1.6620320805582792E-5</v>
      </c>
      <c r="G1246">
        <v>1.6162132213844702E-8</v>
      </c>
      <c r="H1246" t="b">
        <v>0</v>
      </c>
    </row>
    <row r="1247" spans="1:8" x14ac:dyDescent="0.15">
      <c r="A1247">
        <v>49</v>
      </c>
      <c r="B1247">
        <v>26</v>
      </c>
      <c r="C1247">
        <v>435276.48203125002</v>
      </c>
      <c r="D1247">
        <v>346195.68497410975</v>
      </c>
      <c r="E1247">
        <v>1.6630702919617195E-5</v>
      </c>
      <c r="F1247">
        <v>1.6620320805582792E-5</v>
      </c>
      <c r="G1247">
        <v>1.0382114034402306E-8</v>
      </c>
      <c r="H1247" t="b">
        <v>0</v>
      </c>
    </row>
    <row r="1248" spans="1:8" x14ac:dyDescent="0.15">
      <c r="A1248">
        <v>49</v>
      </c>
      <c r="B1248">
        <v>27</v>
      </c>
      <c r="C1248">
        <v>435280.53203125001</v>
      </c>
      <c r="D1248">
        <v>442682.49791805935</v>
      </c>
      <c r="E1248">
        <v>1.6633591052247108E-5</v>
      </c>
      <c r="F1248">
        <v>1.6620320805582792E-5</v>
      </c>
      <c r="G1248">
        <v>1.3270246664315451E-8</v>
      </c>
      <c r="H1248" t="b">
        <v>0</v>
      </c>
    </row>
    <row r="1249" spans="1:8" x14ac:dyDescent="0.15">
      <c r="A1249">
        <v>49</v>
      </c>
      <c r="B1249">
        <v>28</v>
      </c>
      <c r="C1249">
        <v>435278.50703124999</v>
      </c>
      <c r="D1249">
        <v>394427.35787179071</v>
      </c>
      <c r="E1249">
        <v>1.663214692928965E-5</v>
      </c>
      <c r="F1249">
        <v>1.6620320805582792E-5</v>
      </c>
      <c r="G1249">
        <v>1.1826123706857927E-8</v>
      </c>
      <c r="H1249" t="b">
        <v>0</v>
      </c>
    </row>
    <row r="1250" spans="1:8" x14ac:dyDescent="0.15">
      <c r="A1250">
        <v>49</v>
      </c>
      <c r="B1250">
        <v>29</v>
      </c>
      <c r="C1250">
        <v>435279.51953125</v>
      </c>
      <c r="D1250">
        <v>418551.99428555061</v>
      </c>
      <c r="E1250">
        <v>1.6632868976608511E-5</v>
      </c>
      <c r="F1250">
        <v>1.6620320805582792E-5</v>
      </c>
      <c r="G1250">
        <v>1.2548171025718275E-8</v>
      </c>
      <c r="H1250" t="b">
        <v>0</v>
      </c>
    </row>
    <row r="1251" spans="1:8" x14ac:dyDescent="0.15">
      <c r="A1251">
        <v>49</v>
      </c>
      <c r="B1251">
        <v>30</v>
      </c>
      <c r="C1251">
        <v>435280.73453125003</v>
      </c>
      <c r="D1251">
        <v>447619.57225108938</v>
      </c>
      <c r="E1251">
        <v>1.6633738769979763E-5</v>
      </c>
      <c r="F1251">
        <v>1.6620320805582792E-5</v>
      </c>
      <c r="G1251">
        <v>1.3417964396970564E-8</v>
      </c>
      <c r="H1251" t="b">
        <v>0</v>
      </c>
    </row>
    <row r="1252" spans="1:8" x14ac:dyDescent="0.15">
      <c r="A1252">
        <v>49</v>
      </c>
      <c r="B1252">
        <v>31</v>
      </c>
      <c r="C1252">
        <v>435280.12703125004</v>
      </c>
      <c r="D1252">
        <v>433029.59234116756</v>
      </c>
      <c r="E1252">
        <v>1.6633302218592499E-5</v>
      </c>
      <c r="F1252">
        <v>1.6620320805582792E-5</v>
      </c>
      <c r="G1252">
        <v>1.2981413009706936E-8</v>
      </c>
      <c r="H1252" t="b">
        <v>0</v>
      </c>
    </row>
    <row r="1253" spans="1:8" x14ac:dyDescent="0.15">
      <c r="A1253">
        <v>50</v>
      </c>
      <c r="B1253">
        <v>1</v>
      </c>
      <c r="C1253">
        <v>6050000</v>
      </c>
      <c r="D1253">
        <v>3.6805753181297853E+18</v>
      </c>
      <c r="E1253">
        <v>536.87092200000006</v>
      </c>
      <c r="F1253">
        <v>1.1661302892207459E-5</v>
      </c>
      <c r="G1253">
        <v>536.87091033869717</v>
      </c>
      <c r="H1253" t="b">
        <v>0</v>
      </c>
    </row>
    <row r="1254" spans="1:8" x14ac:dyDescent="0.15">
      <c r="A1254">
        <v>50</v>
      </c>
      <c r="B1254">
        <v>2</v>
      </c>
      <c r="C1254">
        <v>3075000</v>
      </c>
      <c r="D1254">
        <v>3.6805753181297853E+18</v>
      </c>
      <c r="E1254">
        <v>536.87092200000006</v>
      </c>
      <c r="F1254">
        <v>1.1661302892207459E-5</v>
      </c>
      <c r="G1254">
        <v>536.87091033869717</v>
      </c>
      <c r="H1254" t="b">
        <v>0</v>
      </c>
    </row>
    <row r="1255" spans="1:8" x14ac:dyDescent="0.15">
      <c r="A1255">
        <v>50</v>
      </c>
      <c r="B1255">
        <v>3</v>
      </c>
      <c r="C1255">
        <v>1587500</v>
      </c>
      <c r="D1255">
        <v>2.6626281054070528E+17</v>
      </c>
      <c r="E1255">
        <v>53.180170356094919</v>
      </c>
      <c r="F1255">
        <v>1.1661302913523741E-5</v>
      </c>
      <c r="G1255">
        <v>53.180158694792006</v>
      </c>
      <c r="H1255" t="b">
        <v>0</v>
      </c>
    </row>
    <row r="1256" spans="1:8" x14ac:dyDescent="0.15">
      <c r="A1256">
        <v>50</v>
      </c>
      <c r="B1256">
        <v>4</v>
      </c>
      <c r="C1256">
        <v>843750</v>
      </c>
      <c r="D1256">
        <v>217511839697433.38</v>
      </c>
      <c r="E1256">
        <v>0.12138808933114477</v>
      </c>
      <c r="F1256">
        <v>1.1661302913551497E-5</v>
      </c>
      <c r="G1256">
        <v>0.12137642802823122</v>
      </c>
      <c r="H1256" t="b">
        <v>0</v>
      </c>
    </row>
    <row r="1257" spans="1:8" x14ac:dyDescent="0.15">
      <c r="A1257">
        <v>50</v>
      </c>
      <c r="B1257">
        <v>5</v>
      </c>
      <c r="C1257">
        <v>471875</v>
      </c>
      <c r="D1257">
        <v>351966372.86486775</v>
      </c>
      <c r="E1257">
        <v>1.5932461804627957E-5</v>
      </c>
      <c r="F1257">
        <v>1.1661302913555442E-5</v>
      </c>
      <c r="G1257">
        <v>4.2711588910725153E-6</v>
      </c>
      <c r="H1257" t="b">
        <v>0</v>
      </c>
    </row>
    <row r="1258" spans="1:8" x14ac:dyDescent="0.15">
      <c r="A1258">
        <v>50</v>
      </c>
      <c r="B1258">
        <v>6</v>
      </c>
      <c r="C1258">
        <v>285937.5</v>
      </c>
      <c r="D1258">
        <v>-59207.178194341774</v>
      </c>
      <c r="E1258">
        <v>-3.4403034680481697E-6</v>
      </c>
      <c r="F1258">
        <v>1.1661302913555442E-5</v>
      </c>
      <c r="G1258">
        <v>-1.5101606381603612E-5</v>
      </c>
      <c r="H1258" t="b">
        <v>1</v>
      </c>
    </row>
    <row r="1259" spans="1:8" x14ac:dyDescent="0.15">
      <c r="A1259">
        <v>50</v>
      </c>
      <c r="B1259">
        <v>7</v>
      </c>
      <c r="C1259">
        <v>378906.25</v>
      </c>
      <c r="D1259">
        <v>-443055.84139266791</v>
      </c>
      <c r="E1259">
        <v>2.1699995311162143E-6</v>
      </c>
      <c r="F1259">
        <v>1.1661302913555442E-5</v>
      </c>
      <c r="G1259">
        <v>-9.4913033824392279E-6</v>
      </c>
      <c r="H1259" t="b">
        <v>1</v>
      </c>
    </row>
    <row r="1260" spans="1:8" x14ac:dyDescent="0.15">
      <c r="A1260">
        <v>50</v>
      </c>
      <c r="B1260">
        <v>8</v>
      </c>
      <c r="C1260">
        <v>425390.625</v>
      </c>
      <c r="D1260">
        <v>-6313191.2152736532</v>
      </c>
      <c r="E1260">
        <v>5.7738247954637623E-6</v>
      </c>
      <c r="F1260">
        <v>1.1661302913555442E-5</v>
      </c>
      <c r="G1260">
        <v>-5.8874781180916799E-6</v>
      </c>
      <c r="H1260" t="b">
        <v>1</v>
      </c>
    </row>
    <row r="1261" spans="1:8" x14ac:dyDescent="0.15">
      <c r="A1261">
        <v>50</v>
      </c>
      <c r="B1261">
        <v>9</v>
      </c>
      <c r="C1261">
        <v>448632.8125</v>
      </c>
      <c r="D1261">
        <v>-48877010.075187095</v>
      </c>
      <c r="E1261">
        <v>9.3034923714786061E-6</v>
      </c>
      <c r="F1261">
        <v>1.1661302913555442E-5</v>
      </c>
      <c r="G1261">
        <v>-2.3578105420768361E-6</v>
      </c>
      <c r="H1261" t="b">
        <v>1</v>
      </c>
    </row>
    <row r="1262" spans="1:8" x14ac:dyDescent="0.15">
      <c r="A1262">
        <v>50</v>
      </c>
      <c r="B1262">
        <v>10</v>
      </c>
      <c r="C1262">
        <v>460253.90625</v>
      </c>
      <c r="D1262">
        <v>1636025.1798610569</v>
      </c>
      <c r="E1262">
        <v>1.1698811164838799E-5</v>
      </c>
      <c r="F1262">
        <v>1.1661302913555442E-5</v>
      </c>
      <c r="G1262">
        <v>3.7508251283356692E-8</v>
      </c>
      <c r="H1262" t="b">
        <v>0</v>
      </c>
    </row>
    <row r="1263" spans="1:8" x14ac:dyDescent="0.15">
      <c r="A1263">
        <v>50</v>
      </c>
      <c r="B1263">
        <v>11</v>
      </c>
      <c r="C1263">
        <v>454443.359375</v>
      </c>
      <c r="D1263">
        <v>-38487132.755987786</v>
      </c>
      <c r="E1263">
        <v>1.0441615388670734E-5</v>
      </c>
      <c r="F1263">
        <v>1.1661302913555442E-5</v>
      </c>
      <c r="G1263">
        <v>-1.2196875248847086E-6</v>
      </c>
      <c r="H1263" t="b">
        <v>1</v>
      </c>
    </row>
    <row r="1264" spans="1:8" x14ac:dyDescent="0.15">
      <c r="A1264">
        <v>50</v>
      </c>
      <c r="B1264">
        <v>12</v>
      </c>
      <c r="C1264">
        <v>457348.6328125</v>
      </c>
      <c r="D1264">
        <v>-22713178.955786396</v>
      </c>
      <c r="E1264">
        <v>1.1054772770595118E-5</v>
      </c>
      <c r="F1264">
        <v>1.1661302913555442E-5</v>
      </c>
      <c r="G1264">
        <v>-6.0653014296032393E-7</v>
      </c>
      <c r="H1264" t="b">
        <v>1</v>
      </c>
    </row>
    <row r="1265" spans="1:8" x14ac:dyDescent="0.15">
      <c r="A1265">
        <v>50</v>
      </c>
      <c r="B1265">
        <v>13</v>
      </c>
      <c r="C1265">
        <v>458801.26953125</v>
      </c>
      <c r="D1265">
        <v>-11681762.217721691</v>
      </c>
      <c r="E1265">
        <v>1.1372862296433956E-5</v>
      </c>
      <c r="F1265">
        <v>1.1661302913555442E-5</v>
      </c>
      <c r="G1265">
        <v>-2.8844061712148646E-7</v>
      </c>
      <c r="H1265" t="b">
        <v>1</v>
      </c>
    </row>
    <row r="1266" spans="1:8" x14ac:dyDescent="0.15">
      <c r="A1266">
        <v>50</v>
      </c>
      <c r="B1266">
        <v>14</v>
      </c>
      <c r="C1266">
        <v>459301.26953125</v>
      </c>
      <c r="D1266">
        <v>-7363044.331927171</v>
      </c>
      <c r="E1266">
        <v>1.1484160335326545E-5</v>
      </c>
      <c r="F1266">
        <v>1.1661302913555442E-5</v>
      </c>
      <c r="G1266">
        <v>-1.7714257822889672E-7</v>
      </c>
      <c r="H1266" t="b">
        <v>1</v>
      </c>
    </row>
    <row r="1267" spans="1:8" x14ac:dyDescent="0.15">
      <c r="A1267">
        <v>50</v>
      </c>
      <c r="B1267">
        <v>15</v>
      </c>
      <c r="C1267">
        <v>459801.26953125</v>
      </c>
      <c r="D1267">
        <v>-2767600.2538329535</v>
      </c>
      <c r="E1267">
        <v>1.1596395605463101E-5</v>
      </c>
      <c r="F1267">
        <v>1.1661302913555442E-5</v>
      </c>
      <c r="G1267">
        <v>-6.4907308092341671E-8</v>
      </c>
      <c r="H1267" t="b">
        <v>1</v>
      </c>
    </row>
    <row r="1268" spans="1:8" x14ac:dyDescent="0.15">
      <c r="A1268">
        <v>50</v>
      </c>
      <c r="B1268">
        <v>16</v>
      </c>
      <c r="C1268">
        <v>460301.26953125</v>
      </c>
      <c r="D1268">
        <v>2110433.4682967314</v>
      </c>
      <c r="E1268">
        <v>1.1709573946353881E-5</v>
      </c>
      <c r="F1268">
        <v>1.1661302913555442E-5</v>
      </c>
      <c r="G1268">
        <v>4.8271032798438647E-8</v>
      </c>
      <c r="H1268" t="b">
        <v>0</v>
      </c>
    </row>
    <row r="1269" spans="1:8" x14ac:dyDescent="0.15">
      <c r="A1269">
        <v>50</v>
      </c>
      <c r="B1269">
        <v>17</v>
      </c>
      <c r="C1269">
        <v>460051.26953125</v>
      </c>
      <c r="D1269">
        <v>-364325.71502394596</v>
      </c>
      <c r="E1269">
        <v>1.1652865332505546E-5</v>
      </c>
      <c r="F1269">
        <v>1.1661302913555442E-5</v>
      </c>
      <c r="G1269">
        <v>-8.4375810498966476E-9</v>
      </c>
      <c r="H1269" t="b">
        <v>1</v>
      </c>
    </row>
    <row r="1270" spans="1:8" x14ac:dyDescent="0.15">
      <c r="A1270">
        <v>50</v>
      </c>
      <c r="B1270">
        <v>18</v>
      </c>
      <c r="C1270">
        <v>460176.26953125</v>
      </c>
      <c r="D1270">
        <v>864110.65041982115</v>
      </c>
      <c r="E1270">
        <v>1.1681190621898709E-5</v>
      </c>
      <c r="F1270">
        <v>1.1661302913555442E-5</v>
      </c>
      <c r="G1270">
        <v>1.9887708343266347E-8</v>
      </c>
      <c r="H1270" t="b">
        <v>0</v>
      </c>
    </row>
    <row r="1271" spans="1:8" x14ac:dyDescent="0.15">
      <c r="A1271">
        <v>50</v>
      </c>
      <c r="B1271">
        <v>19</v>
      </c>
      <c r="C1271">
        <v>460113.76953125</v>
      </c>
      <c r="D1271">
        <v>247681.53647267382</v>
      </c>
      <c r="E1271">
        <v>1.1667021172339329E-5</v>
      </c>
      <c r="F1271">
        <v>1.1661302913555442E-5</v>
      </c>
      <c r="G1271">
        <v>5.7182587838863844E-9</v>
      </c>
      <c r="H1271" t="b">
        <v>0</v>
      </c>
    </row>
    <row r="1272" spans="1:8" x14ac:dyDescent="0.15">
      <c r="A1272">
        <v>50</v>
      </c>
      <c r="B1272">
        <v>20</v>
      </c>
      <c r="C1272">
        <v>460145.01953125</v>
      </c>
      <c r="D1272">
        <v>555336.2669381774</v>
      </c>
      <c r="E1272">
        <v>1.167410404726173E-5</v>
      </c>
      <c r="F1272">
        <v>1.1661302913555442E-5</v>
      </c>
      <c r="G1272">
        <v>1.2801133706287295E-8</v>
      </c>
      <c r="H1272" t="b">
        <v>0</v>
      </c>
    </row>
    <row r="1273" spans="1:8" x14ac:dyDescent="0.15">
      <c r="A1273">
        <v>50</v>
      </c>
      <c r="B1273">
        <v>21</v>
      </c>
      <c r="C1273">
        <v>460129.39453125</v>
      </c>
      <c r="D1273">
        <v>401369.03488745802</v>
      </c>
      <c r="E1273">
        <v>1.1670562147425785E-5</v>
      </c>
      <c r="F1273">
        <v>1.1661302913555442E-5</v>
      </c>
      <c r="G1273">
        <v>9.2592338703431767E-9</v>
      </c>
      <c r="H1273" t="b">
        <v>0</v>
      </c>
    </row>
    <row r="1274" spans="1:8" x14ac:dyDescent="0.15">
      <c r="A1274">
        <v>50</v>
      </c>
      <c r="B1274">
        <v>22</v>
      </c>
      <c r="C1274">
        <v>460137.20703125</v>
      </c>
      <c r="D1274">
        <v>478317.6729477882</v>
      </c>
      <c r="E1274">
        <v>1.1672332981738067E-5</v>
      </c>
      <c r="F1274">
        <v>1.1661302913555442E-5</v>
      </c>
      <c r="G1274">
        <v>1.1030068182624322E-8</v>
      </c>
      <c r="H1274" t="b">
        <v>0</v>
      </c>
    </row>
    <row r="1275" spans="1:8" x14ac:dyDescent="0.15">
      <c r="A1275">
        <v>50</v>
      </c>
      <c r="B1275">
        <v>23</v>
      </c>
      <c r="C1275">
        <v>460133.30078125</v>
      </c>
      <c r="D1275">
        <v>439834.610849405</v>
      </c>
      <c r="E1275">
        <v>1.1671447535682359E-5</v>
      </c>
      <c r="F1275">
        <v>1.1661302913555442E-5</v>
      </c>
      <c r="G1275">
        <v>1.0144622126916447E-8</v>
      </c>
      <c r="H1275" t="b">
        <v>0</v>
      </c>
    </row>
    <row r="1276" spans="1:8" x14ac:dyDescent="0.15">
      <c r="A1276">
        <v>50</v>
      </c>
      <c r="B1276">
        <v>24</v>
      </c>
      <c r="C1276">
        <v>460135.25390625</v>
      </c>
      <c r="D1276">
        <v>459073.95593893586</v>
      </c>
      <c r="E1276">
        <v>1.167189025148475E-5</v>
      </c>
      <c r="F1276">
        <v>1.1661302913555442E-5</v>
      </c>
      <c r="G1276">
        <v>1.0587337929307447E-8</v>
      </c>
      <c r="H1276" t="b">
        <v>0</v>
      </c>
    </row>
    <row r="1277" spans="1:8" x14ac:dyDescent="0.15">
      <c r="A1277">
        <v>51</v>
      </c>
      <c r="B1277">
        <v>1</v>
      </c>
      <c r="C1277">
        <v>6050000</v>
      </c>
      <c r="D1277">
        <v>5.9484292390605302E+18</v>
      </c>
      <c r="E1277">
        <v>536.87092200000006</v>
      </c>
      <c r="F1277">
        <v>8.5960371052351547E-6</v>
      </c>
      <c r="G1277">
        <v>536.87091340396296</v>
      </c>
      <c r="H1277" t="b">
        <v>0</v>
      </c>
    </row>
    <row r="1278" spans="1:8" x14ac:dyDescent="0.15">
      <c r="A1278">
        <v>51</v>
      </c>
      <c r="B1278">
        <v>2</v>
      </c>
      <c r="C1278">
        <v>3075000</v>
      </c>
      <c r="D1278">
        <v>5.4908225359687434E+18</v>
      </c>
      <c r="E1278">
        <v>500.10887808578167</v>
      </c>
      <c r="F1278">
        <v>8.5960371052351547E-6</v>
      </c>
      <c r="G1278">
        <v>500.10886948974456</v>
      </c>
      <c r="H1278" t="b">
        <v>0</v>
      </c>
    </row>
    <row r="1279" spans="1:8" x14ac:dyDescent="0.15">
      <c r="A1279">
        <v>51</v>
      </c>
      <c r="B1279">
        <v>3</v>
      </c>
      <c r="C1279">
        <v>1587500</v>
      </c>
      <c r="D1279">
        <v>6.4523371179259736E+16</v>
      </c>
      <c r="E1279">
        <v>10.169791666766313</v>
      </c>
      <c r="F1279">
        <v>8.5960371141169389E-6</v>
      </c>
      <c r="G1279">
        <v>10.169783070729199</v>
      </c>
      <c r="H1279" t="b">
        <v>0</v>
      </c>
    </row>
    <row r="1280" spans="1:8" x14ac:dyDescent="0.15">
      <c r="A1280">
        <v>51</v>
      </c>
      <c r="B1280">
        <v>4</v>
      </c>
      <c r="C1280">
        <v>843750</v>
      </c>
      <c r="D1280">
        <v>13010780336351.342</v>
      </c>
      <c r="E1280">
        <v>8.0768786740301555E-3</v>
      </c>
      <c r="F1280">
        <v>8.5960371149617493E-6</v>
      </c>
      <c r="G1280">
        <v>8.0682826369151937E-3</v>
      </c>
      <c r="H1280" t="b">
        <v>0</v>
      </c>
    </row>
    <row r="1281" spans="1:8" x14ac:dyDescent="0.15">
      <c r="A1281">
        <v>51</v>
      </c>
      <c r="B1281">
        <v>5</v>
      </c>
      <c r="C1281">
        <v>471875</v>
      </c>
      <c r="D1281">
        <v>-1145585.4617073354</v>
      </c>
      <c r="E1281">
        <v>2.661884572313665E-6</v>
      </c>
      <c r="F1281">
        <v>8.5960371149621762E-6</v>
      </c>
      <c r="G1281">
        <v>-5.9341525426485112E-6</v>
      </c>
      <c r="H1281" t="b">
        <v>1</v>
      </c>
    </row>
    <row r="1282" spans="1:8" x14ac:dyDescent="0.15">
      <c r="A1282">
        <v>51</v>
      </c>
      <c r="B1282">
        <v>6</v>
      </c>
      <c r="C1282">
        <v>657812.5</v>
      </c>
      <c r="D1282">
        <v>104875520635.57458</v>
      </c>
      <c r="E1282">
        <v>1.9824903895865307E-4</v>
      </c>
      <c r="F1282">
        <v>8.596037114962183E-6</v>
      </c>
      <c r="G1282">
        <v>1.8965300184369089E-4</v>
      </c>
      <c r="H1282" t="b">
        <v>0</v>
      </c>
    </row>
    <row r="1283" spans="1:8" x14ac:dyDescent="0.15">
      <c r="A1283">
        <v>51</v>
      </c>
      <c r="B1283">
        <v>7</v>
      </c>
      <c r="C1283">
        <v>564843.75</v>
      </c>
      <c r="D1283">
        <v>879958462.98426414</v>
      </c>
      <c r="E1283">
        <v>1.4423771296990603E-5</v>
      </c>
      <c r="F1283">
        <v>8.5960371149621762E-6</v>
      </c>
      <c r="G1283">
        <v>5.8277341820284271E-6</v>
      </c>
      <c r="H1283" t="b">
        <v>0</v>
      </c>
    </row>
    <row r="1284" spans="1:8" x14ac:dyDescent="0.15">
      <c r="A1284">
        <v>51</v>
      </c>
      <c r="B1284">
        <v>8</v>
      </c>
      <c r="C1284">
        <v>518359.375</v>
      </c>
      <c r="D1284">
        <v>-30086729.924346674</v>
      </c>
      <c r="E1284">
        <v>6.0153973321353831E-6</v>
      </c>
      <c r="F1284">
        <v>8.5960371149621762E-6</v>
      </c>
      <c r="G1284">
        <v>-2.5806397828267931E-6</v>
      </c>
      <c r="H1284" t="b">
        <v>1</v>
      </c>
    </row>
    <row r="1285" spans="1:8" x14ac:dyDescent="0.15">
      <c r="A1285">
        <v>51</v>
      </c>
      <c r="B1285">
        <v>9</v>
      </c>
      <c r="C1285">
        <v>541601.5625</v>
      </c>
      <c r="D1285">
        <v>16572182.370224858</v>
      </c>
      <c r="E1285">
        <v>8.8764967355102308E-6</v>
      </c>
      <c r="F1285">
        <v>8.5960371149621762E-6</v>
      </c>
      <c r="G1285">
        <v>2.8045962054805463E-7</v>
      </c>
      <c r="H1285" t="b">
        <v>0</v>
      </c>
    </row>
    <row r="1286" spans="1:8" x14ac:dyDescent="0.15">
      <c r="A1286">
        <v>51</v>
      </c>
      <c r="B1286">
        <v>10</v>
      </c>
      <c r="C1286">
        <v>529980.46875</v>
      </c>
      <c r="D1286">
        <v>-40789368.717596948</v>
      </c>
      <c r="E1286">
        <v>7.3236575417084184E-6</v>
      </c>
      <c r="F1286">
        <v>8.5960371149621762E-6</v>
      </c>
      <c r="G1286">
        <v>-1.2723795732537577E-6</v>
      </c>
      <c r="H1286" t="b">
        <v>1</v>
      </c>
    </row>
    <row r="1287" spans="1:8" x14ac:dyDescent="0.15">
      <c r="A1287">
        <v>51</v>
      </c>
      <c r="B1287">
        <v>11</v>
      </c>
      <c r="C1287">
        <v>535791.015625</v>
      </c>
      <c r="D1287">
        <v>-23734086.578495972</v>
      </c>
      <c r="E1287">
        <v>8.0675389631769641E-6</v>
      </c>
      <c r="F1287">
        <v>8.5960371149621762E-6</v>
      </c>
      <c r="G1287">
        <v>-5.2849815178521211E-7</v>
      </c>
      <c r="H1287" t="b">
        <v>1</v>
      </c>
    </row>
    <row r="1288" spans="1:8" x14ac:dyDescent="0.15">
      <c r="A1288">
        <v>51</v>
      </c>
      <c r="B1288">
        <v>12</v>
      </c>
      <c r="C1288">
        <v>538696.2890625</v>
      </c>
      <c r="D1288">
        <v>-6864718.1751572546</v>
      </c>
      <c r="E1288">
        <v>8.4636293579602053E-6</v>
      </c>
      <c r="F1288">
        <v>8.5960371149621762E-6</v>
      </c>
      <c r="G1288">
        <v>-1.3240775700197091E-7</v>
      </c>
      <c r="H1288" t="b">
        <v>1</v>
      </c>
    </row>
    <row r="1289" spans="1:8" x14ac:dyDescent="0.15">
      <c r="A1289">
        <v>51</v>
      </c>
      <c r="B1289">
        <v>13</v>
      </c>
      <c r="C1289">
        <v>540148.92578125</v>
      </c>
      <c r="D1289">
        <v>3985244.2699071527</v>
      </c>
      <c r="E1289">
        <v>8.667933682377119E-6</v>
      </c>
      <c r="F1289">
        <v>8.5960371149621762E-6</v>
      </c>
      <c r="G1289">
        <v>7.1896567414942849E-8</v>
      </c>
      <c r="H1289" t="b">
        <v>0</v>
      </c>
    </row>
    <row r="1290" spans="1:8" x14ac:dyDescent="0.15">
      <c r="A1290">
        <v>51</v>
      </c>
      <c r="B1290">
        <v>14</v>
      </c>
      <c r="C1290">
        <v>538948.92578125</v>
      </c>
      <c r="D1290">
        <v>-5098295.1844203658</v>
      </c>
      <c r="E1290">
        <v>8.4988588793794374E-6</v>
      </c>
      <c r="F1290">
        <v>8.5960371149621762E-6</v>
      </c>
      <c r="G1290">
        <v>-9.7178235582738793E-8</v>
      </c>
      <c r="H1290" t="b">
        <v>1</v>
      </c>
    </row>
    <row r="1291" spans="1:8" x14ac:dyDescent="0.15">
      <c r="A1291">
        <v>51</v>
      </c>
      <c r="B1291">
        <v>15</v>
      </c>
      <c r="C1291">
        <v>539548.92578125</v>
      </c>
      <c r="D1291">
        <v>-701300.86483156693</v>
      </c>
      <c r="E1291">
        <v>8.5830357088850666E-6</v>
      </c>
      <c r="F1291">
        <v>8.5960371149621762E-6</v>
      </c>
      <c r="G1291">
        <v>-1.300140607710958E-8</v>
      </c>
      <c r="H1291" t="b">
        <v>1</v>
      </c>
    </row>
    <row r="1292" spans="1:8" x14ac:dyDescent="0.15">
      <c r="A1292">
        <v>51</v>
      </c>
      <c r="B1292">
        <v>16</v>
      </c>
      <c r="C1292">
        <v>540148.92578125</v>
      </c>
      <c r="D1292">
        <v>3985244.2699071527</v>
      </c>
      <c r="E1292">
        <v>8.667933682377119E-6</v>
      </c>
      <c r="F1292">
        <v>8.5960371149621762E-6</v>
      </c>
      <c r="G1292">
        <v>7.1896567414942849E-8</v>
      </c>
      <c r="H1292" t="b">
        <v>0</v>
      </c>
    </row>
    <row r="1293" spans="1:8" x14ac:dyDescent="0.15">
      <c r="A1293">
        <v>51</v>
      </c>
      <c r="B1293">
        <v>17</v>
      </c>
      <c r="C1293">
        <v>539848.92578125</v>
      </c>
      <c r="D1293">
        <v>1605376.5038848852</v>
      </c>
      <c r="E1293">
        <v>8.6253945947370018E-6</v>
      </c>
      <c r="F1293">
        <v>8.5960371149621762E-6</v>
      </c>
      <c r="G1293">
        <v>2.9357479774825619E-8</v>
      </c>
      <c r="H1293" t="b">
        <v>0</v>
      </c>
    </row>
    <row r="1294" spans="1:8" x14ac:dyDescent="0.15">
      <c r="A1294">
        <v>51</v>
      </c>
      <c r="B1294">
        <v>18</v>
      </c>
      <c r="C1294">
        <v>539488.92578125</v>
      </c>
      <c r="D1294">
        <v>-1153921.4299802985</v>
      </c>
      <c r="E1294">
        <v>8.5745856119379073E-6</v>
      </c>
      <c r="F1294">
        <v>8.5960371149621762E-6</v>
      </c>
      <c r="G1294">
        <v>-2.145150302426884E-8</v>
      </c>
      <c r="H1294" t="b">
        <v>1</v>
      </c>
    </row>
    <row r="1295" spans="1:8" x14ac:dyDescent="0.15">
      <c r="A1295">
        <v>51</v>
      </c>
      <c r="B1295">
        <v>19</v>
      </c>
      <c r="C1295">
        <v>539668.92578125</v>
      </c>
      <c r="D1295">
        <v>212589.2334760954</v>
      </c>
      <c r="E1295">
        <v>8.599956726265321E-6</v>
      </c>
      <c r="F1295">
        <v>8.5960371149621762E-6</v>
      </c>
      <c r="G1295">
        <v>3.9196113031447966E-9</v>
      </c>
      <c r="H1295" t="b">
        <v>0</v>
      </c>
    </row>
    <row r="1296" spans="1:8" x14ac:dyDescent="0.15">
      <c r="A1296">
        <v>51</v>
      </c>
      <c r="B1296">
        <v>20</v>
      </c>
      <c r="C1296">
        <v>539884.92578125</v>
      </c>
      <c r="D1296">
        <v>1887082.7884726962</v>
      </c>
      <c r="E1296">
        <v>8.6304898153955752E-6</v>
      </c>
      <c r="F1296">
        <v>8.5960371149621762E-6</v>
      </c>
      <c r="G1296">
        <v>3.4452700433399013E-8</v>
      </c>
      <c r="H1296" t="b">
        <v>0</v>
      </c>
    </row>
    <row r="1297" spans="1:8" x14ac:dyDescent="0.15">
      <c r="A1297">
        <v>51</v>
      </c>
      <c r="B1297">
        <v>21</v>
      </c>
      <c r="C1297">
        <v>539776.92578125</v>
      </c>
      <c r="D1297">
        <v>1045126.4194166904</v>
      </c>
      <c r="E1297">
        <v>8.6152119745357159E-6</v>
      </c>
      <c r="F1297">
        <v>8.5960371149621762E-6</v>
      </c>
      <c r="G1297">
        <v>1.9174859573539696E-8</v>
      </c>
      <c r="H1297" t="b">
        <v>0</v>
      </c>
    </row>
    <row r="1298" spans="1:8" x14ac:dyDescent="0.15">
      <c r="A1298">
        <v>51</v>
      </c>
      <c r="B1298">
        <v>22</v>
      </c>
      <c r="C1298">
        <v>539647.32578125002</v>
      </c>
      <c r="D1298">
        <v>47269.150414490883</v>
      </c>
      <c r="E1298">
        <v>8.5969094994439753E-6</v>
      </c>
      <c r="F1298">
        <v>8.5960371149621762E-6</v>
      </c>
      <c r="G1298">
        <v>8.7238448179916906E-10</v>
      </c>
      <c r="H1298" t="b">
        <v>0</v>
      </c>
    </row>
    <row r="1299" spans="1:8" x14ac:dyDescent="0.15">
      <c r="A1299">
        <v>51</v>
      </c>
      <c r="B1299">
        <v>23</v>
      </c>
      <c r="C1299">
        <v>539712.12578125007</v>
      </c>
      <c r="D1299">
        <v>544452.76588063582</v>
      </c>
      <c r="E1299">
        <v>8.6060556858412601E-6</v>
      </c>
      <c r="F1299">
        <v>8.5960371149621762E-6</v>
      </c>
      <c r="G1299">
        <v>1.0018570879083966E-8</v>
      </c>
      <c r="H1299" t="b">
        <v>0</v>
      </c>
    </row>
    <row r="1300" spans="1:8" x14ac:dyDescent="0.15">
      <c r="A1300">
        <v>52</v>
      </c>
      <c r="B1300">
        <v>1</v>
      </c>
      <c r="C1300">
        <v>6050000</v>
      </c>
      <c r="D1300">
        <v>1.2838823453908214E+18</v>
      </c>
      <c r="E1300">
        <v>536.87092200000006</v>
      </c>
      <c r="F1300">
        <v>2.5998049750342034E-5</v>
      </c>
      <c r="G1300">
        <v>536.87089600195031</v>
      </c>
      <c r="H1300" t="b">
        <v>0</v>
      </c>
    </row>
    <row r="1301" spans="1:8" x14ac:dyDescent="0.15">
      <c r="A1301">
        <v>52</v>
      </c>
      <c r="B1301">
        <v>2</v>
      </c>
      <c r="C1301">
        <v>3075000</v>
      </c>
      <c r="D1301">
        <v>1.2838823453908216E+18</v>
      </c>
      <c r="E1301">
        <v>536.87092200000018</v>
      </c>
      <c r="F1301">
        <v>2.5998049750342034E-5</v>
      </c>
      <c r="G1301">
        <v>536.87089600195043</v>
      </c>
      <c r="H1301" t="b">
        <v>0</v>
      </c>
    </row>
    <row r="1302" spans="1:8" x14ac:dyDescent="0.15">
      <c r="A1302">
        <v>52</v>
      </c>
      <c r="B1302">
        <v>3</v>
      </c>
      <c r="C1302">
        <v>1587500</v>
      </c>
      <c r="D1302">
        <v>1.2838823453908214E+18</v>
      </c>
      <c r="E1302">
        <v>536.87092200000006</v>
      </c>
      <c r="F1302">
        <v>2.5998049750342034E-5</v>
      </c>
      <c r="G1302">
        <v>536.87089600195031</v>
      </c>
      <c r="H1302" t="b">
        <v>0</v>
      </c>
    </row>
    <row r="1303" spans="1:8" x14ac:dyDescent="0.15">
      <c r="A1303">
        <v>52</v>
      </c>
      <c r="B1303">
        <v>4</v>
      </c>
      <c r="C1303">
        <v>843750</v>
      </c>
      <c r="D1303">
        <v>1.2838823453908214E+18</v>
      </c>
      <c r="E1303">
        <v>536.87092200000006</v>
      </c>
      <c r="F1303">
        <v>2.5998049750342034E-5</v>
      </c>
      <c r="G1303">
        <v>536.87089600195031</v>
      </c>
      <c r="H1303" t="b">
        <v>0</v>
      </c>
    </row>
    <row r="1304" spans="1:8" x14ac:dyDescent="0.15">
      <c r="A1304">
        <v>52</v>
      </c>
      <c r="B1304">
        <v>5</v>
      </c>
      <c r="C1304">
        <v>471875</v>
      </c>
      <c r="D1304">
        <v>4.9015757108848112E+16</v>
      </c>
      <c r="E1304">
        <v>30.494429373048547</v>
      </c>
      <c r="F1304">
        <v>2.5998049743236606E-5</v>
      </c>
      <c r="G1304">
        <v>30.494403374998804</v>
      </c>
      <c r="H1304" t="b">
        <v>0</v>
      </c>
    </row>
    <row r="1305" spans="1:8" x14ac:dyDescent="0.15">
      <c r="A1305">
        <v>52</v>
      </c>
      <c r="B1305">
        <v>6</v>
      </c>
      <c r="C1305">
        <v>285937.5</v>
      </c>
      <c r="D1305">
        <v>4956426079662.7451</v>
      </c>
      <c r="E1305">
        <v>1.3043396385171368E-2</v>
      </c>
      <c r="F1305">
        <v>2.5998049742769966E-5</v>
      </c>
      <c r="G1305">
        <v>1.3017398335428598E-2</v>
      </c>
      <c r="H1305" t="b">
        <v>0</v>
      </c>
    </row>
    <row r="1306" spans="1:8" x14ac:dyDescent="0.15">
      <c r="A1306">
        <v>52</v>
      </c>
      <c r="B1306">
        <v>7</v>
      </c>
      <c r="C1306">
        <v>192968.75</v>
      </c>
      <c r="D1306">
        <v>-749889.70371627831</v>
      </c>
      <c r="E1306">
        <v>7.9657680469029553E-6</v>
      </c>
      <c r="F1306">
        <v>2.5998049742769597E-5</v>
      </c>
      <c r="G1306">
        <v>-1.8032281695866641E-5</v>
      </c>
      <c r="H1306" t="b">
        <v>1</v>
      </c>
    </row>
    <row r="1307" spans="1:8" x14ac:dyDescent="0.15">
      <c r="A1307">
        <v>52</v>
      </c>
      <c r="B1307">
        <v>8</v>
      </c>
      <c r="C1307">
        <v>239453.125</v>
      </c>
      <c r="D1307">
        <v>63598900001.947868</v>
      </c>
      <c r="E1307">
        <v>4.4939981926059557E-4</v>
      </c>
      <c r="F1307">
        <v>2.5998049742769586E-5</v>
      </c>
      <c r="G1307">
        <v>4.2340176951782599E-4</v>
      </c>
      <c r="H1307" t="b">
        <v>0</v>
      </c>
    </row>
    <row r="1308" spans="1:8" x14ac:dyDescent="0.15">
      <c r="A1308">
        <v>52</v>
      </c>
      <c r="B1308">
        <v>9</v>
      </c>
      <c r="C1308">
        <v>216210.9375</v>
      </c>
      <c r="D1308">
        <v>1559274311.3110454</v>
      </c>
      <c r="E1308">
        <v>5.1207691501160558E-5</v>
      </c>
      <c r="F1308">
        <v>2.5998049742769597E-5</v>
      </c>
      <c r="G1308">
        <v>2.5209641758390962E-5</v>
      </c>
      <c r="H1308" t="b">
        <v>0</v>
      </c>
    </row>
    <row r="1309" spans="1:8" x14ac:dyDescent="0.15">
      <c r="A1309">
        <v>52</v>
      </c>
      <c r="B1309">
        <v>10</v>
      </c>
      <c r="C1309">
        <v>204589.84375</v>
      </c>
      <c r="D1309">
        <v>-43907031.578769051</v>
      </c>
      <c r="E1309">
        <v>1.5600600345905722E-5</v>
      </c>
      <c r="F1309">
        <v>2.5998049742769597E-5</v>
      </c>
      <c r="G1309">
        <v>-1.0397449396863874E-5</v>
      </c>
      <c r="H1309" t="b">
        <v>1</v>
      </c>
    </row>
    <row r="1310" spans="1:8" x14ac:dyDescent="0.15">
      <c r="A1310">
        <v>52</v>
      </c>
      <c r="B1310">
        <v>11</v>
      </c>
      <c r="C1310">
        <v>210400.390625</v>
      </c>
      <c r="D1310">
        <v>66534091.323873863</v>
      </c>
      <c r="E1310">
        <v>2.7754426429424031E-5</v>
      </c>
      <c r="F1310">
        <v>2.5998049742769597E-5</v>
      </c>
      <c r="G1310">
        <v>1.7563766866544348E-6</v>
      </c>
      <c r="H1310" t="b">
        <v>0</v>
      </c>
    </row>
    <row r="1311" spans="1:8" x14ac:dyDescent="0.15">
      <c r="A1311">
        <v>52</v>
      </c>
      <c r="B1311">
        <v>12</v>
      </c>
      <c r="C1311">
        <v>207495.1171875</v>
      </c>
      <c r="D1311">
        <v>-101718395.1450378</v>
      </c>
      <c r="E1311">
        <v>2.0189161296857499E-5</v>
      </c>
      <c r="F1311">
        <v>2.5998049742769597E-5</v>
      </c>
      <c r="G1311">
        <v>-5.8088884459120977E-6</v>
      </c>
      <c r="H1311" t="b">
        <v>1</v>
      </c>
    </row>
    <row r="1312" spans="1:8" x14ac:dyDescent="0.15">
      <c r="A1312">
        <v>52</v>
      </c>
      <c r="B1312">
        <v>13</v>
      </c>
      <c r="C1312">
        <v>208947.75390625</v>
      </c>
      <c r="D1312">
        <v>-62994894.730388172</v>
      </c>
      <c r="E1312">
        <v>2.369598074398094E-5</v>
      </c>
      <c r="F1312">
        <v>2.5998049742769597E-5</v>
      </c>
      <c r="G1312">
        <v>-2.3020689987886562E-6</v>
      </c>
      <c r="H1312" t="b">
        <v>1</v>
      </c>
    </row>
    <row r="1313" spans="1:8" x14ac:dyDescent="0.15">
      <c r="A1313">
        <v>52</v>
      </c>
      <c r="B1313">
        <v>14</v>
      </c>
      <c r="C1313">
        <v>209447.75390625</v>
      </c>
      <c r="D1313">
        <v>-30024005.043062441</v>
      </c>
      <c r="E1313">
        <v>2.502691450098746E-5</v>
      </c>
      <c r="F1313">
        <v>2.5998049742769597E-5</v>
      </c>
      <c r="G1313">
        <v>-9.7113524178213682E-7</v>
      </c>
      <c r="H1313" t="b">
        <v>1</v>
      </c>
    </row>
    <row r="1314" spans="1:8" x14ac:dyDescent="0.15">
      <c r="A1314">
        <v>52</v>
      </c>
      <c r="B1314">
        <v>15</v>
      </c>
      <c r="C1314">
        <v>209947.75390625</v>
      </c>
      <c r="D1314">
        <v>14787334.062977044</v>
      </c>
      <c r="E1314">
        <v>2.6426162581001475E-5</v>
      </c>
      <c r="F1314">
        <v>2.5998049742769597E-5</v>
      </c>
      <c r="G1314">
        <v>4.2811283823187819E-7</v>
      </c>
      <c r="H1314" t="b">
        <v>0</v>
      </c>
    </row>
    <row r="1315" spans="1:8" x14ac:dyDescent="0.15">
      <c r="A1315">
        <v>52</v>
      </c>
      <c r="B1315">
        <v>16</v>
      </c>
      <c r="C1315">
        <v>209697.75390625</v>
      </c>
      <c r="D1315">
        <v>-9169583.5343557596</v>
      </c>
      <c r="E1315">
        <v>2.571780361082722E-5</v>
      </c>
      <c r="F1315">
        <v>2.5998049742769597E-5</v>
      </c>
      <c r="G1315">
        <v>-2.802461319423767E-7</v>
      </c>
      <c r="H1315" t="b">
        <v>1</v>
      </c>
    </row>
    <row r="1316" spans="1:8" x14ac:dyDescent="0.15">
      <c r="A1316">
        <v>52</v>
      </c>
      <c r="B1316">
        <v>17</v>
      </c>
      <c r="C1316">
        <v>209822.75390625</v>
      </c>
      <c r="D1316">
        <v>2411777.3572760383</v>
      </c>
      <c r="E1316">
        <v>2.6069768956634116E-5</v>
      </c>
      <c r="F1316">
        <v>2.5998049742769597E-5</v>
      </c>
      <c r="G1316">
        <v>7.1719213864519744E-8</v>
      </c>
      <c r="H1316" t="b">
        <v>0</v>
      </c>
    </row>
    <row r="1317" spans="1:8" x14ac:dyDescent="0.15">
      <c r="A1317">
        <v>52</v>
      </c>
      <c r="B1317">
        <v>18</v>
      </c>
      <c r="C1317">
        <v>209760.25390625</v>
      </c>
      <c r="D1317">
        <v>-3477067.9061789052</v>
      </c>
      <c r="E1317">
        <v>2.5893234633677834E-5</v>
      </c>
      <c r="F1317">
        <v>2.5998049742769597E-5</v>
      </c>
      <c r="G1317">
        <v>-1.0481510909176236E-7</v>
      </c>
      <c r="H1317" t="b">
        <v>1</v>
      </c>
    </row>
    <row r="1318" spans="1:8" x14ac:dyDescent="0.15">
      <c r="A1318">
        <v>52</v>
      </c>
      <c r="B1318">
        <v>19</v>
      </c>
      <c r="C1318">
        <v>209791.50390625</v>
      </c>
      <c r="D1318">
        <v>-557118.96160174825</v>
      </c>
      <c r="E1318">
        <v>2.5981369822110311E-5</v>
      </c>
      <c r="F1318">
        <v>2.5998049742769597E-5</v>
      </c>
      <c r="G1318">
        <v>-1.6679920659285754E-8</v>
      </c>
      <c r="H1318" t="b">
        <v>1</v>
      </c>
    </row>
    <row r="1319" spans="1:8" x14ac:dyDescent="0.15">
      <c r="A1319">
        <v>52</v>
      </c>
      <c r="B1319">
        <v>20</v>
      </c>
      <c r="C1319">
        <v>209822.75390625</v>
      </c>
      <c r="D1319">
        <v>2411777.3572760383</v>
      </c>
      <c r="E1319">
        <v>2.6069768956634116E-5</v>
      </c>
      <c r="F1319">
        <v>2.5998049742769597E-5</v>
      </c>
      <c r="G1319">
        <v>7.1719213864519744E-8</v>
      </c>
      <c r="H1319" t="b">
        <v>0</v>
      </c>
    </row>
    <row r="1320" spans="1:8" x14ac:dyDescent="0.15">
      <c r="A1320">
        <v>52</v>
      </c>
      <c r="B1320">
        <v>21</v>
      </c>
      <c r="C1320">
        <v>209807.12890625</v>
      </c>
      <c r="D1320">
        <v>921049.54096061364</v>
      </c>
      <c r="E1320">
        <v>2.6025532050692599E-5</v>
      </c>
      <c r="F1320">
        <v>2.5998049742769597E-5</v>
      </c>
      <c r="G1320">
        <v>2.7482307923002098E-8</v>
      </c>
      <c r="H1320" t="b">
        <v>0</v>
      </c>
    </row>
    <row r="1321" spans="1:8" x14ac:dyDescent="0.15">
      <c r="A1321">
        <v>52</v>
      </c>
      <c r="B1321">
        <v>22</v>
      </c>
      <c r="C1321">
        <v>209788.37890625</v>
      </c>
      <c r="D1321">
        <v>-851495.44438853383</v>
      </c>
      <c r="E1321">
        <v>2.5972538932302822E-5</v>
      </c>
      <c r="F1321">
        <v>2.5998049742769597E-5</v>
      </c>
      <c r="G1321">
        <v>-2.5510810466774494E-8</v>
      </c>
      <c r="H1321" t="b">
        <v>1</v>
      </c>
    </row>
    <row r="1322" spans="1:8" x14ac:dyDescent="0.15">
      <c r="A1322">
        <v>52</v>
      </c>
      <c r="B1322">
        <v>23</v>
      </c>
      <c r="C1322">
        <v>209797.75390625</v>
      </c>
      <c r="D1322">
        <v>32744.341689642799</v>
      </c>
      <c r="E1322">
        <v>2.5999028762398614E-5</v>
      </c>
      <c r="F1322">
        <v>2.5998049742769597E-5</v>
      </c>
      <c r="G1322">
        <v>9.7901962901756007E-10</v>
      </c>
      <c r="H1322" t="b">
        <v>0</v>
      </c>
    </row>
    <row r="1323" spans="1:8" x14ac:dyDescent="0.15">
      <c r="A1323">
        <v>52</v>
      </c>
      <c r="B1323">
        <v>24</v>
      </c>
      <c r="C1323">
        <v>209809.00390625</v>
      </c>
      <c r="D1323">
        <v>1099470.1033352932</v>
      </c>
      <c r="E1323">
        <v>2.6030842399631327E-5</v>
      </c>
      <c r="F1323">
        <v>2.5998049742769597E-5</v>
      </c>
      <c r="G1323">
        <v>3.2792656861730204E-8</v>
      </c>
      <c r="H1323" t="b">
        <v>0</v>
      </c>
    </row>
    <row r="1324" spans="1:8" x14ac:dyDescent="0.15">
      <c r="A1324">
        <v>52</v>
      </c>
      <c r="B1324">
        <v>25</v>
      </c>
      <c r="C1324">
        <v>209803.37890625</v>
      </c>
      <c r="D1324">
        <v>565123.65577624983</v>
      </c>
      <c r="E1324">
        <v>2.6014925666720191E-5</v>
      </c>
      <c r="F1324">
        <v>2.5998049742769597E-5</v>
      </c>
      <c r="G1324">
        <v>1.6875923950594382E-8</v>
      </c>
      <c r="H1324" t="b">
        <v>0</v>
      </c>
    </row>
    <row r="1325" spans="1:8" x14ac:dyDescent="0.15">
      <c r="A1325">
        <v>52</v>
      </c>
      <c r="B1325">
        <v>26</v>
      </c>
      <c r="C1325">
        <v>209796.62890625</v>
      </c>
      <c r="D1325">
        <v>-73576.76444656463</v>
      </c>
      <c r="E1325">
        <v>2.5995849340240087E-5</v>
      </c>
      <c r="F1325">
        <v>2.5998049742769597E-5</v>
      </c>
      <c r="G1325">
        <v>-2.2004025295092357E-9</v>
      </c>
      <c r="H1325" t="b">
        <v>1</v>
      </c>
    </row>
    <row r="1326" spans="1:8" x14ac:dyDescent="0.15">
      <c r="A1326">
        <v>52</v>
      </c>
      <c r="B1326">
        <v>27</v>
      </c>
      <c r="C1326">
        <v>209800.00390625</v>
      </c>
      <c r="D1326">
        <v>245572.4554153975</v>
      </c>
      <c r="E1326">
        <v>2.6005388495091483E-5</v>
      </c>
      <c r="F1326">
        <v>2.5998049742769597E-5</v>
      </c>
      <c r="G1326">
        <v>7.3387523218867979E-9</v>
      </c>
      <c r="H1326" t="b">
        <v>0</v>
      </c>
    </row>
    <row r="1327" spans="1:8" x14ac:dyDescent="0.15">
      <c r="A1327">
        <v>52</v>
      </c>
      <c r="B1327">
        <v>28</v>
      </c>
      <c r="C1327">
        <v>209798.31640625</v>
      </c>
      <c r="D1327">
        <v>85736.086429088944</v>
      </c>
      <c r="E1327">
        <v>2.6000612844447758E-5</v>
      </c>
      <c r="F1327">
        <v>2.5998049742769597E-5</v>
      </c>
      <c r="G1327">
        <v>2.5631016781613289E-9</v>
      </c>
      <c r="H1327" t="b">
        <v>0</v>
      </c>
    </row>
    <row r="1328" spans="1:8" x14ac:dyDescent="0.15">
      <c r="A1328">
        <v>52</v>
      </c>
      <c r="B1328">
        <v>29</v>
      </c>
      <c r="C1328">
        <v>209799.16015625</v>
      </c>
      <c r="D1328">
        <v>165729.01544083303</v>
      </c>
      <c r="E1328">
        <v>2.6003003341580666E-5</v>
      </c>
      <c r="F1328">
        <v>2.5998049742769597E-5</v>
      </c>
      <c r="G1328">
        <v>4.9535988110691758E-9</v>
      </c>
      <c r="H1328" t="b">
        <v>0</v>
      </c>
    </row>
    <row r="1329" spans="1:8" x14ac:dyDescent="0.15">
      <c r="A1329">
        <v>52</v>
      </c>
      <c r="B1329">
        <v>30</v>
      </c>
      <c r="C1329">
        <v>209800.17265625001</v>
      </c>
      <c r="D1329">
        <v>261359.45406510518</v>
      </c>
      <c r="E1329">
        <v>2.6005859994632215E-5</v>
      </c>
      <c r="F1329">
        <v>2.5998049742769597E-5</v>
      </c>
      <c r="G1329">
        <v>7.8102518626185378E-9</v>
      </c>
      <c r="H1329" t="b">
        <v>0</v>
      </c>
    </row>
    <row r="1330" spans="1:8" x14ac:dyDescent="0.15">
      <c r="A1330">
        <v>52</v>
      </c>
      <c r="B1330">
        <v>31</v>
      </c>
      <c r="C1330">
        <v>209799.66640625001</v>
      </c>
      <c r="D1330">
        <v>213444.71143472759</v>
      </c>
      <c r="E1330">
        <v>2.6004428852046354E-5</v>
      </c>
      <c r="F1330">
        <v>2.5998049742769597E-5</v>
      </c>
      <c r="G1330">
        <v>6.379109276756983E-9</v>
      </c>
      <c r="H1330" t="b">
        <v>0</v>
      </c>
    </row>
    <row r="1331" spans="1:8" x14ac:dyDescent="0.15">
      <c r="A1331">
        <v>52</v>
      </c>
      <c r="B1331">
        <v>32</v>
      </c>
      <c r="C1331">
        <v>209799.05890624999</v>
      </c>
      <c r="D1331">
        <v>155964.30694109685</v>
      </c>
      <c r="E1331">
        <v>2.6002711581552036E-5</v>
      </c>
      <c r="F1331">
        <v>2.5998049742769597E-5</v>
      </c>
      <c r="G1331">
        <v>4.6618387824398958E-9</v>
      </c>
      <c r="H1331" t="b">
        <v>0</v>
      </c>
    </row>
    <row r="1332" spans="1:8" x14ac:dyDescent="0.15">
      <c r="A1332">
        <v>52</v>
      </c>
      <c r="B1332">
        <v>33</v>
      </c>
      <c r="C1332">
        <v>209799.36265624998</v>
      </c>
      <c r="D1332">
        <v>184702.15194242587</v>
      </c>
      <c r="E1332">
        <v>2.60035702030772E-5</v>
      </c>
      <c r="F1332">
        <v>2.5998049742769597E-5</v>
      </c>
      <c r="G1332">
        <v>5.5204603076037075E-9</v>
      </c>
      <c r="H1332" t="b">
        <v>0</v>
      </c>
    </row>
    <row r="1333" spans="1:8" x14ac:dyDescent="0.15">
      <c r="A1333">
        <v>52</v>
      </c>
      <c r="B1333">
        <v>34</v>
      </c>
      <c r="C1333">
        <v>209799.72715624998</v>
      </c>
      <c r="D1333">
        <v>219379.79792616732</v>
      </c>
      <c r="E1333">
        <v>2.600460614140479E-5</v>
      </c>
      <c r="F1333">
        <v>2.5998049742769597E-5</v>
      </c>
      <c r="G1333">
        <v>6.5563986351930615E-9</v>
      </c>
      <c r="H1333" t="b">
        <v>0</v>
      </c>
    </row>
    <row r="1334" spans="1:8" x14ac:dyDescent="0.15">
      <c r="A1334">
        <v>52</v>
      </c>
      <c r="B1334">
        <v>35</v>
      </c>
      <c r="C1334">
        <v>209799.54490624997</v>
      </c>
      <c r="D1334">
        <v>201947.12159570877</v>
      </c>
      <c r="E1334">
        <v>2.6004085389156849E-5</v>
      </c>
      <c r="F1334">
        <v>2.5998049742769597E-5</v>
      </c>
      <c r="G1334">
        <v>6.0356463872528242E-9</v>
      </c>
      <c r="H1334" t="b">
        <v>0</v>
      </c>
    </row>
    <row r="1335" spans="1:8" x14ac:dyDescent="0.15">
      <c r="A1335">
        <v>52</v>
      </c>
      <c r="B1335">
        <v>36</v>
      </c>
      <c r="C1335">
        <v>209799.63603124997</v>
      </c>
      <c r="D1335">
        <v>210756.24277459134</v>
      </c>
      <c r="E1335">
        <v>2.6004348542125629E-5</v>
      </c>
      <c r="F1335">
        <v>2.5998049742769597E-5</v>
      </c>
      <c r="G1335">
        <v>6.2987993560323341E-9</v>
      </c>
      <c r="H1335" t="b">
        <v>0</v>
      </c>
    </row>
    <row r="1336" spans="1:8" x14ac:dyDescent="0.15">
      <c r="A1336">
        <v>53</v>
      </c>
      <c r="B1336">
        <v>1</v>
      </c>
      <c r="C1336">
        <v>6050000</v>
      </c>
      <c r="D1336">
        <v>1.2838823453908214E+18</v>
      </c>
      <c r="E1336">
        <v>536.87092200000006</v>
      </c>
      <c r="F1336">
        <v>2.5998049750342034E-5</v>
      </c>
      <c r="G1336">
        <v>536.87089600195031</v>
      </c>
      <c r="H1336" t="b">
        <v>0</v>
      </c>
    </row>
    <row r="1337" spans="1:8" x14ac:dyDescent="0.15">
      <c r="A1337">
        <v>53</v>
      </c>
      <c r="B1337">
        <v>2</v>
      </c>
      <c r="C1337">
        <v>3075000</v>
      </c>
      <c r="D1337">
        <v>1.2838823453908216E+18</v>
      </c>
      <c r="E1337">
        <v>536.87092200000018</v>
      </c>
      <c r="F1337">
        <v>2.5998049750342034E-5</v>
      </c>
      <c r="G1337">
        <v>536.87089600195043</v>
      </c>
      <c r="H1337" t="b">
        <v>0</v>
      </c>
    </row>
    <row r="1338" spans="1:8" x14ac:dyDescent="0.15">
      <c r="A1338">
        <v>53</v>
      </c>
      <c r="B1338">
        <v>3</v>
      </c>
      <c r="C1338">
        <v>1587500</v>
      </c>
      <c r="D1338">
        <v>1.2838823453908214E+18</v>
      </c>
      <c r="E1338">
        <v>536.87092200000006</v>
      </c>
      <c r="F1338">
        <v>2.5998049750342034E-5</v>
      </c>
      <c r="G1338">
        <v>536.87089600195031</v>
      </c>
      <c r="H1338" t="b">
        <v>0</v>
      </c>
    </row>
    <row r="1339" spans="1:8" x14ac:dyDescent="0.15">
      <c r="A1339">
        <v>53</v>
      </c>
      <c r="B1339">
        <v>4</v>
      </c>
      <c r="C1339">
        <v>843750</v>
      </c>
      <c r="D1339">
        <v>4.2900212300482448E+16</v>
      </c>
      <c r="E1339">
        <v>27.153368949187904</v>
      </c>
      <c r="F1339">
        <v>2.5998049743236606E-5</v>
      </c>
      <c r="G1339">
        <v>27.153342951138161</v>
      </c>
      <c r="H1339" t="b">
        <v>0</v>
      </c>
    </row>
    <row r="1340" spans="1:8" x14ac:dyDescent="0.15">
      <c r="A1340">
        <v>53</v>
      </c>
      <c r="B1340">
        <v>5</v>
      </c>
      <c r="C1340">
        <v>471875</v>
      </c>
      <c r="D1340">
        <v>6640577497654.4678</v>
      </c>
      <c r="E1340">
        <v>1.6523942689273704E-2</v>
      </c>
      <c r="F1340">
        <v>2.5998049742768231E-5</v>
      </c>
      <c r="G1340">
        <v>1.6497944639530936E-2</v>
      </c>
      <c r="H1340" t="b">
        <v>0</v>
      </c>
    </row>
    <row r="1341" spans="1:8" x14ac:dyDescent="0.15">
      <c r="A1341">
        <v>53</v>
      </c>
      <c r="B1341">
        <v>6</v>
      </c>
      <c r="C1341">
        <v>285937.5</v>
      </c>
      <c r="D1341">
        <v>-397950.56657824112</v>
      </c>
      <c r="E1341">
        <v>6.1777790322569167E-6</v>
      </c>
      <c r="F1341">
        <v>2.5998049742769593E-5</v>
      </c>
      <c r="G1341">
        <v>-1.9820270710512678E-5</v>
      </c>
      <c r="H1341" t="b">
        <v>1</v>
      </c>
    </row>
    <row r="1342" spans="1:8" x14ac:dyDescent="0.15">
      <c r="A1342">
        <v>53</v>
      </c>
      <c r="B1342">
        <v>7</v>
      </c>
      <c r="C1342">
        <v>378906.25</v>
      </c>
      <c r="D1342">
        <v>76454874633.779083</v>
      </c>
      <c r="E1342">
        <v>5.1341472988531865E-4</v>
      </c>
      <c r="F1342">
        <v>2.5998049742769586E-5</v>
      </c>
      <c r="G1342">
        <v>4.8741668014254906E-4</v>
      </c>
      <c r="H1342" t="b">
        <v>0</v>
      </c>
    </row>
    <row r="1343" spans="1:8" x14ac:dyDescent="0.15">
      <c r="A1343">
        <v>53</v>
      </c>
      <c r="B1343">
        <v>8</v>
      </c>
      <c r="C1343">
        <v>332421.875</v>
      </c>
      <c r="D1343">
        <v>1241233035.9462862</v>
      </c>
      <c r="E1343">
        <v>4.7061003366947707E-5</v>
      </c>
      <c r="F1343">
        <v>2.5998049742769597E-5</v>
      </c>
      <c r="G1343">
        <v>2.1062953624178111E-5</v>
      </c>
      <c r="H1343" t="b">
        <v>0</v>
      </c>
    </row>
    <row r="1344" spans="1:8" x14ac:dyDescent="0.15">
      <c r="A1344">
        <v>53</v>
      </c>
      <c r="B1344">
        <v>9</v>
      </c>
      <c r="C1344">
        <v>309179.6875</v>
      </c>
      <c r="D1344">
        <v>-15190178.778874636</v>
      </c>
      <c r="E1344">
        <v>1.3663045639520771E-5</v>
      </c>
      <c r="F1344">
        <v>2.5998049742769597E-5</v>
      </c>
      <c r="G1344">
        <v>-1.2335004103248826E-5</v>
      </c>
      <c r="H1344" t="b">
        <v>1</v>
      </c>
    </row>
    <row r="1345" spans="1:8" x14ac:dyDescent="0.15">
      <c r="A1345">
        <v>53</v>
      </c>
      <c r="B1345">
        <v>10</v>
      </c>
      <c r="C1345">
        <v>320800.78125</v>
      </c>
      <c r="D1345">
        <v>-68763201.916999876</v>
      </c>
      <c r="E1345">
        <v>2.3412402187968278E-5</v>
      </c>
      <c r="F1345">
        <v>2.5998049742769597E-5</v>
      </c>
      <c r="G1345">
        <v>-2.5856475548013184E-6</v>
      </c>
      <c r="H1345" t="b">
        <v>1</v>
      </c>
    </row>
    <row r="1346" spans="1:8" x14ac:dyDescent="0.15">
      <c r="A1346">
        <v>53</v>
      </c>
      <c r="B1346">
        <v>11</v>
      </c>
      <c r="C1346">
        <v>326611.328125</v>
      </c>
      <c r="D1346">
        <v>347835879.24018031</v>
      </c>
      <c r="E1346">
        <v>3.3390564917217528E-5</v>
      </c>
      <c r="F1346">
        <v>2.5998049742769597E-5</v>
      </c>
      <c r="G1346">
        <v>7.3925151744479315E-6</v>
      </c>
      <c r="H1346" t="b">
        <v>0</v>
      </c>
    </row>
    <row r="1347" spans="1:8" x14ac:dyDescent="0.15">
      <c r="A1347">
        <v>53</v>
      </c>
      <c r="B1347">
        <v>12</v>
      </c>
      <c r="C1347">
        <v>323706.0546875</v>
      </c>
      <c r="D1347">
        <v>77235486.983165294</v>
      </c>
      <c r="E1347">
        <v>2.8004206953920833E-5</v>
      </c>
      <c r="F1347">
        <v>2.5998049742769597E-5</v>
      </c>
      <c r="G1347">
        <v>2.0061572111512363E-6</v>
      </c>
      <c r="H1347" t="b">
        <v>0</v>
      </c>
    </row>
    <row r="1348" spans="1:8" x14ac:dyDescent="0.15">
      <c r="A1348">
        <v>53</v>
      </c>
      <c r="B1348">
        <v>13</v>
      </c>
      <c r="C1348">
        <v>322253.41796875</v>
      </c>
      <c r="D1348">
        <v>-12408896.518817132</v>
      </c>
      <c r="E1348">
        <v>2.5615707819894149E-5</v>
      </c>
      <c r="F1348">
        <v>2.5998049742769597E-5</v>
      </c>
      <c r="G1348">
        <v>-3.8234192287544747E-7</v>
      </c>
      <c r="H1348" t="b">
        <v>1</v>
      </c>
    </row>
    <row r="1349" spans="1:8" x14ac:dyDescent="0.15">
      <c r="A1349">
        <v>53</v>
      </c>
      <c r="B1349">
        <v>14</v>
      </c>
      <c r="C1349">
        <v>322753.41796875</v>
      </c>
      <c r="D1349">
        <v>14440775.668772599</v>
      </c>
      <c r="E1349">
        <v>2.6416430025389744E-5</v>
      </c>
      <c r="F1349">
        <v>2.5998049742769597E-5</v>
      </c>
      <c r="G1349">
        <v>4.1838028262014705E-7</v>
      </c>
      <c r="H1349" t="b">
        <v>0</v>
      </c>
    </row>
    <row r="1350" spans="1:8" x14ac:dyDescent="0.15">
      <c r="A1350">
        <v>53</v>
      </c>
      <c r="B1350">
        <v>15</v>
      </c>
      <c r="C1350">
        <v>322503.41796875</v>
      </c>
      <c r="D1350">
        <v>510073.3867490206</v>
      </c>
      <c r="E1350">
        <v>2.6013283658637526E-5</v>
      </c>
      <c r="F1350">
        <v>2.5998049742769597E-5</v>
      </c>
      <c r="G1350">
        <v>1.5233915867929858E-8</v>
      </c>
      <c r="H1350" t="b">
        <v>0</v>
      </c>
    </row>
    <row r="1351" spans="1:8" x14ac:dyDescent="0.15">
      <c r="A1351">
        <v>53</v>
      </c>
      <c r="B1351">
        <v>16</v>
      </c>
      <c r="C1351">
        <v>322203.41796875</v>
      </c>
      <c r="D1351">
        <v>-14873694.541640142</v>
      </c>
      <c r="E1351">
        <v>2.5536850741686605E-5</v>
      </c>
      <c r="F1351">
        <v>2.5998049742769597E-5</v>
      </c>
      <c r="G1351">
        <v>-4.6119900108299144E-7</v>
      </c>
      <c r="H1351" t="b">
        <v>1</v>
      </c>
    </row>
    <row r="1352" spans="1:8" x14ac:dyDescent="0.15">
      <c r="A1352">
        <v>53</v>
      </c>
      <c r="B1352">
        <v>17</v>
      </c>
      <c r="C1352">
        <v>322353.41796875</v>
      </c>
      <c r="D1352">
        <v>-7361239.10520643</v>
      </c>
      <c r="E1352">
        <v>2.5774068439890078E-5</v>
      </c>
      <c r="F1352">
        <v>2.5998049742769597E-5</v>
      </c>
      <c r="G1352">
        <v>-2.2398130287951839E-7</v>
      </c>
      <c r="H1352" t="b">
        <v>1</v>
      </c>
    </row>
    <row r="1353" spans="1:8" x14ac:dyDescent="0.15">
      <c r="A1353">
        <v>53</v>
      </c>
      <c r="B1353">
        <v>18</v>
      </c>
      <c r="C1353">
        <v>322503.41796875</v>
      </c>
      <c r="D1353">
        <v>510073.3867490206</v>
      </c>
      <c r="E1353">
        <v>2.6013283658637526E-5</v>
      </c>
      <c r="F1353">
        <v>2.5998049742769597E-5</v>
      </c>
      <c r="G1353">
        <v>1.5233915867929858E-8</v>
      </c>
      <c r="H1353" t="b">
        <v>0</v>
      </c>
    </row>
    <row r="1354" spans="1:8" x14ac:dyDescent="0.15">
      <c r="A1354">
        <v>53</v>
      </c>
      <c r="B1354">
        <v>19</v>
      </c>
      <c r="C1354">
        <v>322428.41796875</v>
      </c>
      <c r="D1354">
        <v>-3470851.8491651528</v>
      </c>
      <c r="E1354">
        <v>2.5893423552400182E-5</v>
      </c>
      <c r="F1354">
        <v>2.5998049742769597E-5</v>
      </c>
      <c r="G1354">
        <v>-1.0462619036941495E-7</v>
      </c>
      <c r="H1354" t="b">
        <v>1</v>
      </c>
    </row>
    <row r="1355" spans="1:8" x14ac:dyDescent="0.15">
      <c r="A1355">
        <v>53</v>
      </c>
      <c r="B1355">
        <v>20</v>
      </c>
      <c r="C1355">
        <v>322465.91796875</v>
      </c>
      <c r="D1355">
        <v>-1491813.3159209706</v>
      </c>
      <c r="E1355">
        <v>2.5953288483323818E-5</v>
      </c>
      <c r="F1355">
        <v>2.5998049742769597E-5</v>
      </c>
      <c r="G1355">
        <v>-4.4761259445778352E-8</v>
      </c>
      <c r="H1355" t="b">
        <v>1</v>
      </c>
    </row>
    <row r="1356" spans="1:8" x14ac:dyDescent="0.15">
      <c r="A1356">
        <v>53</v>
      </c>
      <c r="B1356">
        <v>21</v>
      </c>
      <c r="C1356">
        <v>322503.41796875</v>
      </c>
      <c r="D1356">
        <v>510073.3867490206</v>
      </c>
      <c r="E1356">
        <v>2.6013283658637526E-5</v>
      </c>
      <c r="F1356">
        <v>2.5998049742769597E-5</v>
      </c>
      <c r="G1356">
        <v>1.5233915867929858E-8</v>
      </c>
      <c r="H1356" t="b">
        <v>0</v>
      </c>
    </row>
    <row r="1357" spans="1:8" x14ac:dyDescent="0.15">
      <c r="A1357">
        <v>53</v>
      </c>
      <c r="B1357">
        <v>22</v>
      </c>
      <c r="C1357">
        <v>322484.66796875</v>
      </c>
      <c r="D1357">
        <v>-493625.69136407279</v>
      </c>
      <c r="E1357">
        <v>2.598327295406777E-5</v>
      </c>
      <c r="F1357">
        <v>2.5998049742769597E-5</v>
      </c>
      <c r="G1357">
        <v>-1.4776788701826432E-8</v>
      </c>
      <c r="H1357" t="b">
        <v>1</v>
      </c>
    </row>
    <row r="1358" spans="1:8" x14ac:dyDescent="0.15">
      <c r="A1358">
        <v>53</v>
      </c>
      <c r="B1358">
        <v>23</v>
      </c>
      <c r="C1358">
        <v>322494.04296875</v>
      </c>
      <c r="D1358">
        <v>7513.8224926262155</v>
      </c>
      <c r="E1358">
        <v>2.5998274410805139E-5</v>
      </c>
      <c r="F1358">
        <v>2.5998049742769597E-5</v>
      </c>
      <c r="G1358">
        <v>2.2466803554206205E-10</v>
      </c>
      <c r="H1358" t="b">
        <v>0</v>
      </c>
    </row>
    <row r="1359" spans="1:8" x14ac:dyDescent="0.15">
      <c r="A1359">
        <v>53</v>
      </c>
      <c r="B1359">
        <v>24</v>
      </c>
      <c r="C1359">
        <v>322505.29296875</v>
      </c>
      <c r="D1359">
        <v>610759.08961519168</v>
      </c>
      <c r="E1359">
        <v>2.6016286540784945E-5</v>
      </c>
      <c r="F1359">
        <v>2.5998049742769597E-5</v>
      </c>
      <c r="G1359">
        <v>1.8236798015348199E-8</v>
      </c>
      <c r="H1359" t="b">
        <v>0</v>
      </c>
    </row>
    <row r="1360" spans="1:8" x14ac:dyDescent="0.15">
      <c r="A1360">
        <v>53</v>
      </c>
      <c r="B1360">
        <v>25</v>
      </c>
      <c r="C1360">
        <v>322499.66796875</v>
      </c>
      <c r="D1360">
        <v>308874.43131342181</v>
      </c>
      <c r="E1360">
        <v>2.6007278885898242E-5</v>
      </c>
      <c r="F1360">
        <v>2.5998049742769597E-5</v>
      </c>
      <c r="G1360">
        <v>9.2291431286450334E-9</v>
      </c>
      <c r="H1360" t="b">
        <v>0</v>
      </c>
    </row>
    <row r="1361" spans="1:8" x14ac:dyDescent="0.15">
      <c r="A1361">
        <v>53</v>
      </c>
      <c r="B1361">
        <v>26</v>
      </c>
      <c r="C1361">
        <v>322502.48046875</v>
      </c>
      <c r="D1361">
        <v>459582.29334729293</v>
      </c>
      <c r="E1361">
        <v>2.6011777274993879E-5</v>
      </c>
      <c r="F1361">
        <v>2.5998049742769597E-5</v>
      </c>
      <c r="G1361">
        <v>1.3727532224282359E-8</v>
      </c>
      <c r="H1361" t="b">
        <v>0</v>
      </c>
    </row>
    <row r="1362" spans="1:8" x14ac:dyDescent="0.15">
      <c r="A1362">
        <v>53</v>
      </c>
      <c r="B1362">
        <v>27</v>
      </c>
      <c r="C1362">
        <v>322501.07421875</v>
      </c>
      <c r="D1362">
        <v>384127.37230936531</v>
      </c>
      <c r="E1362">
        <v>2.6009525454702896E-5</v>
      </c>
      <c r="F1362">
        <v>2.5998049742769597E-5</v>
      </c>
      <c r="G1362">
        <v>1.1475711933299336E-8</v>
      </c>
      <c r="H1362" t="b">
        <v>0</v>
      </c>
    </row>
    <row r="1363" spans="1:8" x14ac:dyDescent="0.15">
      <c r="A1363">
        <v>53</v>
      </c>
      <c r="B1363">
        <v>28</v>
      </c>
      <c r="C1363">
        <v>322499.38671875</v>
      </c>
      <c r="D1363">
        <v>293793.77754046681</v>
      </c>
      <c r="E1363">
        <v>2.6006828581254066E-5</v>
      </c>
      <c r="F1363">
        <v>2.5998049742769597E-5</v>
      </c>
      <c r="G1363">
        <v>8.7788384844693053E-9</v>
      </c>
      <c r="H1363" t="b">
        <v>0</v>
      </c>
    </row>
    <row r="1364" spans="1:8" x14ac:dyDescent="0.15">
      <c r="A1364">
        <v>53</v>
      </c>
      <c r="B1364">
        <v>29</v>
      </c>
      <c r="C1364">
        <v>322500.23046875</v>
      </c>
      <c r="D1364">
        <v>339039.61826828413</v>
      </c>
      <c r="E1364">
        <v>2.6008179517510167E-5</v>
      </c>
      <c r="F1364">
        <v>2.5998049742769597E-5</v>
      </c>
      <c r="G1364">
        <v>1.0129774740570143E-8</v>
      </c>
      <c r="H1364" t="b">
        <v>0</v>
      </c>
    </row>
    <row r="1365" spans="1:8" x14ac:dyDescent="0.15">
      <c r="A1365">
        <v>53</v>
      </c>
      <c r="B1365">
        <v>30</v>
      </c>
      <c r="C1365">
        <v>322499.80859375</v>
      </c>
      <c r="D1365">
        <v>316415.24288984988</v>
      </c>
      <c r="E1365">
        <v>2.6007504041003929E-5</v>
      </c>
      <c r="F1365">
        <v>2.5998049742769597E-5</v>
      </c>
      <c r="G1365">
        <v>9.4542982343321898E-9</v>
      </c>
      <c r="H1365" t="b">
        <v>0</v>
      </c>
    </row>
    <row r="1366" spans="1:8" x14ac:dyDescent="0.15">
      <c r="A1366">
        <v>53</v>
      </c>
      <c r="B1366">
        <v>31</v>
      </c>
      <c r="C1366">
        <v>322500.01953125</v>
      </c>
      <c r="D1366">
        <v>327557.39750244957</v>
      </c>
      <c r="E1366">
        <v>2.600783671148979E-5</v>
      </c>
      <c r="F1366">
        <v>2.5998049742769597E-5</v>
      </c>
      <c r="G1366">
        <v>9.7869687201936246E-9</v>
      </c>
      <c r="H1366" t="b">
        <v>0</v>
      </c>
    </row>
    <row r="1367" spans="1:8" x14ac:dyDescent="0.15">
      <c r="A1367">
        <v>53</v>
      </c>
      <c r="B1367">
        <v>32</v>
      </c>
      <c r="C1367">
        <v>322499.9140625</v>
      </c>
      <c r="D1367">
        <v>321901.40026808676</v>
      </c>
      <c r="E1367">
        <v>2.6007667842924642E-5</v>
      </c>
      <c r="F1367">
        <v>2.5998049742769597E-5</v>
      </c>
      <c r="G1367">
        <v>9.6181001550458797E-9</v>
      </c>
      <c r="H1367" t="b">
        <v>0</v>
      </c>
    </row>
    <row r="1368" spans="1:8" x14ac:dyDescent="0.15">
      <c r="A1368">
        <v>54</v>
      </c>
      <c r="B1368">
        <v>1</v>
      </c>
      <c r="C1368">
        <v>6050000</v>
      </c>
      <c r="D1368">
        <v>2.3214121461268024E+18</v>
      </c>
      <c r="E1368">
        <v>536.87092200000006</v>
      </c>
      <c r="F1368">
        <v>1.7804228832574154E-5</v>
      </c>
      <c r="G1368">
        <v>536.87090419577123</v>
      </c>
      <c r="H1368" t="b">
        <v>0</v>
      </c>
    </row>
    <row r="1369" spans="1:8" x14ac:dyDescent="0.15">
      <c r="A1369">
        <v>54</v>
      </c>
      <c r="B1369">
        <v>2</v>
      </c>
      <c r="C1369">
        <v>3075000</v>
      </c>
      <c r="D1369">
        <v>2.3214121461268024E+18</v>
      </c>
      <c r="E1369">
        <v>536.87092200000006</v>
      </c>
      <c r="F1369">
        <v>1.7804228832574154E-5</v>
      </c>
      <c r="G1369">
        <v>536.87090419577123</v>
      </c>
      <c r="H1369" t="b">
        <v>0</v>
      </c>
    </row>
    <row r="1370" spans="1:8" x14ac:dyDescent="0.15">
      <c r="A1370">
        <v>54</v>
      </c>
      <c r="B1370">
        <v>3</v>
      </c>
      <c r="C1370">
        <v>1587500</v>
      </c>
      <c r="D1370">
        <v>2.3214121461268029E+18</v>
      </c>
      <c r="E1370">
        <v>536.87092200000018</v>
      </c>
      <c r="F1370">
        <v>1.7804228832574154E-5</v>
      </c>
      <c r="G1370">
        <v>536.87090419577135</v>
      </c>
      <c r="H1370" t="b">
        <v>0</v>
      </c>
    </row>
    <row r="1371" spans="1:8" x14ac:dyDescent="0.15">
      <c r="A1371">
        <v>54</v>
      </c>
      <c r="B1371">
        <v>4</v>
      </c>
      <c r="C1371">
        <v>843750</v>
      </c>
      <c r="D1371">
        <v>3.5763860690334694E+17</v>
      </c>
      <c r="E1371">
        <v>103.12812551620775</v>
      </c>
      <c r="F1371">
        <v>1.7804228818363299E-5</v>
      </c>
      <c r="G1371">
        <v>103.12810771197893</v>
      </c>
      <c r="H1371" t="b">
        <v>0</v>
      </c>
    </row>
    <row r="1372" spans="1:8" x14ac:dyDescent="0.15">
      <c r="A1372">
        <v>54</v>
      </c>
      <c r="B1372">
        <v>5</v>
      </c>
      <c r="C1372">
        <v>471875</v>
      </c>
      <c r="D1372">
        <v>16755909779891.229</v>
      </c>
      <c r="E1372">
        <v>2.1411058607035859E-2</v>
      </c>
      <c r="F1372">
        <v>1.780422881239932E-5</v>
      </c>
      <c r="G1372">
        <v>2.139325437822346E-2</v>
      </c>
      <c r="H1372" t="b">
        <v>0</v>
      </c>
    </row>
    <row r="1373" spans="1:8" x14ac:dyDescent="0.15">
      <c r="A1373">
        <v>54</v>
      </c>
      <c r="B1373">
        <v>6</v>
      </c>
      <c r="C1373">
        <v>285937.5</v>
      </c>
      <c r="D1373">
        <v>-425138.48713703966</v>
      </c>
      <c r="E1373">
        <v>4.0688263173563006E-6</v>
      </c>
      <c r="F1373">
        <v>1.7804228812400651E-5</v>
      </c>
      <c r="G1373">
        <v>-1.373540249504435E-5</v>
      </c>
      <c r="H1373" t="b">
        <v>1</v>
      </c>
    </row>
    <row r="1374" spans="1:8" x14ac:dyDescent="0.15">
      <c r="A1374">
        <v>54</v>
      </c>
      <c r="B1374">
        <v>7</v>
      </c>
      <c r="C1374">
        <v>378906.25</v>
      </c>
      <c r="D1374">
        <v>123294689440.40329</v>
      </c>
      <c r="E1374">
        <v>4.5739203578792204E-4</v>
      </c>
      <c r="F1374">
        <v>1.7804228812400675E-5</v>
      </c>
      <c r="G1374">
        <v>4.3958780697552136E-4</v>
      </c>
      <c r="H1374" t="b">
        <v>0</v>
      </c>
    </row>
    <row r="1375" spans="1:8" x14ac:dyDescent="0.15">
      <c r="A1375">
        <v>54</v>
      </c>
      <c r="B1375">
        <v>8</v>
      </c>
      <c r="C1375">
        <v>332421.875</v>
      </c>
      <c r="D1375">
        <v>1406935460.6221364</v>
      </c>
      <c r="E1375">
        <v>3.2728291159806432E-5</v>
      </c>
      <c r="F1375">
        <v>1.7804228812400651E-5</v>
      </c>
      <c r="G1375">
        <v>1.492406234740578E-5</v>
      </c>
      <c r="H1375" t="b">
        <v>0</v>
      </c>
    </row>
    <row r="1376" spans="1:8" x14ac:dyDescent="0.15">
      <c r="A1376">
        <v>54</v>
      </c>
      <c r="B1376">
        <v>9</v>
      </c>
      <c r="C1376">
        <v>309179.6875</v>
      </c>
      <c r="D1376">
        <v>-16920511.868828524</v>
      </c>
      <c r="E1376">
        <v>9.666511560163015E-6</v>
      </c>
      <c r="F1376">
        <v>1.7804228812400651E-5</v>
      </c>
      <c r="G1376">
        <v>-8.1377172522376363E-6</v>
      </c>
      <c r="H1376" t="b">
        <v>1</v>
      </c>
    </row>
    <row r="1377" spans="1:8" x14ac:dyDescent="0.15">
      <c r="A1377">
        <v>54</v>
      </c>
      <c r="B1377">
        <v>10</v>
      </c>
      <c r="C1377">
        <v>320800.78125</v>
      </c>
      <c r="D1377">
        <v>-82423264.058242753</v>
      </c>
      <c r="E1377">
        <v>1.5154107279866542E-5</v>
      </c>
      <c r="F1377">
        <v>1.7804228812400651E-5</v>
      </c>
      <c r="G1377">
        <v>-2.6501215325341093E-6</v>
      </c>
      <c r="H1377" t="b">
        <v>1</v>
      </c>
    </row>
    <row r="1378" spans="1:8" x14ac:dyDescent="0.15">
      <c r="A1378">
        <v>54</v>
      </c>
      <c r="B1378">
        <v>11</v>
      </c>
      <c r="C1378">
        <v>326611.328125</v>
      </c>
      <c r="D1378">
        <v>329210737.70479792</v>
      </c>
      <c r="E1378">
        <v>2.2413233247435943E-5</v>
      </c>
      <c r="F1378">
        <v>1.7804228812400651E-5</v>
      </c>
      <c r="G1378">
        <v>4.609004435035292E-6</v>
      </c>
      <c r="H1378" t="b">
        <v>0</v>
      </c>
    </row>
    <row r="1379" spans="1:8" x14ac:dyDescent="0.15">
      <c r="A1379">
        <v>54</v>
      </c>
      <c r="B1379">
        <v>12</v>
      </c>
      <c r="C1379">
        <v>323706.0546875</v>
      </c>
      <c r="D1379">
        <v>33027251.801111162</v>
      </c>
      <c r="E1379">
        <v>1.8459952383577865E-5</v>
      </c>
      <c r="F1379">
        <v>1.7804228812400651E-5</v>
      </c>
      <c r="G1379">
        <v>6.557235711772141E-7</v>
      </c>
      <c r="H1379" t="b">
        <v>0</v>
      </c>
    </row>
    <row r="1380" spans="1:8" x14ac:dyDescent="0.15">
      <c r="A1380">
        <v>54</v>
      </c>
      <c r="B1380">
        <v>13</v>
      </c>
      <c r="C1380">
        <v>322253.41796875</v>
      </c>
      <c r="D1380">
        <v>-43390964.725458026</v>
      </c>
      <c r="E1380">
        <v>1.6732513754770136E-5</v>
      </c>
      <c r="F1380">
        <v>1.7804228812400651E-5</v>
      </c>
      <c r="G1380">
        <v>-1.0717150576305154E-6</v>
      </c>
      <c r="H1380" t="b">
        <v>1</v>
      </c>
    </row>
    <row r="1381" spans="1:8" x14ac:dyDescent="0.15">
      <c r="A1381">
        <v>54</v>
      </c>
      <c r="B1381">
        <v>14</v>
      </c>
      <c r="C1381">
        <v>322753.41796875</v>
      </c>
      <c r="D1381">
        <v>-21679595.743931621</v>
      </c>
      <c r="E1381">
        <v>1.7309662666330422E-5</v>
      </c>
      <c r="F1381">
        <v>1.7804228812400651E-5</v>
      </c>
      <c r="G1381">
        <v>-4.9456614607022931E-7</v>
      </c>
      <c r="H1381" t="b">
        <v>1</v>
      </c>
    </row>
    <row r="1382" spans="1:8" x14ac:dyDescent="0.15">
      <c r="A1382">
        <v>54</v>
      </c>
      <c r="B1382">
        <v>15</v>
      </c>
      <c r="C1382">
        <v>323253.41796875</v>
      </c>
      <c r="D1382">
        <v>4758594.5611376343</v>
      </c>
      <c r="E1382">
        <v>1.7904961979871304E-5</v>
      </c>
      <c r="F1382">
        <v>1.7804228812400651E-5</v>
      </c>
      <c r="G1382">
        <v>1.0073316747065246E-7</v>
      </c>
      <c r="H1382" t="b">
        <v>0</v>
      </c>
    </row>
    <row r="1383" spans="1:8" x14ac:dyDescent="0.15">
      <c r="A1383">
        <v>54</v>
      </c>
      <c r="B1383">
        <v>16</v>
      </c>
      <c r="C1383">
        <v>323003.41796875</v>
      </c>
      <c r="D1383">
        <v>-9070636.4053560328</v>
      </c>
      <c r="E1383">
        <v>1.7605008709318824E-5</v>
      </c>
      <c r="F1383">
        <v>1.7804228812400651E-5</v>
      </c>
      <c r="G1383">
        <v>-1.992201030818271E-7</v>
      </c>
      <c r="H1383" t="b">
        <v>1</v>
      </c>
    </row>
    <row r="1384" spans="1:8" x14ac:dyDescent="0.15">
      <c r="A1384">
        <v>54</v>
      </c>
      <c r="B1384">
        <v>17</v>
      </c>
      <c r="C1384">
        <v>323128.41796875</v>
      </c>
      <c r="D1384">
        <v>-2310878.6657833275</v>
      </c>
      <c r="E1384">
        <v>1.7754407651213722E-5</v>
      </c>
      <c r="F1384">
        <v>1.7804228812400651E-5</v>
      </c>
      <c r="G1384">
        <v>-4.9821161186929089E-8</v>
      </c>
      <c r="H1384" t="b">
        <v>1</v>
      </c>
    </row>
    <row r="1385" spans="1:8" x14ac:dyDescent="0.15">
      <c r="A1385">
        <v>54</v>
      </c>
      <c r="B1385">
        <v>18</v>
      </c>
      <c r="C1385">
        <v>323253.41796875</v>
      </c>
      <c r="D1385">
        <v>4758594.5611376343</v>
      </c>
      <c r="E1385">
        <v>1.7904961979871304E-5</v>
      </c>
      <c r="F1385">
        <v>1.7804228812400651E-5</v>
      </c>
      <c r="G1385">
        <v>1.0073316747065246E-7</v>
      </c>
      <c r="H1385" t="b">
        <v>0</v>
      </c>
    </row>
    <row r="1386" spans="1:8" x14ac:dyDescent="0.15">
      <c r="A1386">
        <v>54</v>
      </c>
      <c r="B1386">
        <v>19</v>
      </c>
      <c r="C1386">
        <v>323190.91796875</v>
      </c>
      <c r="D1386">
        <v>1184676.1353794492</v>
      </c>
      <c r="E1386">
        <v>1.7829536403387177E-5</v>
      </c>
      <c r="F1386">
        <v>1.7804228812400651E-5</v>
      </c>
      <c r="G1386">
        <v>2.5307590986525932E-8</v>
      </c>
      <c r="H1386" t="b">
        <v>0</v>
      </c>
    </row>
    <row r="1387" spans="1:8" x14ac:dyDescent="0.15">
      <c r="A1387">
        <v>54</v>
      </c>
      <c r="B1387">
        <v>20</v>
      </c>
      <c r="C1387">
        <v>323115.91796875</v>
      </c>
      <c r="D1387">
        <v>-3000846.2402960812</v>
      </c>
      <c r="E1387">
        <v>1.7739412964633719E-5</v>
      </c>
      <c r="F1387">
        <v>1.7804228812400651E-5</v>
      </c>
      <c r="G1387">
        <v>-6.4815847766932632E-8</v>
      </c>
      <c r="H1387" t="b">
        <v>1</v>
      </c>
    </row>
    <row r="1388" spans="1:8" x14ac:dyDescent="0.15">
      <c r="A1388">
        <v>54</v>
      </c>
      <c r="B1388">
        <v>21</v>
      </c>
      <c r="C1388">
        <v>323153.41796875</v>
      </c>
      <c r="D1388">
        <v>-921927.74615591893</v>
      </c>
      <c r="E1388">
        <v>1.7784425590064188E-5</v>
      </c>
      <c r="F1388">
        <v>1.7804228812400651E-5</v>
      </c>
      <c r="G1388">
        <v>-1.9803222336462921E-8</v>
      </c>
      <c r="H1388" t="b">
        <v>1</v>
      </c>
    </row>
    <row r="1389" spans="1:8" x14ac:dyDescent="0.15">
      <c r="A1389">
        <v>54</v>
      </c>
      <c r="B1389">
        <v>22</v>
      </c>
      <c r="C1389">
        <v>323190.91796875</v>
      </c>
      <c r="D1389">
        <v>1184676.1353794492</v>
      </c>
      <c r="E1389">
        <v>1.7829536403387177E-5</v>
      </c>
      <c r="F1389">
        <v>1.7804228812400651E-5</v>
      </c>
      <c r="G1389">
        <v>2.5307590986525932E-8</v>
      </c>
      <c r="H1389" t="b">
        <v>0</v>
      </c>
    </row>
    <row r="1390" spans="1:8" x14ac:dyDescent="0.15">
      <c r="A1390">
        <v>54</v>
      </c>
      <c r="B1390">
        <v>23</v>
      </c>
      <c r="C1390">
        <v>323172.16796875</v>
      </c>
      <c r="D1390">
        <v>127797.15097076091</v>
      </c>
      <c r="E1390">
        <v>1.7806966381181524E-5</v>
      </c>
      <c r="F1390">
        <v>1.7804228812400651E-5</v>
      </c>
      <c r="G1390">
        <v>2.7375687808727943E-9</v>
      </c>
      <c r="H1390" t="b">
        <v>0</v>
      </c>
    </row>
    <row r="1391" spans="1:8" x14ac:dyDescent="0.15">
      <c r="A1391">
        <v>54</v>
      </c>
      <c r="B1391">
        <v>24</v>
      </c>
      <c r="C1391">
        <v>323181.54296875</v>
      </c>
      <c r="D1391">
        <v>655505.03471781162</v>
      </c>
      <c r="E1391">
        <v>1.7818251235386347E-5</v>
      </c>
      <c r="F1391">
        <v>1.7804228812400651E-5</v>
      </c>
      <c r="G1391">
        <v>1.4022422985696066E-8</v>
      </c>
      <c r="H1391" t="b">
        <v>0</v>
      </c>
    </row>
    <row r="1392" spans="1:8" x14ac:dyDescent="0.15">
      <c r="A1392">
        <v>54</v>
      </c>
      <c r="B1392">
        <v>25</v>
      </c>
      <c r="C1392">
        <v>323176.85546875</v>
      </c>
      <c r="D1392">
        <v>391359.07420432486</v>
      </c>
      <c r="E1392">
        <v>1.7812606436299206E-5</v>
      </c>
      <c r="F1392">
        <v>1.7804228812400651E-5</v>
      </c>
      <c r="G1392">
        <v>8.3776238985550295E-9</v>
      </c>
      <c r="H1392" t="b">
        <v>0</v>
      </c>
    </row>
    <row r="1393" spans="1:8" x14ac:dyDescent="0.15">
      <c r="A1393">
        <v>54</v>
      </c>
      <c r="B1393">
        <v>26</v>
      </c>
      <c r="C1393">
        <v>323171.23046875</v>
      </c>
      <c r="D1393">
        <v>75137.348730485988</v>
      </c>
      <c r="E1393">
        <v>1.7805838566117983E-5</v>
      </c>
      <c r="F1393">
        <v>1.7804228812400651E-5</v>
      </c>
      <c r="G1393">
        <v>1.6097537173312686E-9</v>
      </c>
      <c r="H1393" t="b">
        <v>0</v>
      </c>
    </row>
    <row r="1394" spans="1:8" x14ac:dyDescent="0.15">
      <c r="A1394">
        <v>54</v>
      </c>
      <c r="B1394">
        <v>27</v>
      </c>
      <c r="C1394">
        <v>323174.04296875</v>
      </c>
      <c r="D1394">
        <v>233314.5965767969</v>
      </c>
      <c r="E1394">
        <v>1.7809225316259392E-5</v>
      </c>
      <c r="F1394">
        <v>1.7804228812400651E-5</v>
      </c>
      <c r="G1394">
        <v>4.9965038587411383E-9</v>
      </c>
      <c r="H1394" t="b">
        <v>0</v>
      </c>
    </row>
    <row r="1395" spans="1:8" x14ac:dyDescent="0.15">
      <c r="A1395">
        <v>54</v>
      </c>
      <c r="B1395">
        <v>28</v>
      </c>
      <c r="C1395">
        <v>323177.41796875</v>
      </c>
      <c r="D1395">
        <v>423015.95905090863</v>
      </c>
      <c r="E1395">
        <v>1.7813283352669846E-5</v>
      </c>
      <c r="F1395">
        <v>1.7804228812400651E-5</v>
      </c>
      <c r="G1395">
        <v>9.0545402691950079E-9</v>
      </c>
      <c r="H1395" t="b">
        <v>0</v>
      </c>
    </row>
    <row r="1396" spans="1:8" x14ac:dyDescent="0.15">
      <c r="A1396">
        <v>54</v>
      </c>
      <c r="B1396">
        <v>29</v>
      </c>
      <c r="C1396">
        <v>323175.73046875</v>
      </c>
      <c r="D1396">
        <v>328064.24255410227</v>
      </c>
      <c r="E1396">
        <v>1.7811252674130448E-5</v>
      </c>
      <c r="F1396">
        <v>1.7804228812400651E-5</v>
      </c>
      <c r="G1396">
        <v>7.0238617297969659E-9</v>
      </c>
      <c r="H1396" t="b">
        <v>0</v>
      </c>
    </row>
    <row r="1397" spans="1:8" x14ac:dyDescent="0.15">
      <c r="A1397">
        <v>54</v>
      </c>
      <c r="B1397">
        <v>30</v>
      </c>
      <c r="C1397">
        <v>323173.70546874998</v>
      </c>
      <c r="D1397">
        <v>214197.16513262771</v>
      </c>
      <c r="E1397">
        <v>1.78088161392826E-5</v>
      </c>
      <c r="F1397">
        <v>1.7804228812400651E-5</v>
      </c>
      <c r="G1397">
        <v>4.5873268819483911E-9</v>
      </c>
      <c r="H1397" t="b">
        <v>0</v>
      </c>
    </row>
    <row r="1398" spans="1:8" x14ac:dyDescent="0.15">
      <c r="A1398">
        <v>54</v>
      </c>
      <c r="B1398">
        <v>31</v>
      </c>
      <c r="C1398">
        <v>323174.71796874999</v>
      </c>
      <c r="D1398">
        <v>271265.78048027097</v>
      </c>
      <c r="E1398">
        <v>1.7810037477753391E-5</v>
      </c>
      <c r="F1398">
        <v>1.7804228812400651E-5</v>
      </c>
      <c r="G1398">
        <v>5.8086653527396695E-9</v>
      </c>
      <c r="H1398" t="b">
        <v>0</v>
      </c>
    </row>
    <row r="1399" spans="1:8" x14ac:dyDescent="0.15">
      <c r="A1399">
        <v>54</v>
      </c>
      <c r="B1399">
        <v>32</v>
      </c>
      <c r="C1399">
        <v>323175.93296875001</v>
      </c>
      <c r="D1399">
        <v>339600.81351409561</v>
      </c>
      <c r="E1399">
        <v>1.7811499453790699E-5</v>
      </c>
      <c r="F1399">
        <v>1.7804228812400651E-5</v>
      </c>
      <c r="G1399">
        <v>7.2706413900481181E-9</v>
      </c>
      <c r="H1399" t="b">
        <v>0</v>
      </c>
    </row>
    <row r="1400" spans="1:8" x14ac:dyDescent="0.15">
      <c r="A1400">
        <v>54</v>
      </c>
      <c r="B1400">
        <v>33</v>
      </c>
      <c r="C1400">
        <v>323175.32546875003</v>
      </c>
      <c r="D1400">
        <v>305429.61619390215</v>
      </c>
      <c r="E1400">
        <v>1.7810768452056637E-5</v>
      </c>
      <c r="F1400">
        <v>1.7804228812400651E-5</v>
      </c>
      <c r="G1400">
        <v>6.5396396559856901E-9</v>
      </c>
      <c r="H1400" t="b">
        <v>0</v>
      </c>
    </row>
    <row r="1401" spans="1:8" x14ac:dyDescent="0.15">
      <c r="A1401">
        <v>54</v>
      </c>
      <c r="B1401">
        <v>34</v>
      </c>
      <c r="C1401">
        <v>323175.62921875005</v>
      </c>
      <c r="D1401">
        <v>322368.94598261738</v>
      </c>
      <c r="E1401">
        <v>1.7811130840146734E-5</v>
      </c>
      <c r="F1401">
        <v>1.7804228812400651E-5</v>
      </c>
      <c r="G1401">
        <v>6.9020277460824322E-9</v>
      </c>
      <c r="H1401" t="b">
        <v>0</v>
      </c>
    </row>
    <row r="1402" spans="1:8" x14ac:dyDescent="0.15">
      <c r="A1402">
        <v>55</v>
      </c>
      <c r="B1402">
        <v>1</v>
      </c>
      <c r="C1402">
        <v>6050000</v>
      </c>
      <c r="D1402">
        <v>3.7403077314942991E+18</v>
      </c>
      <c r="E1402">
        <v>536.87092200000006</v>
      </c>
      <c r="F1402">
        <v>1.3051628798166348E-5</v>
      </c>
      <c r="G1402">
        <v>536.87090894837127</v>
      </c>
      <c r="H1402" t="b">
        <v>0</v>
      </c>
    </row>
    <row r="1403" spans="1:8" x14ac:dyDescent="0.15">
      <c r="A1403">
        <v>55</v>
      </c>
      <c r="B1403">
        <v>2</v>
      </c>
      <c r="C1403">
        <v>3075000</v>
      </c>
      <c r="D1403">
        <v>3.7403077314942991E+18</v>
      </c>
      <c r="E1403">
        <v>536.87092200000006</v>
      </c>
      <c r="F1403">
        <v>1.3051628798166348E-5</v>
      </c>
      <c r="G1403">
        <v>536.87090894837127</v>
      </c>
      <c r="H1403" t="b">
        <v>0</v>
      </c>
    </row>
    <row r="1404" spans="1:8" x14ac:dyDescent="0.15">
      <c r="A1404">
        <v>55</v>
      </c>
      <c r="B1404">
        <v>3</v>
      </c>
      <c r="C1404">
        <v>1587500</v>
      </c>
      <c r="D1404">
        <v>3.7403077314942991E+18</v>
      </c>
      <c r="E1404">
        <v>536.87092200000006</v>
      </c>
      <c r="F1404">
        <v>1.3051628798166348E-5</v>
      </c>
      <c r="G1404">
        <v>536.87090894837127</v>
      </c>
      <c r="H1404" t="b">
        <v>0</v>
      </c>
    </row>
    <row r="1405" spans="1:8" x14ac:dyDescent="0.15">
      <c r="A1405">
        <v>55</v>
      </c>
      <c r="B1405">
        <v>4</v>
      </c>
      <c r="C1405">
        <v>843750</v>
      </c>
      <c r="D1405">
        <v>3.1168697260289734E+17</v>
      </c>
      <c r="E1405">
        <v>60.084957250626871</v>
      </c>
      <c r="F1405">
        <v>1.305162884790434E-5</v>
      </c>
      <c r="G1405">
        <v>60.084944198998024</v>
      </c>
      <c r="H1405" t="b">
        <v>0</v>
      </c>
    </row>
    <row r="1406" spans="1:8" x14ac:dyDescent="0.15">
      <c r="A1406">
        <v>55</v>
      </c>
      <c r="B1406">
        <v>5</v>
      </c>
      <c r="C1406">
        <v>471875</v>
      </c>
      <c r="D1406">
        <v>18203469720285.082</v>
      </c>
      <c r="E1406">
        <v>1.5394770675540412E-2</v>
      </c>
      <c r="F1406">
        <v>1.3051628850669489E-5</v>
      </c>
      <c r="G1406">
        <v>1.5381719046689743E-2</v>
      </c>
      <c r="H1406" t="b">
        <v>0</v>
      </c>
    </row>
    <row r="1407" spans="1:8" x14ac:dyDescent="0.15">
      <c r="A1407">
        <v>55</v>
      </c>
      <c r="B1407">
        <v>6</v>
      </c>
      <c r="C1407">
        <v>285937.5</v>
      </c>
      <c r="D1407">
        <v>-538873.74542554084</v>
      </c>
      <c r="E1407">
        <v>3.1823288598195584E-6</v>
      </c>
      <c r="F1407">
        <v>1.3051628850669111E-5</v>
      </c>
      <c r="G1407">
        <v>-9.8692999908495527E-6</v>
      </c>
      <c r="H1407" t="b">
        <v>1</v>
      </c>
    </row>
    <row r="1408" spans="1:8" x14ac:dyDescent="0.15">
      <c r="A1408">
        <v>55</v>
      </c>
      <c r="B1408">
        <v>7</v>
      </c>
      <c r="C1408">
        <v>378906.25</v>
      </c>
      <c r="D1408">
        <v>129831630059.21794</v>
      </c>
      <c r="E1408">
        <v>3.2682591834255515E-4</v>
      </c>
      <c r="F1408">
        <v>1.3051628850669109E-5</v>
      </c>
      <c r="G1408">
        <v>3.1377428949188604E-4</v>
      </c>
      <c r="H1408" t="b">
        <v>0</v>
      </c>
    </row>
    <row r="1409" spans="1:8" x14ac:dyDescent="0.15">
      <c r="A1409">
        <v>55</v>
      </c>
      <c r="B1409">
        <v>8</v>
      </c>
      <c r="C1409">
        <v>332421.875</v>
      </c>
      <c r="D1409">
        <v>1329278731.6475646</v>
      </c>
      <c r="E1409">
        <v>2.308400754961229E-5</v>
      </c>
      <c r="F1409">
        <v>1.3051628850669111E-5</v>
      </c>
      <c r="G1409">
        <v>1.0032378698943179E-5</v>
      </c>
      <c r="H1409" t="b">
        <v>0</v>
      </c>
    </row>
    <row r="1410" spans="1:8" x14ac:dyDescent="0.15">
      <c r="A1410">
        <v>55</v>
      </c>
      <c r="B1410">
        <v>9</v>
      </c>
      <c r="C1410">
        <v>309179.6875</v>
      </c>
      <c r="D1410">
        <v>-22281841.087900668</v>
      </c>
      <c r="E1410">
        <v>7.542637745018553E-6</v>
      </c>
      <c r="F1410">
        <v>1.3051628850669111E-5</v>
      </c>
      <c r="G1410">
        <v>-5.5089911056505581E-6</v>
      </c>
      <c r="H1410" t="b">
        <v>1</v>
      </c>
    </row>
    <row r="1411" spans="1:8" x14ac:dyDescent="0.15">
      <c r="A1411">
        <v>55</v>
      </c>
      <c r="B1411">
        <v>10</v>
      </c>
      <c r="C1411">
        <v>320800.78125</v>
      </c>
      <c r="D1411">
        <v>-71754276.417155415</v>
      </c>
      <c r="E1411">
        <v>1.125243925645434E-5</v>
      </c>
      <c r="F1411">
        <v>1.3051628850669111E-5</v>
      </c>
      <c r="G1411">
        <v>-1.7991895942147709E-6</v>
      </c>
      <c r="H1411" t="b">
        <v>1</v>
      </c>
    </row>
    <row r="1412" spans="1:8" x14ac:dyDescent="0.15">
      <c r="A1412">
        <v>55</v>
      </c>
      <c r="B1412">
        <v>11</v>
      </c>
      <c r="C1412">
        <v>326611.328125</v>
      </c>
      <c r="D1412">
        <v>237810188.34473681</v>
      </c>
      <c r="E1412">
        <v>1.5775086177996201E-5</v>
      </c>
      <c r="F1412">
        <v>1.3051628850669111E-5</v>
      </c>
      <c r="G1412">
        <v>2.7234573273270896E-6</v>
      </c>
      <c r="H1412" t="b">
        <v>0</v>
      </c>
    </row>
    <row r="1413" spans="1:8" x14ac:dyDescent="0.15">
      <c r="A1413">
        <v>55</v>
      </c>
      <c r="B1413">
        <v>12</v>
      </c>
      <c r="C1413">
        <v>323706.0546875</v>
      </c>
      <c r="D1413">
        <v>-4304035.4510997497</v>
      </c>
      <c r="E1413">
        <v>1.2978201838324342E-5</v>
      </c>
      <c r="F1413">
        <v>1.3051628850669111E-5</v>
      </c>
      <c r="G1413">
        <v>-7.342701234476883E-8</v>
      </c>
      <c r="H1413" t="b">
        <v>1</v>
      </c>
    </row>
    <row r="1414" spans="1:8" x14ac:dyDescent="0.15">
      <c r="A1414">
        <v>55</v>
      </c>
      <c r="B1414">
        <v>13</v>
      </c>
      <c r="C1414">
        <v>325158.69140625</v>
      </c>
      <c r="D1414">
        <v>91680143.270244449</v>
      </c>
      <c r="E1414">
        <v>1.4314328438890836E-5</v>
      </c>
      <c r="F1414">
        <v>1.3051628850669111E-5</v>
      </c>
      <c r="G1414">
        <v>1.2626995882217248E-6</v>
      </c>
      <c r="H1414" t="b">
        <v>0</v>
      </c>
    </row>
    <row r="1415" spans="1:8" x14ac:dyDescent="0.15">
      <c r="A1415">
        <v>55</v>
      </c>
      <c r="B1415">
        <v>14</v>
      </c>
      <c r="C1415">
        <v>323958.69140625</v>
      </c>
      <c r="D1415">
        <v>9175224.116959773</v>
      </c>
      <c r="E1415">
        <v>1.3202054792747872E-5</v>
      </c>
      <c r="F1415">
        <v>1.3051628850669111E-5</v>
      </c>
      <c r="G1415">
        <v>1.504259420787611E-7</v>
      </c>
      <c r="H1415" t="b">
        <v>0</v>
      </c>
    </row>
    <row r="1416" spans="1:8" x14ac:dyDescent="0.15">
      <c r="A1416">
        <v>55</v>
      </c>
      <c r="B1416">
        <v>15</v>
      </c>
      <c r="C1416">
        <v>322518.69140625</v>
      </c>
      <c r="D1416">
        <v>-51577239.480298191</v>
      </c>
      <c r="E1416">
        <v>1.1971871910986154E-5</v>
      </c>
      <c r="F1416">
        <v>1.3051628850669111E-5</v>
      </c>
      <c r="G1416">
        <v>-1.0797569396829567E-6</v>
      </c>
      <c r="H1416" t="b">
        <v>1</v>
      </c>
    </row>
    <row r="1417" spans="1:8" x14ac:dyDescent="0.15">
      <c r="A1417">
        <v>55</v>
      </c>
      <c r="B1417">
        <v>16</v>
      </c>
      <c r="C1417">
        <v>323238.69140625</v>
      </c>
      <c r="D1417">
        <v>-25968489.399187263</v>
      </c>
      <c r="E1417">
        <v>1.2573211657854441E-5</v>
      </c>
      <c r="F1417">
        <v>1.3051628850669111E-5</v>
      </c>
      <c r="G1417">
        <v>-4.7841719281467041E-7</v>
      </c>
      <c r="H1417" t="b">
        <v>1</v>
      </c>
    </row>
    <row r="1418" spans="1:8" x14ac:dyDescent="0.15">
      <c r="A1418">
        <v>55</v>
      </c>
      <c r="B1418">
        <v>17</v>
      </c>
      <c r="C1418">
        <v>323958.69140625</v>
      </c>
      <c r="D1418">
        <v>9175224.116959773</v>
      </c>
      <c r="E1418">
        <v>1.3202054792747872E-5</v>
      </c>
      <c r="F1418">
        <v>1.3051628850669111E-5</v>
      </c>
      <c r="G1418">
        <v>1.504259420787611E-7</v>
      </c>
      <c r="H1418" t="b">
        <v>0</v>
      </c>
    </row>
    <row r="1419" spans="1:8" x14ac:dyDescent="0.15">
      <c r="A1419">
        <v>55</v>
      </c>
      <c r="B1419">
        <v>18</v>
      </c>
      <c r="C1419">
        <v>323598.69140625</v>
      </c>
      <c r="D1419">
        <v>-9650342.1467680205</v>
      </c>
      <c r="E1419">
        <v>1.2884125889766736E-5</v>
      </c>
      <c r="F1419">
        <v>1.3051628850669111E-5</v>
      </c>
      <c r="G1419">
        <v>-1.6750296090237493E-7</v>
      </c>
      <c r="H1419" t="b">
        <v>1</v>
      </c>
    </row>
    <row r="1420" spans="1:8" x14ac:dyDescent="0.15">
      <c r="A1420">
        <v>55</v>
      </c>
      <c r="B1420">
        <v>19</v>
      </c>
      <c r="C1420">
        <v>323778.69140625</v>
      </c>
      <c r="D1420">
        <v>-558681.61015995371</v>
      </c>
      <c r="E1420">
        <v>1.304220724933195E-5</v>
      </c>
      <c r="F1420">
        <v>1.3051628850669111E-5</v>
      </c>
      <c r="G1420">
        <v>-9.4216013371608014E-9</v>
      </c>
      <c r="H1420" t="b">
        <v>1</v>
      </c>
    </row>
    <row r="1421" spans="1:8" x14ac:dyDescent="0.15">
      <c r="A1421">
        <v>55</v>
      </c>
      <c r="B1421">
        <v>20</v>
      </c>
      <c r="C1421">
        <v>323958.69140625</v>
      </c>
      <c r="D1421">
        <v>9175224.116959773</v>
      </c>
      <c r="E1421">
        <v>1.3202054792747872E-5</v>
      </c>
      <c r="F1421">
        <v>1.3051628850669111E-5</v>
      </c>
      <c r="G1421">
        <v>1.504259420787611E-7</v>
      </c>
      <c r="H1421" t="b">
        <v>0</v>
      </c>
    </row>
    <row r="1422" spans="1:8" x14ac:dyDescent="0.15">
      <c r="A1422">
        <v>55</v>
      </c>
      <c r="B1422">
        <v>21</v>
      </c>
      <c r="C1422">
        <v>323868.69140625</v>
      </c>
      <c r="D1422">
        <v>4227045.3604035191</v>
      </c>
      <c r="E1422">
        <v>1.3121909800882118E-5</v>
      </c>
      <c r="F1422">
        <v>1.3051628850669111E-5</v>
      </c>
      <c r="G1422">
        <v>7.0280950213007316E-8</v>
      </c>
      <c r="H1422" t="b">
        <v>0</v>
      </c>
    </row>
    <row r="1423" spans="1:8" x14ac:dyDescent="0.15">
      <c r="A1423">
        <v>55</v>
      </c>
      <c r="B1423">
        <v>22</v>
      </c>
      <c r="C1423">
        <v>323760.69140625</v>
      </c>
      <c r="D1423">
        <v>-1496640.450500139</v>
      </c>
      <c r="E1423">
        <v>1.3026317352520914E-5</v>
      </c>
      <c r="F1423">
        <v>1.3051628850669111E-5</v>
      </c>
      <c r="G1423">
        <v>-2.5311498148197295E-8</v>
      </c>
      <c r="H1423" t="b">
        <v>1</v>
      </c>
    </row>
    <row r="1424" spans="1:8" x14ac:dyDescent="0.15">
      <c r="A1424">
        <v>55</v>
      </c>
      <c r="B1424">
        <v>23</v>
      </c>
      <c r="C1424">
        <v>323814.69140625</v>
      </c>
      <c r="D1424">
        <v>1336065.9817553926</v>
      </c>
      <c r="E1424">
        <v>1.3074032395563339E-5</v>
      </c>
      <c r="F1424">
        <v>1.3051628850669111E-5</v>
      </c>
      <c r="G1424">
        <v>2.2403544894228068E-8</v>
      </c>
      <c r="H1424" t="b">
        <v>0</v>
      </c>
    </row>
    <row r="1425" spans="1:8" x14ac:dyDescent="0.15">
      <c r="A1425">
        <v>55</v>
      </c>
      <c r="B1425">
        <v>24</v>
      </c>
      <c r="C1425">
        <v>323787.69140625</v>
      </c>
      <c r="D1425">
        <v>-87370.134247958456</v>
      </c>
      <c r="E1425">
        <v>1.3050157539834589E-5</v>
      </c>
      <c r="F1425">
        <v>1.3051628850669111E-5</v>
      </c>
      <c r="G1425">
        <v>-1.4713108345224956E-9</v>
      </c>
      <c r="H1425" t="b">
        <v>1</v>
      </c>
    </row>
    <row r="1426" spans="1:8" x14ac:dyDescent="0.15">
      <c r="A1426">
        <v>55</v>
      </c>
      <c r="B1426">
        <v>25</v>
      </c>
      <c r="C1426">
        <v>323801.19140625</v>
      </c>
      <c r="D1426">
        <v>622457.93346129206</v>
      </c>
      <c r="E1426">
        <v>1.3062088677634474E-5</v>
      </c>
      <c r="F1426">
        <v>1.3051628850669111E-5</v>
      </c>
      <c r="G1426">
        <v>1.0459826965363351E-8</v>
      </c>
      <c r="H1426" t="b">
        <v>0</v>
      </c>
    </row>
    <row r="1427" spans="1:8" x14ac:dyDescent="0.15">
      <c r="A1427">
        <v>55</v>
      </c>
      <c r="B1427">
        <v>26</v>
      </c>
      <c r="C1427">
        <v>323794.44140625</v>
      </c>
      <c r="D1427">
        <v>267013.85490603029</v>
      </c>
      <c r="E1427">
        <v>1.3056120560312012E-5</v>
      </c>
      <c r="F1427">
        <v>1.3051628850669111E-5</v>
      </c>
      <c r="G1427">
        <v>4.4917096429005626E-9</v>
      </c>
      <c r="H1427" t="b">
        <v>0</v>
      </c>
    </row>
    <row r="1428" spans="1:8" x14ac:dyDescent="0.15">
      <c r="A1428">
        <v>55</v>
      </c>
      <c r="B1428">
        <v>27</v>
      </c>
      <c r="C1428">
        <v>323797.81640625</v>
      </c>
      <c r="D1428">
        <v>444777.82799150067</v>
      </c>
      <c r="E1428">
        <v>1.3059106912758391E-5</v>
      </c>
      <c r="F1428">
        <v>1.3051628850669111E-5</v>
      </c>
      <c r="G1428">
        <v>7.4780620892795713E-9</v>
      </c>
      <c r="H1428" t="b">
        <v>0</v>
      </c>
    </row>
    <row r="1429" spans="1:8" x14ac:dyDescent="0.15">
      <c r="A1429">
        <v>55</v>
      </c>
      <c r="B1429">
        <v>28</v>
      </c>
      <c r="C1429">
        <v>323796.12890625</v>
      </c>
      <c r="D1429">
        <v>355789.94984711218</v>
      </c>
      <c r="E1429">
        <v>1.3057612355873796E-5</v>
      </c>
      <c r="F1429">
        <v>1.3051628850669111E-5</v>
      </c>
      <c r="G1429">
        <v>5.9835052046848899E-9</v>
      </c>
      <c r="H1429" t="b">
        <v>0</v>
      </c>
    </row>
    <row r="1430" spans="1:8" x14ac:dyDescent="0.15">
      <c r="A1430">
        <v>55</v>
      </c>
      <c r="B1430">
        <v>29</v>
      </c>
      <c r="C1430">
        <v>323794.10390624998</v>
      </c>
      <c r="D1430">
        <v>249265.42793504131</v>
      </c>
      <c r="E1430">
        <v>1.3055822219902587E-5</v>
      </c>
      <c r="F1430">
        <v>1.3051628850669111E-5</v>
      </c>
      <c r="G1430">
        <v>4.1933692334760343E-9</v>
      </c>
      <c r="H1430" t="b">
        <v>0</v>
      </c>
    </row>
    <row r="1431" spans="1:8" x14ac:dyDescent="0.15">
      <c r="A1431">
        <v>55</v>
      </c>
      <c r="B1431">
        <v>30</v>
      </c>
      <c r="C1431">
        <v>323795.11640624999</v>
      </c>
      <c r="D1431">
        <v>302517.50054821622</v>
      </c>
      <c r="E1431">
        <v>1.3056717259833372E-5</v>
      </c>
      <c r="F1431">
        <v>1.3051628850669111E-5</v>
      </c>
      <c r="G1431">
        <v>5.0884091642608117E-9</v>
      </c>
      <c r="H1431" t="b">
        <v>0</v>
      </c>
    </row>
    <row r="1432" spans="1:8" x14ac:dyDescent="0.15">
      <c r="A1432">
        <v>55</v>
      </c>
      <c r="B1432">
        <v>31</v>
      </c>
      <c r="C1432">
        <v>323796.33140625001</v>
      </c>
      <c r="D1432">
        <v>366446.88479758822</v>
      </c>
      <c r="E1432">
        <v>1.3057791381809279E-5</v>
      </c>
      <c r="F1432">
        <v>1.3051628850669111E-5</v>
      </c>
      <c r="G1432">
        <v>6.162531140167614E-9</v>
      </c>
      <c r="H1432" t="b">
        <v>0</v>
      </c>
    </row>
    <row r="1433" spans="1:8" x14ac:dyDescent="0.15">
      <c r="A1433">
        <v>55</v>
      </c>
      <c r="B1433">
        <v>32</v>
      </c>
      <c r="C1433">
        <v>323795.72390625003</v>
      </c>
      <c r="D1433">
        <v>334478.52477247315</v>
      </c>
      <c r="E1433">
        <v>1.3057254310724728E-5</v>
      </c>
      <c r="F1433">
        <v>1.3051628850669111E-5</v>
      </c>
      <c r="G1433">
        <v>5.625460055617057E-9</v>
      </c>
      <c r="H1433" t="b">
        <v>0</v>
      </c>
    </row>
    <row r="1434" spans="1:8" x14ac:dyDescent="0.15">
      <c r="A1434">
        <v>55</v>
      </c>
      <c r="B1434">
        <v>33</v>
      </c>
      <c r="C1434">
        <v>323794.99490625004</v>
      </c>
      <c r="D1434">
        <v>296126.17613434</v>
      </c>
      <c r="E1434">
        <v>1.305660985208139E-5</v>
      </c>
      <c r="F1434">
        <v>1.3051628850669111E-5</v>
      </c>
      <c r="G1434">
        <v>4.9810014122788482E-9</v>
      </c>
      <c r="H1434" t="b">
        <v>0</v>
      </c>
    </row>
    <row r="1435" spans="1:8" x14ac:dyDescent="0.15">
      <c r="A1435">
        <v>55</v>
      </c>
      <c r="B1435">
        <v>34</v>
      </c>
      <c r="C1435">
        <v>323795.35940625006</v>
      </c>
      <c r="D1435">
        <v>315456.05914177716</v>
      </c>
      <c r="E1435">
        <v>1.3056934682818094E-5</v>
      </c>
      <c r="F1435">
        <v>1.3051628850669111E-5</v>
      </c>
      <c r="G1435">
        <v>5.3058321489826737E-9</v>
      </c>
      <c r="H1435" t="b">
        <v>0</v>
      </c>
    </row>
    <row r="1436" spans="1:8" x14ac:dyDescent="0.15">
      <c r="A1436">
        <v>55</v>
      </c>
      <c r="B1436">
        <v>35</v>
      </c>
      <c r="C1436">
        <v>323795.79680625006</v>
      </c>
      <c r="D1436">
        <v>338314.34052297787</v>
      </c>
      <c r="E1436">
        <v>1.3057318758186808E-5</v>
      </c>
      <c r="F1436">
        <v>1.3051628850669111E-5</v>
      </c>
      <c r="G1436">
        <v>5.689907517696929E-9</v>
      </c>
      <c r="H1436" t="b">
        <v>0</v>
      </c>
    </row>
    <row r="1437" spans="1:8" x14ac:dyDescent="0.15">
      <c r="A1437">
        <v>55</v>
      </c>
      <c r="B1437">
        <v>36</v>
      </c>
      <c r="C1437">
        <v>323795.57810625003</v>
      </c>
      <c r="D1437">
        <v>326962.2519910293</v>
      </c>
      <c r="E1437">
        <v>1.3057128021756862E-5</v>
      </c>
      <c r="F1437">
        <v>1.3051628850669111E-5</v>
      </c>
      <c r="G1437">
        <v>5.4991710877507605E-9</v>
      </c>
      <c r="H1437" t="b">
        <v>0</v>
      </c>
    </row>
    <row r="1438" spans="1:8" x14ac:dyDescent="0.15">
      <c r="A1438">
        <v>56</v>
      </c>
      <c r="B1438">
        <v>1</v>
      </c>
      <c r="C1438">
        <v>6050000</v>
      </c>
      <c r="D1438">
        <v>3.6348235974924406E+18</v>
      </c>
      <c r="E1438">
        <v>536.87092200000006</v>
      </c>
      <c r="F1438">
        <v>1.3313705153450428E-5</v>
      </c>
      <c r="G1438">
        <v>536.87090868629491</v>
      </c>
      <c r="H1438" t="b">
        <v>0</v>
      </c>
    </row>
    <row r="1439" spans="1:8" x14ac:dyDescent="0.15">
      <c r="A1439">
        <v>56</v>
      </c>
      <c r="B1439">
        <v>2</v>
      </c>
      <c r="C1439">
        <v>3075000</v>
      </c>
      <c r="D1439">
        <v>3.6348235974924406E+18</v>
      </c>
      <c r="E1439">
        <v>536.87092200000006</v>
      </c>
      <c r="F1439">
        <v>1.3313705153450428E-5</v>
      </c>
      <c r="G1439">
        <v>536.87090868629491</v>
      </c>
      <c r="H1439" t="b">
        <v>0</v>
      </c>
    </row>
    <row r="1440" spans="1:8" x14ac:dyDescent="0.15">
      <c r="A1440">
        <v>56</v>
      </c>
      <c r="B1440">
        <v>3</v>
      </c>
      <c r="C1440">
        <v>1587500</v>
      </c>
      <c r="D1440">
        <v>613128919927835.5</v>
      </c>
      <c r="E1440">
        <v>0.28978493407919714</v>
      </c>
      <c r="F1440">
        <v>1.3313705165218792E-5</v>
      </c>
      <c r="G1440">
        <v>0.28977162037403192</v>
      </c>
      <c r="H1440" t="b">
        <v>0</v>
      </c>
    </row>
    <row r="1441" spans="1:8" x14ac:dyDescent="0.15">
      <c r="A1441">
        <v>56</v>
      </c>
      <c r="B1441">
        <v>4</v>
      </c>
      <c r="C1441">
        <v>843750</v>
      </c>
      <c r="D1441">
        <v>743790083.12689877</v>
      </c>
      <c r="E1441">
        <v>1.9765695662156283E-5</v>
      </c>
      <c r="F1441">
        <v>1.3313705165212129E-5</v>
      </c>
      <c r="G1441">
        <v>6.4519904969441534E-6</v>
      </c>
      <c r="H1441" t="b">
        <v>0</v>
      </c>
    </row>
    <row r="1442" spans="1:8" x14ac:dyDescent="0.15">
      <c r="A1442">
        <v>56</v>
      </c>
      <c r="B1442">
        <v>5</v>
      </c>
      <c r="C1442">
        <v>471875</v>
      </c>
      <c r="D1442">
        <v>-25667.869387763461</v>
      </c>
      <c r="E1442">
        <v>-6.569177586535409E-6</v>
      </c>
      <c r="F1442">
        <v>1.3313705165212128E-5</v>
      </c>
      <c r="G1442">
        <v>-1.9882882751747538E-5</v>
      </c>
      <c r="H1442" t="b">
        <v>1</v>
      </c>
    </row>
    <row r="1443" spans="1:8" x14ac:dyDescent="0.15">
      <c r="A1443">
        <v>56</v>
      </c>
      <c r="B1443">
        <v>6</v>
      </c>
      <c r="C1443">
        <v>657812.5</v>
      </c>
      <c r="D1443">
        <v>-196074.64912749347</v>
      </c>
      <c r="E1443">
        <v>1.2197420716545417E-6</v>
      </c>
      <c r="F1443">
        <v>1.3313705165212129E-5</v>
      </c>
      <c r="G1443">
        <v>-1.2093963093557588E-5</v>
      </c>
      <c r="H1443" t="b">
        <v>1</v>
      </c>
    </row>
    <row r="1444" spans="1:8" x14ac:dyDescent="0.15">
      <c r="A1444">
        <v>56</v>
      </c>
      <c r="B1444">
        <v>7</v>
      </c>
      <c r="C1444">
        <v>750781.25</v>
      </c>
      <c r="D1444">
        <v>-1798085.3360096978</v>
      </c>
      <c r="E1444">
        <v>4.9651660870307336E-6</v>
      </c>
      <c r="F1444">
        <v>1.3313705165212128E-5</v>
      </c>
      <c r="G1444">
        <v>-8.3485390781813949E-6</v>
      </c>
      <c r="H1444" t="b">
        <v>1</v>
      </c>
    </row>
    <row r="1445" spans="1:8" x14ac:dyDescent="0.15">
      <c r="A1445">
        <v>56</v>
      </c>
      <c r="B1445">
        <v>8</v>
      </c>
      <c r="C1445">
        <v>797265.625</v>
      </c>
      <c r="D1445">
        <v>-56416535.434582904</v>
      </c>
      <c r="E1445">
        <v>8.9288235706128636E-6</v>
      </c>
      <c r="F1445">
        <v>1.3313705165212129E-5</v>
      </c>
      <c r="G1445">
        <v>-4.3848815945992657E-6</v>
      </c>
      <c r="H1445" t="b">
        <v>1</v>
      </c>
    </row>
    <row r="1446" spans="1:8" x14ac:dyDescent="0.15">
      <c r="A1446">
        <v>56</v>
      </c>
      <c r="B1446">
        <v>9</v>
      </c>
      <c r="C1446">
        <v>820507.8125</v>
      </c>
      <c r="D1446">
        <v>-66321229.333900355</v>
      </c>
      <c r="E1446">
        <v>1.1751357423396508E-5</v>
      </c>
      <c r="F1446">
        <v>1.3313705165212129E-5</v>
      </c>
      <c r="G1446">
        <v>-1.5623477418156213E-6</v>
      </c>
      <c r="H1446" t="b">
        <v>1</v>
      </c>
    </row>
    <row r="1447" spans="1:8" x14ac:dyDescent="0.15">
      <c r="A1447">
        <v>56</v>
      </c>
      <c r="B1447">
        <v>10</v>
      </c>
      <c r="C1447">
        <v>832128.90625</v>
      </c>
      <c r="D1447">
        <v>142618569.22989941</v>
      </c>
      <c r="E1447">
        <v>1.5160081384922895E-5</v>
      </c>
      <c r="F1447">
        <v>1.3313705165212129E-5</v>
      </c>
      <c r="G1447">
        <v>1.8463762197107657E-6</v>
      </c>
      <c r="H1447" t="b">
        <v>0</v>
      </c>
    </row>
    <row r="1448" spans="1:8" x14ac:dyDescent="0.15">
      <c r="A1448">
        <v>56</v>
      </c>
      <c r="B1448">
        <v>11</v>
      </c>
      <c r="C1448">
        <v>826318.359375</v>
      </c>
      <c r="D1448">
        <v>-4136946.7630272522</v>
      </c>
      <c r="E1448">
        <v>1.324241946280168E-5</v>
      </c>
      <c r="F1448">
        <v>1.3313705165212129E-5</v>
      </c>
      <c r="G1448">
        <v>-7.1285702410449797E-8</v>
      </c>
      <c r="H1448" t="b">
        <v>1</v>
      </c>
    </row>
    <row r="1449" spans="1:8" x14ac:dyDescent="0.15">
      <c r="A1449">
        <v>56</v>
      </c>
      <c r="B1449">
        <v>12</v>
      </c>
      <c r="C1449">
        <v>829223.6328125</v>
      </c>
      <c r="D1449">
        <v>57907135.636663347</v>
      </c>
      <c r="E1449">
        <v>1.4171968553512461E-5</v>
      </c>
      <c r="F1449">
        <v>1.3313705165212129E-5</v>
      </c>
      <c r="G1449">
        <v>8.5826338830033212E-7</v>
      </c>
      <c r="H1449" t="b">
        <v>0</v>
      </c>
    </row>
    <row r="1450" spans="1:8" x14ac:dyDescent="0.15">
      <c r="A1450">
        <v>56</v>
      </c>
      <c r="B1450">
        <v>13</v>
      </c>
      <c r="C1450">
        <v>827770.99609375</v>
      </c>
      <c r="D1450">
        <v>24228334.130959868</v>
      </c>
      <c r="E1450">
        <v>1.3700070190459764E-5</v>
      </c>
      <c r="F1450">
        <v>1.3313705165212129E-5</v>
      </c>
      <c r="G1450">
        <v>3.863650252476342E-7</v>
      </c>
      <c r="H1450" t="b">
        <v>0</v>
      </c>
    </row>
    <row r="1451" spans="1:8" x14ac:dyDescent="0.15">
      <c r="A1451">
        <v>56</v>
      </c>
      <c r="B1451">
        <v>14</v>
      </c>
      <c r="C1451">
        <v>826570.99609375</v>
      </c>
      <c r="D1451">
        <v>429565.06206702621</v>
      </c>
      <c r="E1451">
        <v>1.3321005722471769E-5</v>
      </c>
      <c r="F1451">
        <v>1.3313705165212129E-5</v>
      </c>
      <c r="G1451">
        <v>7.300557259639449E-9</v>
      </c>
      <c r="H1451" t="b">
        <v>0</v>
      </c>
    </row>
    <row r="1452" spans="1:8" x14ac:dyDescent="0.15">
      <c r="A1452">
        <v>56</v>
      </c>
      <c r="B1452">
        <v>15</v>
      </c>
      <c r="C1452">
        <v>827170.99609375</v>
      </c>
      <c r="D1452">
        <v>11887960.373089781</v>
      </c>
      <c r="E1452">
        <v>1.3509337860147612E-5</v>
      </c>
      <c r="F1452">
        <v>1.3313705165212129E-5</v>
      </c>
      <c r="G1452">
        <v>1.9563269493548234E-7</v>
      </c>
      <c r="H1452" t="b">
        <v>0</v>
      </c>
    </row>
    <row r="1453" spans="1:8" x14ac:dyDescent="0.15">
      <c r="A1453">
        <v>56</v>
      </c>
      <c r="B1453">
        <v>16</v>
      </c>
      <c r="C1453">
        <v>826870.99609375</v>
      </c>
      <c r="D1453">
        <v>6049949.3002422396</v>
      </c>
      <c r="E1453">
        <v>1.3414872365518802E-5</v>
      </c>
      <c r="F1453">
        <v>1.3313705165212129E-5</v>
      </c>
      <c r="G1453">
        <v>1.0116720030667294E-7</v>
      </c>
      <c r="H1453" t="b">
        <v>0</v>
      </c>
    </row>
    <row r="1454" spans="1:8" x14ac:dyDescent="0.15">
      <c r="A1454">
        <v>56</v>
      </c>
      <c r="B1454">
        <v>17</v>
      </c>
      <c r="C1454">
        <v>826510.99609375</v>
      </c>
      <c r="D1454">
        <v>-668670.45629024797</v>
      </c>
      <c r="E1454">
        <v>1.3302303785096058E-5</v>
      </c>
      <c r="F1454">
        <v>1.3313705165212129E-5</v>
      </c>
      <c r="G1454">
        <v>-1.1401380116071399E-8</v>
      </c>
      <c r="H1454" t="b">
        <v>1</v>
      </c>
    </row>
    <row r="1455" spans="1:8" x14ac:dyDescent="0.15">
      <c r="A1455">
        <v>56</v>
      </c>
      <c r="B1455">
        <v>18</v>
      </c>
      <c r="C1455">
        <v>826690.99609375</v>
      </c>
      <c r="D1455">
        <v>2651805.8774807267</v>
      </c>
      <c r="E1455">
        <v>1.3358480907854088E-5</v>
      </c>
      <c r="F1455">
        <v>1.3313705165212129E-5</v>
      </c>
      <c r="G1455">
        <v>4.4775742641958933E-8</v>
      </c>
      <c r="H1455" t="b">
        <v>0</v>
      </c>
    </row>
    <row r="1456" spans="1:8" x14ac:dyDescent="0.15">
      <c r="A1456">
        <v>56</v>
      </c>
      <c r="B1456">
        <v>19</v>
      </c>
      <c r="C1456">
        <v>826600.99609375</v>
      </c>
      <c r="D1456">
        <v>981984.4707487874</v>
      </c>
      <c r="E1456">
        <v>1.3330367036232131E-5</v>
      </c>
      <c r="F1456">
        <v>1.3313705165212129E-5</v>
      </c>
      <c r="G1456">
        <v>1.6661871020001468E-8</v>
      </c>
      <c r="H1456" t="b">
        <v>0</v>
      </c>
    </row>
    <row r="1457" spans="1:8" x14ac:dyDescent="0.15">
      <c r="A1457">
        <v>56</v>
      </c>
      <c r="B1457">
        <v>20</v>
      </c>
      <c r="C1457">
        <v>826492.99609375</v>
      </c>
      <c r="D1457">
        <v>-996387.50918544829</v>
      </c>
      <c r="E1457">
        <v>1.3296699265702504E-5</v>
      </c>
      <c r="F1457">
        <v>1.3313705165212129E-5</v>
      </c>
      <c r="G1457">
        <v>-1.7005899509625331E-8</v>
      </c>
      <c r="H1457" t="b">
        <v>1</v>
      </c>
    </row>
    <row r="1458" spans="1:8" x14ac:dyDescent="0.15">
      <c r="A1458">
        <v>56</v>
      </c>
      <c r="B1458">
        <v>21</v>
      </c>
      <c r="C1458">
        <v>826546.99609375</v>
      </c>
      <c r="D1458">
        <v>-10673.366974111677</v>
      </c>
      <c r="E1458">
        <v>1.3313523531999531E-5</v>
      </c>
      <c r="F1458">
        <v>1.3313705165212129E-5</v>
      </c>
      <c r="G1458">
        <v>-1.8163321259869207E-10</v>
      </c>
      <c r="H1458" t="b">
        <v>1</v>
      </c>
    </row>
    <row r="1459" spans="1:8" x14ac:dyDescent="0.15">
      <c r="A1459">
        <v>56</v>
      </c>
      <c r="B1459">
        <v>22</v>
      </c>
      <c r="C1459">
        <v>826600.99609375</v>
      </c>
      <c r="D1459">
        <v>981984.4707487874</v>
      </c>
      <c r="E1459">
        <v>1.3330367036232131E-5</v>
      </c>
      <c r="F1459">
        <v>1.3313705165212129E-5</v>
      </c>
      <c r="G1459">
        <v>1.6661871020001468E-8</v>
      </c>
      <c r="H1459" t="b">
        <v>0</v>
      </c>
    </row>
    <row r="1460" spans="1:8" x14ac:dyDescent="0.15">
      <c r="A1460">
        <v>56</v>
      </c>
      <c r="B1460">
        <v>23</v>
      </c>
      <c r="C1460">
        <v>826573.99609375</v>
      </c>
      <c r="D1460">
        <v>484701.91707273049</v>
      </c>
      <c r="E1460">
        <v>1.3321941442849553E-5</v>
      </c>
      <c r="F1460">
        <v>1.3313705165212129E-5</v>
      </c>
      <c r="G1460">
        <v>8.2362776374231771E-9</v>
      </c>
      <c r="H1460" t="b">
        <v>0</v>
      </c>
    </row>
    <row r="1461" spans="1:8" x14ac:dyDescent="0.15">
      <c r="A1461">
        <v>56</v>
      </c>
      <c r="B1461">
        <v>24</v>
      </c>
      <c r="C1461">
        <v>826587.49609375</v>
      </c>
      <c r="D1461">
        <v>733168.09080005228</v>
      </c>
      <c r="E1461">
        <v>1.3326154355548682E-5</v>
      </c>
      <c r="F1461">
        <v>1.3313705165212129E-5</v>
      </c>
      <c r="G1461">
        <v>1.2449190336552457E-8</v>
      </c>
      <c r="H1461" t="b">
        <v>0</v>
      </c>
    </row>
    <row r="1462" spans="1:8" x14ac:dyDescent="0.15">
      <c r="A1462">
        <v>56</v>
      </c>
      <c r="B1462">
        <v>25</v>
      </c>
      <c r="C1462">
        <v>826603.69609374995</v>
      </c>
      <c r="D1462">
        <v>1031799.9459362503</v>
      </c>
      <c r="E1462">
        <v>1.3331209716789817E-5</v>
      </c>
      <c r="F1462">
        <v>1.3313705165212129E-5</v>
      </c>
      <c r="G1462">
        <v>1.7504551577687835E-8</v>
      </c>
      <c r="H1462" t="b">
        <v>0</v>
      </c>
    </row>
    <row r="1463" spans="1:8" x14ac:dyDescent="0.15">
      <c r="A1463">
        <v>56</v>
      </c>
      <c r="B1463">
        <v>26</v>
      </c>
      <c r="C1463">
        <v>826595.59609374998</v>
      </c>
      <c r="D1463">
        <v>882320.89342378743</v>
      </c>
      <c r="E1463">
        <v>1.3328680383462942E-5</v>
      </c>
      <c r="F1463">
        <v>1.3313705165212129E-5</v>
      </c>
      <c r="G1463">
        <v>1.4975218250812766E-8</v>
      </c>
      <c r="H1463" t="b">
        <v>0</v>
      </c>
    </row>
    <row r="1464" spans="1:8" x14ac:dyDescent="0.15">
      <c r="A1464">
        <v>56</v>
      </c>
      <c r="B1464">
        <v>27</v>
      </c>
      <c r="C1464">
        <v>826585.87609375</v>
      </c>
      <c r="D1464">
        <v>703254.62615101272</v>
      </c>
      <c r="E1464">
        <v>1.3325647479003303E-5</v>
      </c>
      <c r="F1464">
        <v>1.3313705165212129E-5</v>
      </c>
      <c r="G1464">
        <v>1.1942313791173996E-8</v>
      </c>
      <c r="H1464" t="b">
        <v>0</v>
      </c>
    </row>
    <row r="1465" spans="1:8" x14ac:dyDescent="0.15">
      <c r="A1465">
        <v>56</v>
      </c>
      <c r="B1465">
        <v>28</v>
      </c>
      <c r="C1465">
        <v>826590.73609374999</v>
      </c>
      <c r="D1465">
        <v>792759.5808566208</v>
      </c>
      <c r="E1465">
        <v>1.3327163853254796E-5</v>
      </c>
      <c r="F1465">
        <v>1.3313705165212129E-5</v>
      </c>
      <c r="G1465">
        <v>1.3458688042666765E-8</v>
      </c>
      <c r="H1465" t="b">
        <v>0</v>
      </c>
    </row>
    <row r="1466" spans="1:8" x14ac:dyDescent="0.15">
      <c r="A1466">
        <v>56</v>
      </c>
      <c r="B1466">
        <v>29</v>
      </c>
      <c r="C1466">
        <v>826596.56809375004</v>
      </c>
      <c r="D1466">
        <v>900239.92000383255</v>
      </c>
      <c r="E1466">
        <v>1.332898370822078E-5</v>
      </c>
      <c r="F1466">
        <v>1.3313705165212129E-5</v>
      </c>
      <c r="G1466">
        <v>1.5278543008651036E-8</v>
      </c>
      <c r="H1466" t="b">
        <v>0</v>
      </c>
    </row>
    <row r="1467" spans="1:8" x14ac:dyDescent="0.15">
      <c r="A1467">
        <v>56</v>
      </c>
      <c r="B1467">
        <v>30</v>
      </c>
      <c r="C1467">
        <v>826593.65209375008</v>
      </c>
      <c r="D1467">
        <v>846489.60463347367</v>
      </c>
      <c r="E1467">
        <v>1.3328073752663805E-5</v>
      </c>
      <c r="F1467">
        <v>1.3313705165212129E-5</v>
      </c>
      <c r="G1467">
        <v>1.4368587451675977E-8</v>
      </c>
      <c r="H1467" t="b">
        <v>0</v>
      </c>
    </row>
    <row r="1468" spans="1:8" x14ac:dyDescent="0.15">
      <c r="A1468">
        <v>56</v>
      </c>
      <c r="B1468">
        <v>31</v>
      </c>
      <c r="C1468">
        <v>826590.15289375011</v>
      </c>
      <c r="D1468">
        <v>782016.01088984124</v>
      </c>
      <c r="E1468">
        <v>1.3326981880111123E-5</v>
      </c>
      <c r="F1468">
        <v>1.3313705165212129E-5</v>
      </c>
      <c r="G1468">
        <v>1.3276714898993722E-8</v>
      </c>
      <c r="H1468" t="b">
        <v>0</v>
      </c>
    </row>
    <row r="1469" spans="1:8" x14ac:dyDescent="0.15">
      <c r="A1469">
        <v>56</v>
      </c>
      <c r="B1469">
        <v>32</v>
      </c>
      <c r="C1469">
        <v>826591.90249375009</v>
      </c>
      <c r="D1469">
        <v>814333.94638182072</v>
      </c>
      <c r="E1469">
        <v>1.3327529242229305E-5</v>
      </c>
      <c r="F1469">
        <v>1.3313705165212129E-5</v>
      </c>
      <c r="G1469">
        <v>1.3824077017175889E-8</v>
      </c>
      <c r="H1469" t="b">
        <v>0</v>
      </c>
    </row>
    <row r="1470" spans="1:8" x14ac:dyDescent="0.15">
      <c r="A1470">
        <v>56</v>
      </c>
      <c r="B1470">
        <v>33</v>
      </c>
      <c r="C1470">
        <v>826594.00201375014</v>
      </c>
      <c r="D1470">
        <v>852938.57108545012</v>
      </c>
      <c r="E1470">
        <v>1.3328182944366945E-5</v>
      </c>
      <c r="F1470">
        <v>1.3313705165212129E-5</v>
      </c>
      <c r="G1470">
        <v>1.4477779154815174E-8</v>
      </c>
      <c r="H1470" t="b">
        <v>0</v>
      </c>
    </row>
    <row r="1471" spans="1:8" x14ac:dyDescent="0.15">
      <c r="A1471">
        <v>56</v>
      </c>
      <c r="B1471">
        <v>34</v>
      </c>
      <c r="C1471">
        <v>826592.95225375018</v>
      </c>
      <c r="D1471">
        <v>833677.3511940313</v>
      </c>
      <c r="E1471">
        <v>1.3327856807672183E-5</v>
      </c>
      <c r="F1471">
        <v>1.3313705165212129E-5</v>
      </c>
      <c r="G1471">
        <v>1.4151642460053589E-8</v>
      </c>
      <c r="H1471" t="b">
        <v>0</v>
      </c>
    </row>
    <row r="1472" spans="1:8" x14ac:dyDescent="0.15">
      <c r="A1472">
        <v>57</v>
      </c>
      <c r="B1472">
        <v>1</v>
      </c>
      <c r="C1472">
        <v>6050000</v>
      </c>
      <c r="D1472">
        <v>1.9667308866231972E+18</v>
      </c>
      <c r="E1472">
        <v>536.18108765731915</v>
      </c>
      <c r="F1472">
        <v>1.7411654539500887E-5</v>
      </c>
      <c r="G1472">
        <v>536.18107024566461</v>
      </c>
      <c r="H1472" t="b">
        <v>0</v>
      </c>
    </row>
    <row r="1473" spans="1:8" x14ac:dyDescent="0.15">
      <c r="A1473">
        <v>57</v>
      </c>
      <c r="B1473">
        <v>2</v>
      </c>
      <c r="C1473">
        <v>3075000</v>
      </c>
      <c r="D1473">
        <v>2123653726271168.5</v>
      </c>
      <c r="E1473">
        <v>1.4121763652527177</v>
      </c>
      <c r="F1473">
        <v>1.7411654504417839E-5</v>
      </c>
      <c r="G1473">
        <v>1.4121589535982133</v>
      </c>
      <c r="H1473" t="b">
        <v>0</v>
      </c>
    </row>
    <row r="1474" spans="1:8" x14ac:dyDescent="0.15">
      <c r="A1474">
        <v>57</v>
      </c>
      <c r="B1474">
        <v>3</v>
      </c>
      <c r="C1474">
        <v>1587500</v>
      </c>
      <c r="D1474">
        <v>210008525578.94617</v>
      </c>
      <c r="E1474">
        <v>7.8820822119769014E-4</v>
      </c>
      <c r="F1474">
        <v>1.7411654504353546E-5</v>
      </c>
      <c r="G1474">
        <v>7.707965666933366E-4</v>
      </c>
      <c r="H1474" t="b">
        <v>0</v>
      </c>
    </row>
    <row r="1475" spans="1:8" x14ac:dyDescent="0.15">
      <c r="A1475">
        <v>57</v>
      </c>
      <c r="B1475">
        <v>4</v>
      </c>
      <c r="C1475">
        <v>843750</v>
      </c>
      <c r="D1475">
        <v>-162853.74089526315</v>
      </c>
      <c r="E1475">
        <v>5.6032879909275056E-7</v>
      </c>
      <c r="F1475">
        <v>1.741165450435356E-5</v>
      </c>
      <c r="G1475">
        <v>-1.6851325705260809E-5</v>
      </c>
      <c r="H1475" t="b">
        <v>1</v>
      </c>
    </row>
    <row r="1476" spans="1:8" x14ac:dyDescent="0.15">
      <c r="A1476">
        <v>57</v>
      </c>
      <c r="B1476">
        <v>5</v>
      </c>
      <c r="C1476">
        <v>1215625</v>
      </c>
      <c r="D1476">
        <v>92331186.317573056</v>
      </c>
      <c r="E1476">
        <v>1.965332048301149E-5</v>
      </c>
      <c r="F1476">
        <v>1.741165450435356E-5</v>
      </c>
      <c r="G1476">
        <v>2.2416659786579304E-6</v>
      </c>
      <c r="H1476" t="b">
        <v>0</v>
      </c>
    </row>
    <row r="1477" spans="1:8" x14ac:dyDescent="0.15">
      <c r="A1477">
        <v>57</v>
      </c>
      <c r="B1477">
        <v>6</v>
      </c>
      <c r="C1477">
        <v>1029687.5</v>
      </c>
      <c r="D1477">
        <v>-866376.36027391185</v>
      </c>
      <c r="E1477">
        <v>5.1281689961245317E-6</v>
      </c>
      <c r="F1477">
        <v>1.741165450435356E-5</v>
      </c>
      <c r="G1477">
        <v>-1.2283485508229029E-5</v>
      </c>
      <c r="H1477" t="b">
        <v>1</v>
      </c>
    </row>
    <row r="1478" spans="1:8" x14ac:dyDescent="0.15">
      <c r="A1478">
        <v>57</v>
      </c>
      <c r="B1478">
        <v>7</v>
      </c>
      <c r="C1478">
        <v>1122656.25</v>
      </c>
      <c r="D1478">
        <v>-15533169.071789373</v>
      </c>
      <c r="E1478">
        <v>9.8777316033889532E-6</v>
      </c>
      <c r="F1478">
        <v>1.741165450435356E-5</v>
      </c>
      <c r="G1478">
        <v>-7.5339229009646067E-6</v>
      </c>
      <c r="H1478" t="b">
        <v>1</v>
      </c>
    </row>
    <row r="1479" spans="1:8" x14ac:dyDescent="0.15">
      <c r="A1479">
        <v>57</v>
      </c>
      <c r="B1479">
        <v>8</v>
      </c>
      <c r="C1479">
        <v>1169140.625</v>
      </c>
      <c r="D1479">
        <v>-57367553.345482677</v>
      </c>
      <c r="E1479">
        <v>1.341751163897032E-5</v>
      </c>
      <c r="F1479">
        <v>1.741165450435356E-5</v>
      </c>
      <c r="G1479">
        <v>-3.9941428653832396E-6</v>
      </c>
      <c r="H1479" t="b">
        <v>1</v>
      </c>
    </row>
    <row r="1480" spans="1:8" x14ac:dyDescent="0.15">
      <c r="A1480">
        <v>57</v>
      </c>
      <c r="B1480">
        <v>9</v>
      </c>
      <c r="C1480">
        <v>1192382.8125</v>
      </c>
      <c r="D1480">
        <v>-44364350.950505063</v>
      </c>
      <c r="E1480">
        <v>1.5542324110986213E-5</v>
      </c>
      <c r="F1480">
        <v>1.741165450435356E-5</v>
      </c>
      <c r="G1480">
        <v>-1.8693303933673468E-6</v>
      </c>
      <c r="H1480" t="b">
        <v>1</v>
      </c>
    </row>
    <row r="1481" spans="1:8" x14ac:dyDescent="0.15">
      <c r="A1481">
        <v>57</v>
      </c>
      <c r="B1481">
        <v>10</v>
      </c>
      <c r="C1481">
        <v>1204003.90625</v>
      </c>
      <c r="D1481">
        <v>-14380662.231996229</v>
      </c>
      <c r="E1481">
        <v>1.6928442433173192E-5</v>
      </c>
      <c r="F1481">
        <v>1.741165450435356E-5</v>
      </c>
      <c r="G1481">
        <v>-4.8321207118036819E-7</v>
      </c>
      <c r="H1481" t="b">
        <v>1</v>
      </c>
    </row>
    <row r="1482" spans="1:8" x14ac:dyDescent="0.15">
      <c r="A1482">
        <v>57</v>
      </c>
      <c r="B1482">
        <v>11</v>
      </c>
      <c r="C1482">
        <v>1209814.453125</v>
      </c>
      <c r="D1482">
        <v>29511105.564533416</v>
      </c>
      <c r="E1482">
        <v>1.8246173983314969E-5</v>
      </c>
      <c r="F1482">
        <v>1.741165450435356E-5</v>
      </c>
      <c r="G1482">
        <v>8.3451947896140944E-7</v>
      </c>
      <c r="H1482" t="b">
        <v>0</v>
      </c>
    </row>
    <row r="1483" spans="1:8" x14ac:dyDescent="0.15">
      <c r="A1483">
        <v>57</v>
      </c>
      <c r="B1483">
        <v>12</v>
      </c>
      <c r="C1483">
        <v>1206909.1796875</v>
      </c>
      <c r="D1483">
        <v>5361098.3331139106</v>
      </c>
      <c r="E1483">
        <v>1.7576445600867751E-5</v>
      </c>
      <c r="F1483">
        <v>1.741165450435356E-5</v>
      </c>
      <c r="G1483">
        <v>1.6479109651419091E-7</v>
      </c>
      <c r="H1483" t="b">
        <v>0</v>
      </c>
    </row>
    <row r="1484" spans="1:8" x14ac:dyDescent="0.15">
      <c r="A1484">
        <v>57</v>
      </c>
      <c r="B1484">
        <v>13</v>
      </c>
      <c r="C1484">
        <v>1205456.54296875</v>
      </c>
      <c r="D1484">
        <v>-5041104.0847621225</v>
      </c>
      <c r="E1484">
        <v>1.7249765067878269E-5</v>
      </c>
      <c r="F1484">
        <v>1.741165450435356E-5</v>
      </c>
      <c r="G1484">
        <v>-1.6188943647529083E-7</v>
      </c>
      <c r="H1484" t="b">
        <v>1</v>
      </c>
    </row>
    <row r="1485" spans="1:8" x14ac:dyDescent="0.15">
      <c r="A1485">
        <v>57</v>
      </c>
      <c r="B1485">
        <v>14</v>
      </c>
      <c r="C1485">
        <v>1205956.54296875</v>
      </c>
      <c r="D1485">
        <v>-1582517.474820859</v>
      </c>
      <c r="E1485">
        <v>1.7361602037652324E-5</v>
      </c>
      <c r="F1485">
        <v>1.741165450435356E-5</v>
      </c>
      <c r="G1485">
        <v>-5.0052466701235601E-8</v>
      </c>
      <c r="H1485" t="b">
        <v>1</v>
      </c>
    </row>
    <row r="1486" spans="1:8" x14ac:dyDescent="0.15">
      <c r="A1486">
        <v>57</v>
      </c>
      <c r="B1486">
        <v>15</v>
      </c>
      <c r="C1486">
        <v>1206456.54296875</v>
      </c>
      <c r="D1486">
        <v>2003490.7390507699</v>
      </c>
      <c r="E1486">
        <v>1.7474074561466714E-5</v>
      </c>
      <c r="F1486">
        <v>1.741165450435356E-5</v>
      </c>
      <c r="G1486">
        <v>6.242005711315412E-8</v>
      </c>
      <c r="H1486" t="b">
        <v>0</v>
      </c>
    </row>
    <row r="1487" spans="1:8" x14ac:dyDescent="0.15">
      <c r="A1487">
        <v>57</v>
      </c>
      <c r="B1487">
        <v>16</v>
      </c>
      <c r="C1487">
        <v>1206206.54296875</v>
      </c>
      <c r="D1487">
        <v>194389.1123425524</v>
      </c>
      <c r="E1487">
        <v>1.7417756467816094E-5</v>
      </c>
      <c r="F1487">
        <v>1.741165450435356E-5</v>
      </c>
      <c r="G1487">
        <v>6.1019634625344727E-9</v>
      </c>
      <c r="H1487" t="b">
        <v>0</v>
      </c>
    </row>
    <row r="1488" spans="1:8" x14ac:dyDescent="0.15">
      <c r="A1488">
        <v>57</v>
      </c>
      <c r="B1488">
        <v>17</v>
      </c>
      <c r="C1488">
        <v>1206331.54296875</v>
      </c>
      <c r="D1488">
        <v>1094888.3916175894</v>
      </c>
      <c r="E1488">
        <v>1.7445894588754057E-5</v>
      </c>
      <c r="F1488">
        <v>1.741165450435356E-5</v>
      </c>
      <c r="G1488">
        <v>3.4240084400497249E-8</v>
      </c>
      <c r="H1488" t="b">
        <v>0</v>
      </c>
    </row>
    <row r="1489" spans="1:8" x14ac:dyDescent="0.15">
      <c r="A1489">
        <v>57</v>
      </c>
      <c r="B1489">
        <v>18</v>
      </c>
      <c r="C1489">
        <v>1206481.54296875</v>
      </c>
      <c r="D1489">
        <v>2186166.7089246274</v>
      </c>
      <c r="E1489">
        <v>1.7479714990190023E-5</v>
      </c>
      <c r="F1489">
        <v>1.741165450435356E-5</v>
      </c>
      <c r="G1489">
        <v>6.8060485836462771E-8</v>
      </c>
      <c r="H1489" t="b">
        <v>0</v>
      </c>
    </row>
    <row r="1490" spans="1:8" x14ac:dyDescent="0.15">
      <c r="A1490">
        <v>57</v>
      </c>
      <c r="B1490">
        <v>19</v>
      </c>
      <c r="C1490">
        <v>1206406.54296875</v>
      </c>
      <c r="D1490">
        <v>1639106.7860879002</v>
      </c>
      <c r="E1490">
        <v>1.7462798509288479E-5</v>
      </c>
      <c r="F1490">
        <v>1.741165450435356E-5</v>
      </c>
      <c r="G1490">
        <v>5.114400493491959E-8</v>
      </c>
      <c r="H1490" t="b">
        <v>0</v>
      </c>
    </row>
    <row r="1491" spans="1:8" x14ac:dyDescent="0.15">
      <c r="A1491">
        <v>57</v>
      </c>
      <c r="B1491">
        <v>20</v>
      </c>
      <c r="C1491">
        <v>1206316.54296875</v>
      </c>
      <c r="D1491">
        <v>986404.29732715373</v>
      </c>
      <c r="E1491">
        <v>1.7442515903250652E-5</v>
      </c>
      <c r="F1491">
        <v>1.741165450435356E-5</v>
      </c>
      <c r="G1491">
        <v>3.0861398897091683E-8</v>
      </c>
      <c r="H1491" t="b">
        <v>0</v>
      </c>
    </row>
    <row r="1492" spans="1:8" x14ac:dyDescent="0.15">
      <c r="A1492">
        <v>57</v>
      </c>
      <c r="B1492">
        <v>21</v>
      </c>
      <c r="C1492">
        <v>1206361.54296875</v>
      </c>
      <c r="D1492">
        <v>1312263.6331541708</v>
      </c>
      <c r="E1492">
        <v>1.7452655538226598E-5</v>
      </c>
      <c r="F1492">
        <v>1.741165450435356E-5</v>
      </c>
      <c r="G1492">
        <v>4.1001033873038498E-8</v>
      </c>
      <c r="H1492" t="b">
        <v>0</v>
      </c>
    </row>
    <row r="1493" spans="1:8" x14ac:dyDescent="0.15">
      <c r="A1493">
        <v>57</v>
      </c>
      <c r="B1493">
        <v>22</v>
      </c>
      <c r="C1493">
        <v>1206339.04296875</v>
      </c>
      <c r="D1493">
        <v>1149173.8688006273</v>
      </c>
      <c r="E1493">
        <v>1.7447584147494628E-5</v>
      </c>
      <c r="F1493">
        <v>1.741165450435356E-5</v>
      </c>
      <c r="G1493">
        <v>3.5929643141068262E-8</v>
      </c>
      <c r="H1493" t="b">
        <v>0</v>
      </c>
    </row>
    <row r="1494" spans="1:8" x14ac:dyDescent="0.15">
      <c r="A1494">
        <v>57</v>
      </c>
      <c r="B1494">
        <v>23</v>
      </c>
      <c r="C1494">
        <v>1206350.29296875</v>
      </c>
      <c r="D1494">
        <v>1230715.8856701851</v>
      </c>
      <c r="E1494">
        <v>1.7450120605762001E-5</v>
      </c>
      <c r="F1494">
        <v>1.741165450435356E-5</v>
      </c>
      <c r="G1494">
        <v>3.846610140844129E-8</v>
      </c>
      <c r="H1494" t="b">
        <v>0</v>
      </c>
    </row>
    <row r="1495" spans="1:8" x14ac:dyDescent="0.15">
      <c r="A1495">
        <v>57</v>
      </c>
      <c r="B1495">
        <v>24</v>
      </c>
      <c r="C1495">
        <v>1206344.66796875</v>
      </c>
      <c r="D1495">
        <v>1189966.4554322662</v>
      </c>
      <c r="E1495">
        <v>1.7448853261050143E-5</v>
      </c>
      <c r="F1495">
        <v>1.741165450435356E-5</v>
      </c>
      <c r="G1495">
        <v>3.7198756696583355E-8</v>
      </c>
      <c r="H1495" t="b">
        <v>0</v>
      </c>
    </row>
    <row r="1496" spans="1:8" x14ac:dyDescent="0.15">
      <c r="A1496">
        <v>57</v>
      </c>
      <c r="B1496">
        <v>25</v>
      </c>
      <c r="C1496">
        <v>1206347.48046875</v>
      </c>
      <c r="D1496">
        <v>1210279.6478545109</v>
      </c>
      <c r="E1496">
        <v>1.7449485073210859E-5</v>
      </c>
      <c r="F1496">
        <v>1.741165450435356E-5</v>
      </c>
      <c r="G1496">
        <v>3.7830568857298786E-8</v>
      </c>
      <c r="H1496" t="b">
        <v>0</v>
      </c>
    </row>
    <row r="1497" spans="1:8" x14ac:dyDescent="0.15">
      <c r="A1497">
        <v>58</v>
      </c>
      <c r="B1497">
        <v>1</v>
      </c>
      <c r="C1497">
        <v>6050000</v>
      </c>
      <c r="D1497">
        <v>3.6851858444484956E+18</v>
      </c>
      <c r="E1497">
        <v>536.87092200000018</v>
      </c>
      <c r="F1497">
        <v>1.3176498327993613E-5</v>
      </c>
      <c r="G1497">
        <v>536.87090882350185</v>
      </c>
      <c r="H1497" t="b">
        <v>0</v>
      </c>
    </row>
    <row r="1498" spans="1:8" x14ac:dyDescent="0.15">
      <c r="A1498">
        <v>58</v>
      </c>
      <c r="B1498">
        <v>2</v>
      </c>
      <c r="C1498">
        <v>3075000</v>
      </c>
      <c r="D1498">
        <v>3.6851858444484946E+18</v>
      </c>
      <c r="E1498">
        <v>536.87092200000006</v>
      </c>
      <c r="F1498">
        <v>1.3176498327993613E-5</v>
      </c>
      <c r="G1498">
        <v>536.87090882350174</v>
      </c>
      <c r="H1498" t="b">
        <v>0</v>
      </c>
    </row>
    <row r="1499" spans="1:8" x14ac:dyDescent="0.15">
      <c r="A1499">
        <v>58</v>
      </c>
      <c r="B1499">
        <v>3</v>
      </c>
      <c r="C1499">
        <v>1587500</v>
      </c>
      <c r="D1499">
        <v>121612089350236.52</v>
      </c>
      <c r="E1499">
        <v>7.414032509868744E-2</v>
      </c>
      <c r="F1499">
        <v>1.3176498316419538E-5</v>
      </c>
      <c r="G1499">
        <v>7.4127148600371021E-2</v>
      </c>
      <c r="H1499" t="b">
        <v>0</v>
      </c>
    </row>
    <row r="1500" spans="1:8" x14ac:dyDescent="0.15">
      <c r="A1500">
        <v>58</v>
      </c>
      <c r="B1500">
        <v>4</v>
      </c>
      <c r="C1500">
        <v>843750</v>
      </c>
      <c r="D1500">
        <v>-6069004.7454573745</v>
      </c>
      <c r="E1500">
        <v>6.2378088124488148E-6</v>
      </c>
      <c r="F1500">
        <v>1.3176498316423431E-5</v>
      </c>
      <c r="G1500">
        <v>-6.9386895039746163E-6</v>
      </c>
      <c r="H1500" t="b">
        <v>1</v>
      </c>
    </row>
    <row r="1501" spans="1:8" x14ac:dyDescent="0.15">
      <c r="A1501">
        <v>58</v>
      </c>
      <c r="B1501">
        <v>5</v>
      </c>
      <c r="C1501">
        <v>1215625</v>
      </c>
      <c r="D1501">
        <v>1243957591564.9246</v>
      </c>
      <c r="E1501">
        <v>1.8336242441196688E-3</v>
      </c>
      <c r="F1501">
        <v>1.3176498316423441E-5</v>
      </c>
      <c r="G1501">
        <v>1.8204477458032453E-3</v>
      </c>
      <c r="H1501" t="b">
        <v>0</v>
      </c>
    </row>
    <row r="1502" spans="1:8" x14ac:dyDescent="0.15">
      <c r="A1502">
        <v>58</v>
      </c>
      <c r="B1502">
        <v>6</v>
      </c>
      <c r="C1502">
        <v>1029687.5</v>
      </c>
      <c r="D1502">
        <v>33605205955.352539</v>
      </c>
      <c r="E1502">
        <v>1.2794757351971138E-4</v>
      </c>
      <c r="F1502">
        <v>1.3176498316423428E-5</v>
      </c>
      <c r="G1502">
        <v>1.1477107520328795E-4</v>
      </c>
      <c r="H1502" t="b">
        <v>0</v>
      </c>
    </row>
    <row r="1503" spans="1:8" x14ac:dyDescent="0.15">
      <c r="A1503">
        <v>58</v>
      </c>
      <c r="B1503">
        <v>7</v>
      </c>
      <c r="C1503">
        <v>936718.75</v>
      </c>
      <c r="D1503">
        <v>1389532302.1502814</v>
      </c>
      <c r="E1503">
        <v>2.3677498626044887E-5</v>
      </c>
      <c r="F1503">
        <v>1.3176498316423431E-5</v>
      </c>
      <c r="G1503">
        <v>1.0501000309621455E-5</v>
      </c>
      <c r="H1503" t="b">
        <v>0</v>
      </c>
    </row>
    <row r="1504" spans="1:8" x14ac:dyDescent="0.15">
      <c r="A1504">
        <v>58</v>
      </c>
      <c r="B1504">
        <v>8</v>
      </c>
      <c r="C1504">
        <v>890234.375</v>
      </c>
      <c r="D1504">
        <v>-81107853.923211157</v>
      </c>
      <c r="E1504">
        <v>1.0404966840982913E-5</v>
      </c>
      <c r="F1504">
        <v>1.3176498316423431E-5</v>
      </c>
      <c r="G1504">
        <v>-2.7715314754405185E-6</v>
      </c>
      <c r="H1504" t="b">
        <v>1</v>
      </c>
    </row>
    <row r="1505" spans="1:8" x14ac:dyDescent="0.15">
      <c r="A1505">
        <v>58</v>
      </c>
      <c r="B1505">
        <v>9</v>
      </c>
      <c r="C1505">
        <v>913476.5625</v>
      </c>
      <c r="D1505">
        <v>120409003.54540144</v>
      </c>
      <c r="E1505">
        <v>1.4776021594045959E-5</v>
      </c>
      <c r="F1505">
        <v>1.3176498316423431E-5</v>
      </c>
      <c r="G1505">
        <v>1.5995232776225279E-6</v>
      </c>
      <c r="H1505" t="b">
        <v>0</v>
      </c>
    </row>
    <row r="1506" spans="1:8" x14ac:dyDescent="0.15">
      <c r="A1506">
        <v>58</v>
      </c>
      <c r="B1506">
        <v>10</v>
      </c>
      <c r="C1506">
        <v>901855.46875</v>
      </c>
      <c r="D1506">
        <v>-62526105.380322859</v>
      </c>
      <c r="E1506">
        <v>1.1749302037629354E-5</v>
      </c>
      <c r="F1506">
        <v>1.3176498316423431E-5</v>
      </c>
      <c r="G1506">
        <v>-1.4271962787940772E-6</v>
      </c>
      <c r="H1506" t="b">
        <v>1</v>
      </c>
    </row>
    <row r="1507" spans="1:8" x14ac:dyDescent="0.15">
      <c r="A1507">
        <v>58</v>
      </c>
      <c r="B1507">
        <v>11</v>
      </c>
      <c r="C1507">
        <v>907666.015625</v>
      </c>
      <c r="D1507">
        <v>-5237725.7887004316</v>
      </c>
      <c r="E1507">
        <v>1.3086193268937075E-5</v>
      </c>
      <c r="F1507">
        <v>1.3176498316423431E-5</v>
      </c>
      <c r="G1507">
        <v>-9.0305047486356153E-8</v>
      </c>
      <c r="H1507" t="b">
        <v>1</v>
      </c>
    </row>
    <row r="1508" spans="1:8" x14ac:dyDescent="0.15">
      <c r="A1508">
        <v>58</v>
      </c>
      <c r="B1508">
        <v>12</v>
      </c>
      <c r="C1508">
        <v>910571.2890625</v>
      </c>
      <c r="D1508">
        <v>48643829.363217279</v>
      </c>
      <c r="E1508">
        <v>1.3907970930209048E-5</v>
      </c>
      <c r="F1508">
        <v>1.3176498316423431E-5</v>
      </c>
      <c r="G1508">
        <v>7.3147261378561647E-7</v>
      </c>
      <c r="H1508" t="b">
        <v>0</v>
      </c>
    </row>
    <row r="1509" spans="1:8" x14ac:dyDescent="0.15">
      <c r="A1509">
        <v>58</v>
      </c>
      <c r="B1509">
        <v>13</v>
      </c>
      <c r="C1509">
        <v>909118.65234375</v>
      </c>
      <c r="D1509">
        <v>19594091.145396333</v>
      </c>
      <c r="E1509">
        <v>1.3491438600799451E-5</v>
      </c>
      <c r="F1509">
        <v>1.3176498316423431E-5</v>
      </c>
      <c r="G1509">
        <v>3.1494028437602012E-7</v>
      </c>
      <c r="H1509" t="b">
        <v>0</v>
      </c>
    </row>
    <row r="1510" spans="1:8" x14ac:dyDescent="0.15">
      <c r="A1510">
        <v>58</v>
      </c>
      <c r="B1510">
        <v>14</v>
      </c>
      <c r="C1510">
        <v>907918.65234375</v>
      </c>
      <c r="D1510">
        <v>-1211367.7517867731</v>
      </c>
      <c r="E1510">
        <v>1.3155871628604403E-5</v>
      </c>
      <c r="F1510">
        <v>1.3176498316423431E-5</v>
      </c>
      <c r="G1510">
        <v>-2.0626687819027702E-8</v>
      </c>
      <c r="H1510" t="b">
        <v>1</v>
      </c>
    </row>
    <row r="1511" spans="1:8" x14ac:dyDescent="0.15">
      <c r="A1511">
        <v>58</v>
      </c>
      <c r="B1511">
        <v>15</v>
      </c>
      <c r="C1511">
        <v>908518.65234375</v>
      </c>
      <c r="D1511">
        <v>8840322.9138028491</v>
      </c>
      <c r="E1511">
        <v>1.3322702544139773E-5</v>
      </c>
      <c r="F1511">
        <v>1.3176498316423431E-5</v>
      </c>
      <c r="G1511">
        <v>1.4620422771634228E-7</v>
      </c>
      <c r="H1511" t="b">
        <v>0</v>
      </c>
    </row>
    <row r="1512" spans="1:8" x14ac:dyDescent="0.15">
      <c r="A1512">
        <v>58</v>
      </c>
      <c r="B1512">
        <v>16</v>
      </c>
      <c r="C1512">
        <v>908218.65234375</v>
      </c>
      <c r="D1512">
        <v>3727746.9835495353</v>
      </c>
      <c r="E1512">
        <v>1.323904931699458E-5</v>
      </c>
      <c r="F1512">
        <v>1.3176498316423431E-5</v>
      </c>
      <c r="G1512">
        <v>6.2551000571148561E-8</v>
      </c>
      <c r="H1512" t="b">
        <v>0</v>
      </c>
    </row>
    <row r="1513" spans="1:8" x14ac:dyDescent="0.15">
      <c r="A1513">
        <v>58</v>
      </c>
      <c r="B1513">
        <v>17</v>
      </c>
      <c r="C1513">
        <v>907858.65234375</v>
      </c>
      <c r="D1513">
        <v>-2178494.9122374929</v>
      </c>
      <c r="E1513">
        <v>1.313929415105374E-5</v>
      </c>
      <c r="F1513">
        <v>1.3176498316423431E-5</v>
      </c>
      <c r="G1513">
        <v>-3.7204165369690928E-8</v>
      </c>
      <c r="H1513" t="b">
        <v>1</v>
      </c>
    </row>
    <row r="1514" spans="1:8" x14ac:dyDescent="0.15">
      <c r="A1514">
        <v>58</v>
      </c>
      <c r="B1514">
        <v>18</v>
      </c>
      <c r="C1514">
        <v>908038.65234375</v>
      </c>
      <c r="D1514">
        <v>743610.17809493584</v>
      </c>
      <c r="E1514">
        <v>1.3189085949824689E-5</v>
      </c>
      <c r="F1514">
        <v>1.3176498316423431E-5</v>
      </c>
      <c r="G1514">
        <v>1.2587633401258167E-8</v>
      </c>
      <c r="H1514" t="b">
        <v>0</v>
      </c>
    </row>
    <row r="1515" spans="1:8" x14ac:dyDescent="0.15">
      <c r="A1515">
        <v>58</v>
      </c>
      <c r="B1515">
        <v>19</v>
      </c>
      <c r="C1515">
        <v>908254.65234375</v>
      </c>
      <c r="D1515">
        <v>4332132.6122985585</v>
      </c>
      <c r="E1515">
        <v>1.3249063835963204E-5</v>
      </c>
      <c r="F1515">
        <v>1.3176498316423431E-5</v>
      </c>
      <c r="G1515">
        <v>7.2565519539773352E-8</v>
      </c>
      <c r="H1515" t="b">
        <v>0</v>
      </c>
    </row>
    <row r="1516" spans="1:8" x14ac:dyDescent="0.15">
      <c r="A1516">
        <v>58</v>
      </c>
      <c r="B1516">
        <v>20</v>
      </c>
      <c r="C1516">
        <v>908146.65234375</v>
      </c>
      <c r="D1516">
        <v>2526628.2962888698</v>
      </c>
      <c r="E1516">
        <v>1.3219043512506063E-5</v>
      </c>
      <c r="F1516">
        <v>1.3176498316423431E-5</v>
      </c>
      <c r="G1516">
        <v>4.2545196082631516E-8</v>
      </c>
      <c r="H1516" t="b">
        <v>0</v>
      </c>
    </row>
    <row r="1517" spans="1:8" x14ac:dyDescent="0.15">
      <c r="A1517">
        <v>58</v>
      </c>
      <c r="B1517">
        <v>21</v>
      </c>
      <c r="C1517">
        <v>908017.05234375002</v>
      </c>
      <c r="D1517">
        <v>389766.9305613921</v>
      </c>
      <c r="E1517">
        <v>1.3183103161851673E-5</v>
      </c>
      <c r="F1517">
        <v>1.3176498316423431E-5</v>
      </c>
      <c r="G1517">
        <v>6.6048454282418244E-9</v>
      </c>
      <c r="H1517" t="b">
        <v>0</v>
      </c>
    </row>
    <row r="1518" spans="1:8" x14ac:dyDescent="0.15">
      <c r="A1518">
        <v>58</v>
      </c>
      <c r="B1518">
        <v>22</v>
      </c>
      <c r="C1518">
        <v>908081.85234375007</v>
      </c>
      <c r="D1518">
        <v>1454216.9398131319</v>
      </c>
      <c r="E1518">
        <v>1.3201062985951511E-5</v>
      </c>
      <c r="F1518">
        <v>1.3176498316423431E-5</v>
      </c>
      <c r="G1518">
        <v>2.4564669528080361E-8</v>
      </c>
      <c r="H1518" t="b">
        <v>0</v>
      </c>
    </row>
    <row r="1519" spans="1:8" x14ac:dyDescent="0.15">
      <c r="A1519">
        <v>58</v>
      </c>
      <c r="B1519">
        <v>23</v>
      </c>
      <c r="C1519">
        <v>908049.45234375005</v>
      </c>
      <c r="D1519">
        <v>920906.70999457047</v>
      </c>
      <c r="E1519">
        <v>1.3192078946933888E-5</v>
      </c>
      <c r="F1519">
        <v>1.3176498316423431E-5</v>
      </c>
      <c r="G1519">
        <v>1.5580630510457358E-8</v>
      </c>
      <c r="H1519" t="b">
        <v>0</v>
      </c>
    </row>
    <row r="1520" spans="1:8" x14ac:dyDescent="0.15">
      <c r="A1520">
        <v>58</v>
      </c>
      <c r="B1520">
        <v>24</v>
      </c>
      <c r="C1520">
        <v>908010.57234375004</v>
      </c>
      <c r="D1520">
        <v>283763.48622515844</v>
      </c>
      <c r="E1520">
        <v>1.3181308392619567E-5</v>
      </c>
      <c r="F1520">
        <v>1.3176498316423431E-5</v>
      </c>
      <c r="G1520">
        <v>4.8100761961356264E-9</v>
      </c>
      <c r="H1520" t="b">
        <v>0</v>
      </c>
    </row>
    <row r="1521" spans="1:8" x14ac:dyDescent="0.15">
      <c r="A1521">
        <v>58</v>
      </c>
      <c r="B1521">
        <v>25</v>
      </c>
      <c r="C1521">
        <v>908030.01234374999</v>
      </c>
      <c r="D1521">
        <v>602014.49528767401</v>
      </c>
      <c r="E1521">
        <v>1.318669336185663E-5</v>
      </c>
      <c r="F1521">
        <v>1.3176498316423431E-5</v>
      </c>
      <c r="G1521">
        <v>1.0195045433198958E-8</v>
      </c>
      <c r="H1521" t="b">
        <v>0</v>
      </c>
    </row>
    <row r="1522" spans="1:8" x14ac:dyDescent="0.15">
      <c r="A1522">
        <v>58</v>
      </c>
      <c r="B1522">
        <v>26</v>
      </c>
      <c r="C1522">
        <v>908053.34034374997</v>
      </c>
      <c r="D1522">
        <v>984869.26285918511</v>
      </c>
      <c r="E1522">
        <v>1.3193157945177007E-5</v>
      </c>
      <c r="F1522">
        <v>1.3176498316423431E-5</v>
      </c>
      <c r="G1522">
        <v>1.6659628753575427E-8</v>
      </c>
      <c r="H1522" t="b">
        <v>0</v>
      </c>
    </row>
    <row r="1523" spans="1:8" x14ac:dyDescent="0.15">
      <c r="A1523">
        <v>58</v>
      </c>
      <c r="B1523">
        <v>27</v>
      </c>
      <c r="C1523">
        <v>908041.67634374998</v>
      </c>
      <c r="D1523">
        <v>793311.79258843081</v>
      </c>
      <c r="E1523">
        <v>1.3189925296149897E-5</v>
      </c>
      <c r="F1523">
        <v>1.3176498316423431E-5</v>
      </c>
      <c r="G1523">
        <v>1.342697972646573E-8</v>
      </c>
      <c r="H1523" t="b">
        <v>0</v>
      </c>
    </row>
    <row r="1524" spans="1:8" x14ac:dyDescent="0.15">
      <c r="A1524">
        <v>58</v>
      </c>
      <c r="B1524">
        <v>28</v>
      </c>
      <c r="C1524">
        <v>908047.50834375003</v>
      </c>
      <c r="D1524">
        <v>889057.9982081952</v>
      </c>
      <c r="E1524">
        <v>1.3191541531312752E-5</v>
      </c>
      <c r="F1524">
        <v>1.3176498316423431E-5</v>
      </c>
      <c r="G1524">
        <v>1.5043214889321193E-8</v>
      </c>
      <c r="H1524" t="b">
        <v>0</v>
      </c>
    </row>
    <row r="1525" spans="1:8" x14ac:dyDescent="0.15">
      <c r="A1525">
        <v>58</v>
      </c>
      <c r="B1525">
        <v>29</v>
      </c>
      <c r="C1525">
        <v>908054.50674375007</v>
      </c>
      <c r="D1525">
        <v>1004039.3242824242</v>
      </c>
      <c r="E1525">
        <v>1.3193481249395937E-5</v>
      </c>
      <c r="F1525">
        <v>1.3176498316423431E-5</v>
      </c>
      <c r="G1525">
        <v>1.6982932972505981E-8</v>
      </c>
      <c r="H1525" t="b">
        <v>0</v>
      </c>
    </row>
    <row r="1526" spans="1:8" x14ac:dyDescent="0.15">
      <c r="A1526">
        <v>58</v>
      </c>
      <c r="B1526">
        <v>30</v>
      </c>
      <c r="C1526">
        <v>908051.00754375011</v>
      </c>
      <c r="D1526">
        <v>946536.94891731592</v>
      </c>
      <c r="E1526">
        <v>1.3192511358186206E-5</v>
      </c>
      <c r="F1526">
        <v>1.3176498316423431E-5</v>
      </c>
      <c r="G1526">
        <v>1.601304176277489E-8</v>
      </c>
      <c r="H1526" t="b">
        <v>0</v>
      </c>
    </row>
    <row r="1527" spans="1:8" x14ac:dyDescent="0.15">
      <c r="A1527">
        <v>58</v>
      </c>
      <c r="B1527">
        <v>31</v>
      </c>
      <c r="C1527">
        <v>908046.80850375013</v>
      </c>
      <c r="D1527">
        <v>877483.89758412144</v>
      </c>
      <c r="E1527">
        <v>1.31913462045956E-5</v>
      </c>
      <c r="F1527">
        <v>1.3176498316423431E-5</v>
      </c>
      <c r="G1527">
        <v>1.48478881721691E-8</v>
      </c>
      <c r="H1527" t="b">
        <v>0</v>
      </c>
    </row>
    <row r="1528" spans="1:8" x14ac:dyDescent="0.15">
      <c r="A1528">
        <v>58</v>
      </c>
      <c r="B1528">
        <v>32</v>
      </c>
      <c r="C1528">
        <v>908048.90802375018</v>
      </c>
      <c r="D1528">
        <v>911965.6260853759</v>
      </c>
      <c r="E1528">
        <v>1.3191928085213481E-5</v>
      </c>
      <c r="F1528">
        <v>1.3176498316423431E-5</v>
      </c>
      <c r="G1528">
        <v>1.5429768790049949E-8</v>
      </c>
      <c r="H1528" t="b">
        <v>0</v>
      </c>
    </row>
    <row r="1529" spans="1:8" x14ac:dyDescent="0.15">
      <c r="A1529">
        <v>59</v>
      </c>
      <c r="B1529">
        <v>1</v>
      </c>
      <c r="C1529">
        <v>6050000</v>
      </c>
      <c r="D1529">
        <v>1.3803951205305482E+18</v>
      </c>
      <c r="E1529">
        <v>536.87092200000006</v>
      </c>
      <c r="F1529">
        <v>2.4778381430223817E-5</v>
      </c>
      <c r="G1529">
        <v>536.87089722161863</v>
      </c>
      <c r="H1529" t="b">
        <v>0</v>
      </c>
    </row>
    <row r="1530" spans="1:8" x14ac:dyDescent="0.15">
      <c r="A1530">
        <v>59</v>
      </c>
      <c r="B1530">
        <v>2</v>
      </c>
      <c r="C1530">
        <v>3075000</v>
      </c>
      <c r="D1530">
        <v>1.3803951205305482E+18</v>
      </c>
      <c r="E1530">
        <v>536.87092200000006</v>
      </c>
      <c r="F1530">
        <v>2.4778381430223817E-5</v>
      </c>
      <c r="G1530">
        <v>536.87089722161863</v>
      </c>
      <c r="H1530" t="b">
        <v>0</v>
      </c>
    </row>
    <row r="1531" spans="1:8" x14ac:dyDescent="0.15">
      <c r="A1531">
        <v>59</v>
      </c>
      <c r="B1531">
        <v>3</v>
      </c>
      <c r="C1531">
        <v>1587500</v>
      </c>
      <c r="D1531">
        <v>1121891117063962.4</v>
      </c>
      <c r="E1531">
        <v>1.1077120666546501</v>
      </c>
      <c r="F1531">
        <v>2.4778381409795713E-5</v>
      </c>
      <c r="G1531">
        <v>1.1076872882732403</v>
      </c>
      <c r="H1531" t="b">
        <v>0</v>
      </c>
    </row>
    <row r="1532" spans="1:8" x14ac:dyDescent="0.15">
      <c r="A1532">
        <v>59</v>
      </c>
      <c r="B1532">
        <v>4</v>
      </c>
      <c r="C1532">
        <v>843750</v>
      </c>
      <c r="D1532">
        <v>7443620849.5716152</v>
      </c>
      <c r="E1532">
        <v>1.0376376362431324E-4</v>
      </c>
      <c r="F1532">
        <v>2.4778381409831506E-5</v>
      </c>
      <c r="G1532">
        <v>7.8985382214481734E-5</v>
      </c>
      <c r="H1532" t="b">
        <v>0</v>
      </c>
    </row>
    <row r="1533" spans="1:8" x14ac:dyDescent="0.15">
      <c r="A1533">
        <v>59</v>
      </c>
      <c r="B1533">
        <v>5</v>
      </c>
      <c r="C1533">
        <v>471875</v>
      </c>
      <c r="D1533">
        <v>-35996.405518238906</v>
      </c>
      <c r="E1533">
        <v>-6.2593094945743064E-6</v>
      </c>
      <c r="F1533">
        <v>2.4778381409831512E-5</v>
      </c>
      <c r="G1533">
        <v>-3.1037690904405818E-5</v>
      </c>
      <c r="H1533" t="b">
        <v>1</v>
      </c>
    </row>
    <row r="1534" spans="1:8" x14ac:dyDescent="0.15">
      <c r="A1534">
        <v>59</v>
      </c>
      <c r="B1534">
        <v>6</v>
      </c>
      <c r="C1534">
        <v>657812.5</v>
      </c>
      <c r="D1534">
        <v>-218829.65518852821</v>
      </c>
      <c r="E1534">
        <v>3.8063586097507789E-6</v>
      </c>
      <c r="F1534">
        <v>2.4778381409831509E-5</v>
      </c>
      <c r="G1534">
        <v>-2.0972022800080731E-5</v>
      </c>
      <c r="H1534" t="b">
        <v>1</v>
      </c>
    </row>
    <row r="1535" spans="1:8" x14ac:dyDescent="0.15">
      <c r="A1535">
        <v>59</v>
      </c>
      <c r="B1535">
        <v>7</v>
      </c>
      <c r="C1535">
        <v>750781.25</v>
      </c>
      <c r="D1535">
        <v>-24420965.976345491</v>
      </c>
      <c r="E1535">
        <v>1.3855976003490206E-5</v>
      </c>
      <c r="F1535">
        <v>2.4778381409831509E-5</v>
      </c>
      <c r="G1535">
        <v>-1.0922405406341303E-5</v>
      </c>
      <c r="H1535" t="b">
        <v>1</v>
      </c>
    </row>
    <row r="1536" spans="1:8" x14ac:dyDescent="0.15">
      <c r="A1536">
        <v>59</v>
      </c>
      <c r="B1536">
        <v>8</v>
      </c>
      <c r="C1536">
        <v>797265.625</v>
      </c>
      <c r="D1536">
        <v>668623432.04105759</v>
      </c>
      <c r="E1536">
        <v>3.6912820435668779E-5</v>
      </c>
      <c r="F1536">
        <v>2.4778381409831509E-5</v>
      </c>
      <c r="G1536">
        <v>1.213443902583727E-5</v>
      </c>
      <c r="H1536" t="b">
        <v>0</v>
      </c>
    </row>
    <row r="1537" spans="1:8" x14ac:dyDescent="0.15">
      <c r="A1537">
        <v>59</v>
      </c>
      <c r="B1537">
        <v>9</v>
      </c>
      <c r="C1537">
        <v>774023.4375</v>
      </c>
      <c r="D1537">
        <v>-87879370.680194646</v>
      </c>
      <c r="E1537">
        <v>2.1089182833574751E-5</v>
      </c>
      <c r="F1537">
        <v>2.4778381409831509E-5</v>
      </c>
      <c r="G1537">
        <v>-3.6891985762567578E-6</v>
      </c>
      <c r="H1537" t="b">
        <v>1</v>
      </c>
    </row>
    <row r="1538" spans="1:8" x14ac:dyDescent="0.15">
      <c r="A1538">
        <v>59</v>
      </c>
      <c r="B1538">
        <v>10</v>
      </c>
      <c r="C1538">
        <v>785644.53125</v>
      </c>
      <c r="D1538">
        <v>140707121.67708403</v>
      </c>
      <c r="E1538">
        <v>2.8007998607714713E-5</v>
      </c>
      <c r="F1538">
        <v>2.4778381409831509E-5</v>
      </c>
      <c r="G1538">
        <v>3.2296171978832038E-6</v>
      </c>
      <c r="H1538" t="b">
        <v>0</v>
      </c>
    </row>
    <row r="1539" spans="1:8" x14ac:dyDescent="0.15">
      <c r="A1539">
        <v>59</v>
      </c>
      <c r="B1539">
        <v>11</v>
      </c>
      <c r="C1539">
        <v>779833.984375</v>
      </c>
      <c r="D1539">
        <v>-15071207.389506521</v>
      </c>
      <c r="E1539">
        <v>2.4327666092940881E-5</v>
      </c>
      <c r="F1539">
        <v>2.4778381409831509E-5</v>
      </c>
      <c r="G1539">
        <v>-4.5071531689062788E-7</v>
      </c>
      <c r="H1539" t="b">
        <v>1</v>
      </c>
    </row>
    <row r="1540" spans="1:8" x14ac:dyDescent="0.15">
      <c r="A1540">
        <v>59</v>
      </c>
      <c r="B1540">
        <v>12</v>
      </c>
      <c r="C1540">
        <v>782739.2578125</v>
      </c>
      <c r="D1540">
        <v>51166539.260895081</v>
      </c>
      <c r="E1540">
        <v>2.6109348177634575E-5</v>
      </c>
      <c r="F1540">
        <v>2.4778381409831509E-5</v>
      </c>
      <c r="G1540">
        <v>1.3309667678030659E-6</v>
      </c>
      <c r="H1540" t="b">
        <v>0</v>
      </c>
    </row>
    <row r="1541" spans="1:8" x14ac:dyDescent="0.15">
      <c r="A1541">
        <v>59</v>
      </c>
      <c r="B1541">
        <v>13</v>
      </c>
      <c r="C1541">
        <v>781286.62109375</v>
      </c>
      <c r="D1541">
        <v>15301161.861868843</v>
      </c>
      <c r="E1541">
        <v>2.520429617327521E-5</v>
      </c>
      <c r="F1541">
        <v>2.4778381409831509E-5</v>
      </c>
      <c r="G1541">
        <v>4.2591476344370116E-7</v>
      </c>
      <c r="H1541" t="b">
        <v>0</v>
      </c>
    </row>
    <row r="1542" spans="1:8" x14ac:dyDescent="0.15">
      <c r="A1542">
        <v>59</v>
      </c>
      <c r="B1542">
        <v>14</v>
      </c>
      <c r="C1542">
        <v>780086.62109375</v>
      </c>
      <c r="D1542">
        <v>-10169563.102330681</v>
      </c>
      <c r="E1542">
        <v>2.4478116963219165E-5</v>
      </c>
      <c r="F1542">
        <v>2.4778381409831509E-5</v>
      </c>
      <c r="G1542">
        <v>-3.0026444661234415E-7</v>
      </c>
      <c r="H1542" t="b">
        <v>1</v>
      </c>
    </row>
    <row r="1543" spans="1:8" x14ac:dyDescent="0.15">
      <c r="A1543">
        <v>59</v>
      </c>
      <c r="B1543">
        <v>15</v>
      </c>
      <c r="C1543">
        <v>780686.62109375</v>
      </c>
      <c r="D1543">
        <v>2108674.5042118928</v>
      </c>
      <c r="E1543">
        <v>2.4838811583302178E-5</v>
      </c>
      <c r="F1543">
        <v>2.4778381409831509E-5</v>
      </c>
      <c r="G1543">
        <v>6.0430173470669486E-8</v>
      </c>
      <c r="H1543" t="b">
        <v>0</v>
      </c>
    </row>
    <row r="1544" spans="1:8" x14ac:dyDescent="0.15">
      <c r="A1544">
        <v>59</v>
      </c>
      <c r="B1544">
        <v>16</v>
      </c>
      <c r="C1544">
        <v>780386.62109375</v>
      </c>
      <c r="D1544">
        <v>-4143372.263581757</v>
      </c>
      <c r="E1544">
        <v>2.4657867529752508E-5</v>
      </c>
      <c r="F1544">
        <v>2.4778381409831509E-5</v>
      </c>
      <c r="G1544">
        <v>-1.2051388007900139E-7</v>
      </c>
      <c r="H1544" t="b">
        <v>1</v>
      </c>
    </row>
    <row r="1545" spans="1:8" x14ac:dyDescent="0.15">
      <c r="A1545">
        <v>59</v>
      </c>
      <c r="B1545">
        <v>17</v>
      </c>
      <c r="C1545">
        <v>780536.62109375</v>
      </c>
      <c r="D1545">
        <v>-1045788.2435254661</v>
      </c>
      <c r="E1545">
        <v>2.4748189008381375E-5</v>
      </c>
      <c r="F1545">
        <v>2.4778381409831509E-5</v>
      </c>
      <c r="G1545">
        <v>-3.0192401450133646E-8</v>
      </c>
      <c r="H1545" t="b">
        <v>1</v>
      </c>
    </row>
    <row r="1546" spans="1:8" x14ac:dyDescent="0.15">
      <c r="A1546">
        <v>59</v>
      </c>
      <c r="B1546">
        <v>18</v>
      </c>
      <c r="C1546">
        <v>780686.62109375</v>
      </c>
      <c r="D1546">
        <v>2108674.5042118928</v>
      </c>
      <c r="E1546">
        <v>2.4838811583302178E-5</v>
      </c>
      <c r="F1546">
        <v>2.4778381409831509E-5</v>
      </c>
      <c r="G1546">
        <v>6.0430173470669486E-8</v>
      </c>
      <c r="H1546" t="b">
        <v>0</v>
      </c>
    </row>
    <row r="1547" spans="1:8" x14ac:dyDescent="0.15">
      <c r="A1547">
        <v>59</v>
      </c>
      <c r="B1547">
        <v>19</v>
      </c>
      <c r="C1547">
        <v>780611.62109375</v>
      </c>
      <c r="D1547">
        <v>524364.67601847951</v>
      </c>
      <c r="E1547">
        <v>2.4793464142579827E-5</v>
      </c>
      <c r="F1547">
        <v>2.4778381409831509E-5</v>
      </c>
      <c r="G1547">
        <v>1.5082732748317727E-8</v>
      </c>
      <c r="H1547" t="b">
        <v>0</v>
      </c>
    </row>
    <row r="1548" spans="1:8" x14ac:dyDescent="0.15">
      <c r="A1548">
        <v>59</v>
      </c>
      <c r="B1548">
        <v>20</v>
      </c>
      <c r="C1548">
        <v>780649.12109375</v>
      </c>
      <c r="D1548">
        <v>1314736.6091835687</v>
      </c>
      <c r="E1548">
        <v>2.4816128510346435E-5</v>
      </c>
      <c r="F1548">
        <v>2.4778381409831509E-5</v>
      </c>
      <c r="G1548">
        <v>3.7747100514926409E-8</v>
      </c>
      <c r="H1548" t="b">
        <v>0</v>
      </c>
    </row>
    <row r="1549" spans="1:8" x14ac:dyDescent="0.15">
      <c r="A1549">
        <v>59</v>
      </c>
      <c r="B1549">
        <v>21</v>
      </c>
      <c r="C1549">
        <v>780630.37109375</v>
      </c>
      <c r="D1549">
        <v>919105.24063987634</v>
      </c>
      <c r="E1549">
        <v>2.4804793989169681E-5</v>
      </c>
      <c r="F1549">
        <v>2.4778381409831509E-5</v>
      </c>
      <c r="G1549">
        <v>2.6412579338172261E-8</v>
      </c>
      <c r="H1549" t="b">
        <v>0</v>
      </c>
    </row>
    <row r="1550" spans="1:8" x14ac:dyDescent="0.15">
      <c r="A1550">
        <v>59</v>
      </c>
      <c r="B1550">
        <v>22</v>
      </c>
      <c r="C1550">
        <v>780607.87109375</v>
      </c>
      <c r="D1550">
        <v>445523.39917190961</v>
      </c>
      <c r="E1550">
        <v>2.4791198734061715E-5</v>
      </c>
      <c r="F1550">
        <v>2.4778381409831509E-5</v>
      </c>
      <c r="G1550">
        <v>1.2817324230206468E-8</v>
      </c>
      <c r="H1550" t="b">
        <v>0</v>
      </c>
    </row>
    <row r="1551" spans="1:8" x14ac:dyDescent="0.15">
      <c r="A1551">
        <v>59</v>
      </c>
      <c r="B1551">
        <v>23</v>
      </c>
      <c r="C1551">
        <v>780619.12109375</v>
      </c>
      <c r="D1551">
        <v>682068.18616045709</v>
      </c>
      <c r="E1551">
        <v>2.4797993055474766E-5</v>
      </c>
      <c r="F1551">
        <v>2.4778381409831509E-5</v>
      </c>
      <c r="G1551">
        <v>1.9611645643256712E-8</v>
      </c>
      <c r="H1551" t="b">
        <v>0</v>
      </c>
    </row>
    <row r="1552" spans="1:8" x14ac:dyDescent="0.15">
      <c r="A1552">
        <v>59</v>
      </c>
      <c r="B1552">
        <v>24</v>
      </c>
      <c r="C1552">
        <v>780632.62109375</v>
      </c>
      <c r="D1552">
        <v>966447.94907663588</v>
      </c>
      <c r="E1552">
        <v>2.4806151419079511E-5</v>
      </c>
      <c r="F1552">
        <v>2.4778381409831509E-5</v>
      </c>
      <c r="G1552">
        <v>2.7770009248001846E-8</v>
      </c>
      <c r="H1552" t="b">
        <v>0</v>
      </c>
    </row>
    <row r="1553" spans="1:8" x14ac:dyDescent="0.15">
      <c r="A1553">
        <v>59</v>
      </c>
      <c r="B1553">
        <v>25</v>
      </c>
      <c r="C1553">
        <v>780625.87109375</v>
      </c>
      <c r="D1553">
        <v>824286.28968495911</v>
      </c>
      <c r="E1553">
        <v>2.480207439973027E-5</v>
      </c>
      <c r="F1553">
        <v>2.4778381409831509E-5</v>
      </c>
      <c r="G1553">
        <v>2.369298989876142E-8</v>
      </c>
      <c r="H1553" t="b">
        <v>0</v>
      </c>
    </row>
    <row r="1554" spans="1:8" x14ac:dyDescent="0.15">
      <c r="A1554">
        <v>59</v>
      </c>
      <c r="B1554">
        <v>26</v>
      </c>
      <c r="C1554">
        <v>780617.77109375002</v>
      </c>
      <c r="D1554">
        <v>653741.44962680025</v>
      </c>
      <c r="E1554">
        <v>2.4797179817188822E-5</v>
      </c>
      <c r="F1554">
        <v>2.4778381409831509E-5</v>
      </c>
      <c r="G1554">
        <v>1.8798407357312777E-8</v>
      </c>
      <c r="H1554" t="b">
        <v>0</v>
      </c>
    </row>
    <row r="1555" spans="1:8" x14ac:dyDescent="0.15">
      <c r="A1555">
        <v>59</v>
      </c>
      <c r="B1555">
        <v>27</v>
      </c>
      <c r="C1555">
        <v>780621.82109375007</v>
      </c>
      <c r="D1555">
        <v>738907.20422550826</v>
      </c>
      <c r="E1555">
        <v>2.4799624534353789E-5</v>
      </c>
      <c r="F1555">
        <v>2.4778381409831509E-5</v>
      </c>
      <c r="G1555">
        <v>2.1243124522279721E-8</v>
      </c>
      <c r="H1555" t="b">
        <v>0</v>
      </c>
    </row>
    <row r="1556" spans="1:8" x14ac:dyDescent="0.15">
      <c r="A1556">
        <v>59</v>
      </c>
      <c r="B1556">
        <v>28</v>
      </c>
      <c r="C1556">
        <v>780626.68109375006</v>
      </c>
      <c r="D1556">
        <v>841263.97046939738</v>
      </c>
      <c r="E1556">
        <v>2.4802561440568015E-5</v>
      </c>
      <c r="F1556">
        <v>2.4778381409831509E-5</v>
      </c>
      <c r="G1556">
        <v>2.4180030736505628E-8</v>
      </c>
      <c r="H1556" t="b">
        <v>0</v>
      </c>
    </row>
    <row r="1557" spans="1:8" x14ac:dyDescent="0.15">
      <c r="A1557">
        <v>59</v>
      </c>
      <c r="B1557">
        <v>29</v>
      </c>
      <c r="C1557">
        <v>780624.25109375</v>
      </c>
      <c r="D1557">
        <v>790164.02625237079</v>
      </c>
      <c r="E1557">
        <v>2.4801095413440751E-5</v>
      </c>
      <c r="F1557">
        <v>2.4778381409831509E-5</v>
      </c>
      <c r="G1557">
        <v>2.2714003609241879E-8</v>
      </c>
      <c r="H1557" t="b">
        <v>0</v>
      </c>
    </row>
    <row r="1558" spans="1:8" x14ac:dyDescent="0.15">
      <c r="A1558">
        <v>59</v>
      </c>
      <c r="B1558">
        <v>30</v>
      </c>
      <c r="C1558">
        <v>780621.33509375004</v>
      </c>
      <c r="D1558">
        <v>728674.81831872859</v>
      </c>
      <c r="E1558">
        <v>2.4799330861003838E-5</v>
      </c>
      <c r="F1558">
        <v>2.4778381409831509E-5</v>
      </c>
      <c r="G1558">
        <v>2.0949451172328859E-8</v>
      </c>
      <c r="H1558" t="b">
        <v>0</v>
      </c>
    </row>
    <row r="1559" spans="1:8" x14ac:dyDescent="0.15">
      <c r="A1559">
        <v>59</v>
      </c>
      <c r="B1559">
        <v>31</v>
      </c>
      <c r="C1559">
        <v>780622.79309375002</v>
      </c>
      <c r="D1559">
        <v>759459.67334910447</v>
      </c>
      <c r="E1559">
        <v>2.4800214355612707E-5</v>
      </c>
      <c r="F1559">
        <v>2.4778381409831509E-5</v>
      </c>
      <c r="G1559">
        <v>2.1832945781198072E-8</v>
      </c>
      <c r="H1559" t="b">
        <v>0</v>
      </c>
    </row>
    <row r="1560" spans="1:8" x14ac:dyDescent="0.15">
      <c r="A1560">
        <v>59</v>
      </c>
      <c r="B1560">
        <v>32</v>
      </c>
      <c r="C1560">
        <v>780624.54269375</v>
      </c>
      <c r="D1560">
        <v>796219.6218377325</v>
      </c>
      <c r="E1560">
        <v>2.4801269163146201E-5</v>
      </c>
      <c r="F1560">
        <v>2.4778381409831509E-5</v>
      </c>
      <c r="G1560">
        <v>2.288775331469155E-8</v>
      </c>
      <c r="H1560" t="b">
        <v>0</v>
      </c>
    </row>
    <row r="1561" spans="1:8" x14ac:dyDescent="0.15">
      <c r="A1561">
        <v>59</v>
      </c>
      <c r="B1561">
        <v>33</v>
      </c>
      <c r="C1561">
        <v>780623.66789375001</v>
      </c>
      <c r="D1561">
        <v>777881.63891220221</v>
      </c>
      <c r="E1561">
        <v>2.4800742986918205E-5</v>
      </c>
      <c r="F1561">
        <v>2.4778381409831509E-5</v>
      </c>
      <c r="G1561">
        <v>2.2361577086696204E-8</v>
      </c>
      <c r="H1561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SatProp</vt:lpstr>
      <vt:lpstr>Cp_T_low</vt:lpstr>
      <vt:lpstr>Cp_T_mid</vt:lpstr>
      <vt:lpstr>Cp_T_high</vt:lpstr>
      <vt:lpstr>tm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2026-06-16T06:25:26Z</dcterms:modified>
</cp:coreProperties>
</file>