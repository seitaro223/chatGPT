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\\inssfs10\安全防災研究共用\共用ファイル\５文献\気液二相流勉強会資料\2026_櫻井自習および研究資料\Celata計算\"/>
    </mc:Choice>
  </mc:AlternateContent>
  <xr:revisionPtr revIDLastSave="0" documentId="13_ncr:1_{7D6B2ABC-438C-4268-BD61-01A443F8A32B}" xr6:coauthVersionLast="47" xr6:coauthVersionMax="47" xr10:uidLastSave="{00000000-0000-0000-0000-000000000000}"/>
  <bookViews>
    <workbookView xWindow="-289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6" r:id="rId3"/>
    <sheet name="Cp_T_high" sheetId="7" r:id="rId4"/>
    <sheet name="tm" sheetId="3" r:id="rId5"/>
    <sheet name="Log" sheetId="9" r:id="rId6"/>
  </sheets>
  <functionGroups builtInGroupCount="19"/>
  <definedNames>
    <definedName name="L_tot">#REF!</definedName>
    <definedName name="solver_adj" localSheetId="4" hidden="1">tm!$AP$59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tm!$AY$59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9" i="3" l="1"/>
  <c r="C59" i="3" a="1"/>
  <c r="J59" i="3" a="1"/>
  <c r="E59" i="3" a="1"/>
  <c r="C58" i="3" a="1"/>
  <c r="I59" i="3" a="1"/>
  <c r="D59" i="3" a="1"/>
  <c r="K59" i="3" a="1"/>
  <c r="F59" i="3" a="1"/>
  <c r="L59" i="3" a="1"/>
  <c r="G59" i="3" a="1"/>
  <c r="H59" i="3" a="1"/>
  <c r="H59" i="3" l="1"/>
  <c r="G59" i="3"/>
  <c r="L59" i="3"/>
  <c r="F59" i="3"/>
  <c r="AZ59" i="3" s="1"/>
  <c r="K59" i="3"/>
  <c r="D59" i="3"/>
  <c r="I59" i="3"/>
  <c r="W59" i="3" s="1"/>
  <c r="E59" i="3"/>
  <c r="J59" i="3"/>
  <c r="C59" i="3"/>
  <c r="C58" i="3"/>
  <c r="D58" i="3" a="1"/>
  <c r="AL59" i="3" l="1"/>
  <c r="U59" i="3"/>
  <c r="AQ59" i="3"/>
  <c r="BA59" i="3" s="1"/>
  <c r="AB59" i="3"/>
  <c r="Z59" i="3"/>
  <c r="AA59" i="3" s="1"/>
  <c r="BL59" i="3"/>
  <c r="AH59" i="3"/>
  <c r="AI59" i="3" s="1"/>
  <c r="D58" i="3"/>
  <c r="F58" i="3" a="1"/>
  <c r="AK59" i="3" a="1"/>
  <c r="E58" i="3" a="1"/>
  <c r="E58" i="3" l="1"/>
  <c r="AK59" i="3"/>
  <c r="AO59" i="3"/>
  <c r="AR59" i="3" s="1"/>
  <c r="AS59" i="3" s="1"/>
  <c r="AW59" i="3"/>
  <c r="AX59" i="3" s="1"/>
  <c r="AD59" i="3"/>
  <c r="AJ59" i="3"/>
  <c r="BB59" i="3"/>
  <c r="BP59" i="3"/>
  <c r="BK59" i="3" s="1"/>
  <c r="BO59" i="3" s="1"/>
  <c r="BN59" i="3"/>
  <c r="F58" i="3"/>
  <c r="Y58" i="3"/>
  <c r="AH58" i="3"/>
  <c r="AI58" i="3" s="1"/>
  <c r="H58" i="3" a="1"/>
  <c r="I58" i="3" a="1"/>
  <c r="AM59" i="3"/>
  <c r="G58" i="3" a="1"/>
  <c r="AT59" i="3"/>
  <c r="AE59" i="3"/>
  <c r="J58" i="3" a="1"/>
  <c r="L58" i="3" a="1"/>
  <c r="K58" i="3" a="1"/>
  <c r="K58" i="3" l="1"/>
  <c r="L58" i="3"/>
  <c r="AB58" i="3" s="1"/>
  <c r="AO58" i="3" s="1"/>
  <c r="J58" i="3"/>
  <c r="AF59" i="3"/>
  <c r="AU59" i="3"/>
  <c r="AV59" i="3" s="1"/>
  <c r="AY59" i="3" s="1"/>
  <c r="G58" i="3"/>
  <c r="AZ58" i="3" s="1"/>
  <c r="AN59" i="3"/>
  <c r="I58" i="3"/>
  <c r="W58" i="3" s="1"/>
  <c r="Z58" i="3" s="1"/>
  <c r="AA58" i="3" s="1"/>
  <c r="H58" i="3"/>
  <c r="BF59" i="3"/>
  <c r="BM59" i="3"/>
  <c r="BD59" i="3"/>
  <c r="BC59" i="3"/>
  <c r="BL58" i="3"/>
  <c r="BP58" i="3" s="1"/>
  <c r="BK58" i="3" s="1"/>
  <c r="BO58" i="3" s="1"/>
  <c r="AQ58" i="3"/>
  <c r="BA58" i="3" s="1"/>
  <c r="AR58" i="3"/>
  <c r="AW58" i="3"/>
  <c r="C57" i="3" a="1"/>
  <c r="AS58" i="3" l="1"/>
  <c r="AJ58" i="3"/>
  <c r="AX58" i="3"/>
  <c r="BN58" i="3"/>
  <c r="AD58" i="3"/>
  <c r="AL58" i="3"/>
  <c r="U58" i="3"/>
  <c r="BB58" i="3"/>
  <c r="BC58" i="3" s="1"/>
  <c r="C57" i="3"/>
  <c r="AT58" i="3"/>
  <c r="AK58" i="3" a="1"/>
  <c r="D57" i="3" a="1"/>
  <c r="AU58" i="3" l="1"/>
  <c r="AV58" i="3" s="1"/>
  <c r="AY58" i="3" s="1"/>
  <c r="AK58" i="3"/>
  <c r="BF58" i="3"/>
  <c r="BD58" i="3"/>
  <c r="BM58" i="3"/>
  <c r="D57" i="3"/>
  <c r="AE58" i="3"/>
  <c r="AM58" i="3"/>
  <c r="F57" i="3" a="1"/>
  <c r="E57" i="3" a="1"/>
  <c r="E57" i="3" l="1"/>
  <c r="AN58" i="3"/>
  <c r="AF58" i="3"/>
  <c r="F57" i="3"/>
  <c r="Y57" i="3"/>
  <c r="AH57" i="3"/>
  <c r="AI57" i="3" s="1"/>
  <c r="K57" i="3" a="1"/>
  <c r="H57" i="3" a="1"/>
  <c r="G57" i="3" a="1"/>
  <c r="L57" i="3" a="1"/>
  <c r="I57" i="3" a="1"/>
  <c r="J57" i="3" a="1"/>
  <c r="J57" i="3" l="1"/>
  <c r="I57" i="3"/>
  <c r="W57" i="3" s="1"/>
  <c r="L57" i="3"/>
  <c r="G57" i="3"/>
  <c r="AZ57" i="3" s="1"/>
  <c r="H57" i="3"/>
  <c r="K57" i="3"/>
  <c r="AD57" i="3"/>
  <c r="Z57" i="3"/>
  <c r="AA57" i="3" s="1"/>
  <c r="AB57" i="3"/>
  <c r="AO57" i="3" s="1"/>
  <c r="AR57" i="3" s="1"/>
  <c r="AS57" i="3" s="1"/>
  <c r="BL57" i="3"/>
  <c r="BP57" i="3" s="1"/>
  <c r="BK57" i="3" s="1"/>
  <c r="BO57" i="3" s="1"/>
  <c r="AJ57" i="3"/>
  <c r="AQ57" i="3"/>
  <c r="BA57" i="3" s="1"/>
  <c r="AT57" i="3"/>
  <c r="C56" i="3" a="1"/>
  <c r="AU57" i="3" l="1"/>
  <c r="AV57" i="3" s="1"/>
  <c r="BN57" i="3"/>
  <c r="AL57" i="3"/>
  <c r="U57" i="3"/>
  <c r="AW57" i="3"/>
  <c r="AX57" i="3" s="1"/>
  <c r="AY57" i="3" s="1"/>
  <c r="BB57" i="3"/>
  <c r="BF57" i="3" s="1"/>
  <c r="C56" i="3"/>
  <c r="AK57" i="3" a="1"/>
  <c r="D56" i="3" a="1"/>
  <c r="AK57" i="3" l="1"/>
  <c r="BC57" i="3"/>
  <c r="BM57" i="3"/>
  <c r="BD57" i="3"/>
  <c r="D56" i="3"/>
  <c r="AE57" i="3"/>
  <c r="AM57" i="3"/>
  <c r="E56" i="3" a="1"/>
  <c r="F56" i="3" a="1"/>
  <c r="E56" i="3" l="1"/>
  <c r="AN57" i="3"/>
  <c r="AF57" i="3"/>
  <c r="F56" i="3"/>
  <c r="Y56" i="3"/>
  <c r="AH56" i="3"/>
  <c r="AI56" i="3" s="1"/>
  <c r="K56" i="3" a="1"/>
  <c r="G56" i="3" a="1"/>
  <c r="H56" i="3" a="1"/>
  <c r="L56" i="3" a="1"/>
  <c r="J56" i="3" a="1"/>
  <c r="I56" i="3" a="1"/>
  <c r="I56" i="3" l="1"/>
  <c r="W56" i="3" s="1"/>
  <c r="J56" i="3"/>
  <c r="L56" i="3"/>
  <c r="AB56" i="3" s="1"/>
  <c r="AO56" i="3" s="1"/>
  <c r="H56" i="3"/>
  <c r="G56" i="3"/>
  <c r="AZ56" i="3" s="1"/>
  <c r="K56" i="3"/>
  <c r="AD56" i="3"/>
  <c r="Z56" i="3"/>
  <c r="AA56" i="3" s="1"/>
  <c r="BL56" i="3"/>
  <c r="BP56" i="3" s="1"/>
  <c r="BK56" i="3" s="1"/>
  <c r="BO56" i="3" s="1"/>
  <c r="AJ56" i="3"/>
  <c r="AR56" i="3"/>
  <c r="AS56" i="3" s="1"/>
  <c r="AQ56" i="3"/>
  <c r="BA56" i="3" s="1"/>
  <c r="C55" i="3" a="1"/>
  <c r="AT56" i="3"/>
  <c r="AW56" i="3" l="1"/>
  <c r="AU56" i="3"/>
  <c r="AV56" i="3" s="1"/>
  <c r="AL56" i="3"/>
  <c r="U56" i="3"/>
  <c r="AX56" i="3"/>
  <c r="BN56" i="3"/>
  <c r="BB56" i="3"/>
  <c r="BF56" i="3" s="1"/>
  <c r="AY56" i="3"/>
  <c r="C55" i="3"/>
  <c r="AK56" i="3" a="1"/>
  <c r="D55" i="3" a="1"/>
  <c r="AK56" i="3" l="1"/>
  <c r="BM56" i="3"/>
  <c r="BD56" i="3"/>
  <c r="BC56" i="3"/>
  <c r="D55" i="3"/>
  <c r="AE56" i="3"/>
  <c r="AM56" i="3"/>
  <c r="E55" i="3" a="1"/>
  <c r="F55" i="3" a="1"/>
  <c r="E55" i="3" l="1"/>
  <c r="AN56" i="3"/>
  <c r="AF56" i="3"/>
  <c r="F55" i="3"/>
  <c r="Y55" i="3"/>
  <c r="AH55" i="3"/>
  <c r="AI55" i="3" s="1"/>
  <c r="K55" i="3" a="1"/>
  <c r="H55" i="3" a="1"/>
  <c r="I55" i="3" a="1"/>
  <c r="J55" i="3" a="1"/>
  <c r="L55" i="3" a="1"/>
  <c r="G55" i="3" a="1"/>
  <c r="G55" i="3" l="1"/>
  <c r="L55" i="3"/>
  <c r="J55" i="3"/>
  <c r="I55" i="3"/>
  <c r="W55" i="3" s="1"/>
  <c r="H55" i="3"/>
  <c r="K55" i="3"/>
  <c r="AD55" i="3"/>
  <c r="Z55" i="3"/>
  <c r="AA55" i="3" s="1"/>
  <c r="AB55" i="3"/>
  <c r="AO55" i="3" s="1"/>
  <c r="AR55" i="3" s="1"/>
  <c r="AS55" i="3" s="1"/>
  <c r="BL55" i="3"/>
  <c r="BP55" i="3" s="1"/>
  <c r="BK55" i="3" s="1"/>
  <c r="BO55" i="3" s="1"/>
  <c r="AQ55" i="3"/>
  <c r="BA55" i="3" s="1"/>
  <c r="AZ55" i="3"/>
  <c r="AT55" i="3"/>
  <c r="C54" i="3" a="1"/>
  <c r="AU55" i="3" l="1"/>
  <c r="AV55" i="3" s="1"/>
  <c r="AL55" i="3"/>
  <c r="U55" i="3"/>
  <c r="BN55" i="3"/>
  <c r="AJ55" i="3"/>
  <c r="AW55" i="3"/>
  <c r="AX55" i="3" s="1"/>
  <c r="BB55" i="3"/>
  <c r="BC55" i="3" s="1"/>
  <c r="AY55" i="3"/>
  <c r="C54" i="3"/>
  <c r="D54" i="3" a="1"/>
  <c r="AK55" i="3" a="1"/>
  <c r="AK55" i="3" l="1"/>
  <c r="BF55" i="3"/>
  <c r="BM55" i="3"/>
  <c r="BD55" i="3"/>
  <c r="D54" i="3"/>
  <c r="AE55" i="3"/>
  <c r="AM55" i="3"/>
  <c r="E54" i="3" a="1"/>
  <c r="F54" i="3" a="1"/>
  <c r="E54" i="3" l="1"/>
  <c r="AN55" i="3"/>
  <c r="AF55" i="3"/>
  <c r="F54" i="3"/>
  <c r="Y54" i="3"/>
  <c r="AH54" i="3"/>
  <c r="AI54" i="3" s="1"/>
  <c r="K54" i="3" a="1"/>
  <c r="L54" i="3" a="1"/>
  <c r="H54" i="3" a="1"/>
  <c r="J54" i="3" a="1"/>
  <c r="I54" i="3" a="1"/>
  <c r="G54" i="3" a="1"/>
  <c r="G54" i="3" l="1"/>
  <c r="I54" i="3"/>
  <c r="W54" i="3" s="1"/>
  <c r="J54" i="3"/>
  <c r="H54" i="3"/>
  <c r="L54" i="3"/>
  <c r="K54" i="3"/>
  <c r="AD54" i="3"/>
  <c r="Z54" i="3"/>
  <c r="AA54" i="3" s="1"/>
  <c r="AB54" i="3"/>
  <c r="AO54" i="3" s="1"/>
  <c r="AR54" i="3" s="1"/>
  <c r="AS54" i="3" s="1"/>
  <c r="BL54" i="3"/>
  <c r="BP54" i="3" s="1"/>
  <c r="BK54" i="3" s="1"/>
  <c r="BO54" i="3" s="1"/>
  <c r="AJ54" i="3"/>
  <c r="AQ54" i="3"/>
  <c r="BA54" i="3" s="1"/>
  <c r="AZ54" i="3"/>
  <c r="C53" i="3" a="1"/>
  <c r="AT54" i="3"/>
  <c r="AU54" i="3" l="1"/>
  <c r="AV54" i="3" s="1"/>
  <c r="AW54" i="3"/>
  <c r="AX54" i="3" s="1"/>
  <c r="BN54" i="3"/>
  <c r="AL54" i="3"/>
  <c r="U54" i="3"/>
  <c r="BB54" i="3"/>
  <c r="BD54" i="3" s="1"/>
  <c r="AY54" i="3"/>
  <c r="C53" i="3"/>
  <c r="D53" i="3" a="1"/>
  <c r="AK54" i="3" a="1"/>
  <c r="AK54" i="3" l="1"/>
  <c r="BF54" i="3"/>
  <c r="BM54" i="3"/>
  <c r="BC54" i="3"/>
  <c r="D53" i="3"/>
  <c r="AE54" i="3"/>
  <c r="AM54" i="3"/>
  <c r="E53" i="3" a="1"/>
  <c r="F53" i="3" a="1"/>
  <c r="E53" i="3" l="1"/>
  <c r="AN54" i="3"/>
  <c r="AF54" i="3"/>
  <c r="F53" i="3"/>
  <c r="Y53" i="3"/>
  <c r="AH53" i="3"/>
  <c r="AI53" i="3" s="1"/>
  <c r="K53" i="3" a="1"/>
  <c r="G53" i="3" a="1"/>
  <c r="I53" i="3" a="1"/>
  <c r="L53" i="3" a="1"/>
  <c r="J53" i="3" a="1"/>
  <c r="H53" i="3" a="1"/>
  <c r="H53" i="3" l="1"/>
  <c r="J53" i="3"/>
  <c r="L53" i="3"/>
  <c r="AB53" i="3" s="1"/>
  <c r="AO53" i="3" s="1"/>
  <c r="I53" i="3"/>
  <c r="W53" i="3" s="1"/>
  <c r="G53" i="3"/>
  <c r="AZ53" i="3" s="1"/>
  <c r="K53" i="3"/>
  <c r="AD53" i="3"/>
  <c r="Z53" i="3"/>
  <c r="AA53" i="3" s="1"/>
  <c r="BL53" i="3"/>
  <c r="BP53" i="3" s="1"/>
  <c r="BK53" i="3" s="1"/>
  <c r="BO53" i="3" s="1"/>
  <c r="AR53" i="3"/>
  <c r="AS53" i="3" s="1"/>
  <c r="AQ53" i="3"/>
  <c r="BA53" i="3" s="1"/>
  <c r="AW53" i="3"/>
  <c r="C52" i="3" a="1"/>
  <c r="AT53" i="3"/>
  <c r="AX53" i="3" l="1"/>
  <c r="BN53" i="3"/>
  <c r="AU53" i="3"/>
  <c r="AV53" i="3" s="1"/>
  <c r="U53" i="3"/>
  <c r="AL53" i="3"/>
  <c r="AJ53" i="3"/>
  <c r="BB53" i="3"/>
  <c r="BC53" i="3" s="1"/>
  <c r="AY53" i="3"/>
  <c r="C52" i="3"/>
  <c r="AK53" i="3" a="1"/>
  <c r="D52" i="3" a="1"/>
  <c r="AK53" i="3" l="1"/>
  <c r="BM53" i="3"/>
  <c r="BF53" i="3"/>
  <c r="BD53" i="3"/>
  <c r="D52" i="3"/>
  <c r="AM53" i="3"/>
  <c r="AE53" i="3"/>
  <c r="F52" i="3" a="1"/>
  <c r="E52" i="3" a="1"/>
  <c r="E52" i="3" l="1"/>
  <c r="AF53" i="3"/>
  <c r="AN53" i="3"/>
  <c r="F52" i="3"/>
  <c r="Y52" i="3"/>
  <c r="AH52" i="3"/>
  <c r="AI52" i="3" s="1"/>
  <c r="K52" i="3" a="1"/>
  <c r="L52" i="3" a="1"/>
  <c r="G52" i="3" a="1"/>
  <c r="I52" i="3" a="1"/>
  <c r="J52" i="3" a="1"/>
  <c r="H52" i="3" a="1"/>
  <c r="H52" i="3" l="1"/>
  <c r="J52" i="3"/>
  <c r="I52" i="3"/>
  <c r="W52" i="3" s="1"/>
  <c r="G52" i="3"/>
  <c r="L52" i="3"/>
  <c r="K52" i="3"/>
  <c r="AD52" i="3"/>
  <c r="Z52" i="3"/>
  <c r="AA52" i="3" s="1"/>
  <c r="AB52" i="3"/>
  <c r="AO52" i="3" s="1"/>
  <c r="AR52" i="3" s="1"/>
  <c r="AS52" i="3" s="1"/>
  <c r="BL52" i="3"/>
  <c r="BP52" i="3" s="1"/>
  <c r="BK52" i="3" s="1"/>
  <c r="BO52" i="3" s="1"/>
  <c r="AQ52" i="3"/>
  <c r="BA52" i="3" s="1"/>
  <c r="AZ52" i="3"/>
  <c r="AT52" i="3"/>
  <c r="C51" i="3" a="1"/>
  <c r="BN52" i="3" l="1"/>
  <c r="AU52" i="3"/>
  <c r="AV52" i="3" s="1"/>
  <c r="AW52" i="3"/>
  <c r="AX52" i="3" s="1"/>
  <c r="U52" i="3"/>
  <c r="AL52" i="3"/>
  <c r="AJ52" i="3"/>
  <c r="BB52" i="3"/>
  <c r="BF52" i="3" s="1"/>
  <c r="AY52" i="3"/>
  <c r="C51" i="3"/>
  <c r="AK52" i="3" a="1"/>
  <c r="D51" i="3" a="1"/>
  <c r="AK52" i="3" l="1"/>
  <c r="BM52" i="3"/>
  <c r="BC52" i="3"/>
  <c r="BD52" i="3"/>
  <c r="D51" i="3"/>
  <c r="AM52" i="3"/>
  <c r="AE52" i="3"/>
  <c r="E51" i="3" a="1"/>
  <c r="F51" i="3" a="1"/>
  <c r="E51" i="3" l="1"/>
  <c r="AF52" i="3"/>
  <c r="AN52" i="3"/>
  <c r="F51" i="3"/>
  <c r="Y51" i="3"/>
  <c r="AH51" i="3"/>
  <c r="AI51" i="3" s="1"/>
  <c r="K51" i="3" a="1"/>
  <c r="L51" i="3" a="1"/>
  <c r="G51" i="3" a="1"/>
  <c r="I51" i="3" a="1"/>
  <c r="H51" i="3" a="1"/>
  <c r="J51" i="3" a="1"/>
  <c r="J51" i="3" l="1"/>
  <c r="H51" i="3"/>
  <c r="I51" i="3"/>
  <c r="W51" i="3" s="1"/>
  <c r="G51" i="3"/>
  <c r="AZ51" i="3" s="1"/>
  <c r="L51" i="3"/>
  <c r="K51" i="3"/>
  <c r="AD51" i="3"/>
  <c r="Z51" i="3"/>
  <c r="AA51" i="3" s="1"/>
  <c r="AB51" i="3"/>
  <c r="AO51" i="3" s="1"/>
  <c r="AR51" i="3" s="1"/>
  <c r="AS51" i="3" s="1"/>
  <c r="BL51" i="3"/>
  <c r="BP51" i="3" s="1"/>
  <c r="BK51" i="3" s="1"/>
  <c r="BO51" i="3" s="1"/>
  <c r="AQ51" i="3"/>
  <c r="BA51" i="3" s="1"/>
  <c r="AW51" i="3"/>
  <c r="AX51" i="3" s="1"/>
  <c r="C50" i="3" a="1"/>
  <c r="AT51" i="3"/>
  <c r="BN51" i="3" l="1"/>
  <c r="AU51" i="3"/>
  <c r="AV51" i="3" s="1"/>
  <c r="U51" i="3"/>
  <c r="AL51" i="3"/>
  <c r="AJ51" i="3"/>
  <c r="BB51" i="3"/>
  <c r="BC51" i="3" s="1"/>
  <c r="AY51" i="3"/>
  <c r="C50" i="3"/>
  <c r="AK51" i="3" a="1"/>
  <c r="D50" i="3" a="1"/>
  <c r="AK51" i="3" l="1"/>
  <c r="BF51" i="3"/>
  <c r="BM51" i="3"/>
  <c r="BD51" i="3"/>
  <c r="D50" i="3"/>
  <c r="Y50" i="3"/>
  <c r="AM51" i="3"/>
  <c r="AE51" i="3"/>
  <c r="J50" i="3" a="1"/>
  <c r="L50" i="3" a="1"/>
  <c r="I50" i="3" a="1"/>
  <c r="E50" i="3" a="1"/>
  <c r="F50" i="3" a="1"/>
  <c r="K50" i="3" a="1"/>
  <c r="H50" i="3" a="1"/>
  <c r="G50" i="3" a="1"/>
  <c r="G50" i="3" l="1"/>
  <c r="H50" i="3"/>
  <c r="K50" i="3"/>
  <c r="F50" i="3"/>
  <c r="AZ50" i="3" s="1"/>
  <c r="E50" i="3"/>
  <c r="I50" i="3"/>
  <c r="W50" i="3" s="1"/>
  <c r="L50" i="3"/>
  <c r="J50" i="3"/>
  <c r="AF51" i="3"/>
  <c r="AN51" i="3"/>
  <c r="Z50" i="3"/>
  <c r="AA50" i="3" s="1"/>
  <c r="AB50" i="3"/>
  <c r="AO50" i="3" s="1"/>
  <c r="AR50" i="3" s="1"/>
  <c r="BL50" i="3"/>
  <c r="BP50" i="3" s="1"/>
  <c r="BK50" i="3" s="1"/>
  <c r="BO50" i="3" s="1"/>
  <c r="AQ50" i="3"/>
  <c r="BA50" i="3" s="1"/>
  <c r="BN50" i="3"/>
  <c r="C49" i="3" a="1"/>
  <c r="AW50" i="3" l="1"/>
  <c r="AX50" i="3" s="1"/>
  <c r="AH50" i="3"/>
  <c r="AI50" i="3" s="1"/>
  <c r="AL50" i="3"/>
  <c r="U50" i="3"/>
  <c r="BB50" i="3"/>
  <c r="BD50" i="3" s="1"/>
  <c r="C49" i="3"/>
  <c r="D49" i="3" a="1"/>
  <c r="AK50" i="3" a="1"/>
  <c r="AK50" i="3" l="1"/>
  <c r="AD50" i="3"/>
  <c r="AJ50" i="3"/>
  <c r="AS50" i="3"/>
  <c r="BC50" i="3"/>
  <c r="BF50" i="3"/>
  <c r="BM50" i="3"/>
  <c r="D49" i="3"/>
  <c r="AE50" i="3"/>
  <c r="AM50" i="3"/>
  <c r="AT50" i="3"/>
  <c r="E49" i="3" a="1"/>
  <c r="F49" i="3" a="1"/>
  <c r="E49" i="3" l="1"/>
  <c r="AU50" i="3"/>
  <c r="AV50" i="3" s="1"/>
  <c r="AY50" i="3" s="1"/>
  <c r="AN50" i="3"/>
  <c r="AF50" i="3"/>
  <c r="F49" i="3"/>
  <c r="Y49" i="3"/>
  <c r="AH49" i="3"/>
  <c r="AI49" i="3" s="1"/>
  <c r="K49" i="3" a="1"/>
  <c r="H49" i="3" a="1"/>
  <c r="I49" i="3" a="1"/>
  <c r="L49" i="3" a="1"/>
  <c r="G49" i="3" a="1"/>
  <c r="J49" i="3" a="1"/>
  <c r="J49" i="3" l="1"/>
  <c r="G49" i="3"/>
  <c r="AZ49" i="3" s="1"/>
  <c r="L49" i="3"/>
  <c r="AB49" i="3" s="1"/>
  <c r="AO49" i="3" s="1"/>
  <c r="I49" i="3"/>
  <c r="W49" i="3" s="1"/>
  <c r="H49" i="3"/>
  <c r="K49" i="3"/>
  <c r="AD49" i="3"/>
  <c r="Z49" i="3"/>
  <c r="AA49" i="3" s="1"/>
  <c r="BL49" i="3"/>
  <c r="BP49" i="3" s="1"/>
  <c r="BK49" i="3" s="1"/>
  <c r="BO49" i="3" s="1"/>
  <c r="AR49" i="3"/>
  <c r="AS49" i="3" s="1"/>
  <c r="AQ49" i="3"/>
  <c r="BA49" i="3" s="1"/>
  <c r="AW49" i="3"/>
  <c r="C48" i="3" a="1"/>
  <c r="AT49" i="3"/>
  <c r="AX49" i="3" l="1"/>
  <c r="BN49" i="3"/>
  <c r="AU49" i="3"/>
  <c r="AV49" i="3" s="1"/>
  <c r="U49" i="3"/>
  <c r="AL49" i="3"/>
  <c r="AJ49" i="3"/>
  <c r="BB49" i="3"/>
  <c r="BC49" i="3" s="1"/>
  <c r="AY49" i="3"/>
  <c r="C48" i="3"/>
  <c r="AK49" i="3" a="1"/>
  <c r="D48" i="3" a="1"/>
  <c r="AK49" i="3" l="1"/>
  <c r="BF49" i="3"/>
  <c r="BM49" i="3"/>
  <c r="BD49" i="3"/>
  <c r="D48" i="3"/>
  <c r="AM49" i="3"/>
  <c r="AE49" i="3"/>
  <c r="E48" i="3" a="1"/>
  <c r="F48" i="3" a="1"/>
  <c r="E48" i="3" l="1"/>
  <c r="AF49" i="3"/>
  <c r="AN49" i="3"/>
  <c r="F48" i="3"/>
  <c r="Y48" i="3"/>
  <c r="AH48" i="3"/>
  <c r="AI48" i="3" s="1"/>
  <c r="K48" i="3" a="1"/>
  <c r="L48" i="3" a="1"/>
  <c r="H48" i="3" a="1"/>
  <c r="G48" i="3" a="1"/>
  <c r="I48" i="3" a="1"/>
  <c r="J48" i="3" a="1"/>
  <c r="J48" i="3" l="1"/>
  <c r="I48" i="3"/>
  <c r="W48" i="3" s="1"/>
  <c r="G48" i="3"/>
  <c r="AZ48" i="3" s="1"/>
  <c r="H48" i="3"/>
  <c r="L48" i="3"/>
  <c r="K48" i="3"/>
  <c r="AD48" i="3"/>
  <c r="Z48" i="3"/>
  <c r="AA48" i="3" s="1"/>
  <c r="AB48" i="3"/>
  <c r="AO48" i="3" s="1"/>
  <c r="AR48" i="3" s="1"/>
  <c r="AS48" i="3" s="1"/>
  <c r="BL48" i="3"/>
  <c r="BP48" i="3" s="1"/>
  <c r="BK48" i="3" s="1"/>
  <c r="BO48" i="3" s="1"/>
  <c r="AJ48" i="3"/>
  <c r="AQ48" i="3"/>
  <c r="BA48" i="3" s="1"/>
  <c r="C47" i="3" a="1"/>
  <c r="AT48" i="3"/>
  <c r="BN48" i="3" l="1"/>
  <c r="AU48" i="3"/>
  <c r="AV48" i="3" s="1"/>
  <c r="AW48" i="3"/>
  <c r="AX48" i="3" s="1"/>
  <c r="U48" i="3"/>
  <c r="AL48" i="3"/>
  <c r="BB48" i="3"/>
  <c r="BD48" i="3" s="1"/>
  <c r="AY48" i="3"/>
  <c r="C47" i="3"/>
  <c r="AK48" i="3" a="1"/>
  <c r="D47" i="3" a="1"/>
  <c r="AK48" i="3" l="1"/>
  <c r="BF48" i="3"/>
  <c r="BM48" i="3"/>
  <c r="BC48" i="3"/>
  <c r="D47" i="3"/>
  <c r="AE48" i="3"/>
  <c r="AM48" i="3"/>
  <c r="E47" i="3" a="1"/>
  <c r="F47" i="3" a="1"/>
  <c r="E47" i="3" l="1"/>
  <c r="AN48" i="3"/>
  <c r="AF48" i="3"/>
  <c r="F47" i="3"/>
  <c r="Y47" i="3"/>
  <c r="AH47" i="3"/>
  <c r="AI47" i="3" s="1"/>
  <c r="K47" i="3" a="1"/>
  <c r="L47" i="3" a="1"/>
  <c r="G47" i="3" a="1"/>
  <c r="H47" i="3" a="1"/>
  <c r="I47" i="3" a="1"/>
  <c r="J47" i="3" a="1"/>
  <c r="J47" i="3" l="1"/>
  <c r="I47" i="3"/>
  <c r="W47" i="3" s="1"/>
  <c r="H47" i="3"/>
  <c r="G47" i="3"/>
  <c r="AZ47" i="3" s="1"/>
  <c r="L47" i="3"/>
  <c r="K47" i="3"/>
  <c r="AD47" i="3"/>
  <c r="Z47" i="3"/>
  <c r="AA47" i="3" s="1"/>
  <c r="AB47" i="3"/>
  <c r="AO47" i="3" s="1"/>
  <c r="AR47" i="3" s="1"/>
  <c r="AS47" i="3" s="1"/>
  <c r="BL47" i="3"/>
  <c r="BP47" i="3" s="1"/>
  <c r="BK47" i="3" s="1"/>
  <c r="BO47" i="3" s="1"/>
  <c r="AJ47" i="3"/>
  <c r="AQ47" i="3"/>
  <c r="BA47" i="3" s="1"/>
  <c r="C46" i="3" a="1"/>
  <c r="AT47" i="3"/>
  <c r="AW47" i="3" l="1"/>
  <c r="AX47" i="3" s="1"/>
  <c r="BN47" i="3"/>
  <c r="AU47" i="3"/>
  <c r="AV47" i="3" s="1"/>
  <c r="AL47" i="3"/>
  <c r="U47" i="3"/>
  <c r="BB47" i="3"/>
  <c r="BC47" i="3" s="1"/>
  <c r="AY47" i="3"/>
  <c r="C46" i="3"/>
  <c r="D46" i="3" a="1"/>
  <c r="AK47" i="3" a="1"/>
  <c r="AK47" i="3" l="1"/>
  <c r="BM47" i="3"/>
  <c r="BD47" i="3"/>
  <c r="BF47" i="3"/>
  <c r="D46" i="3"/>
  <c r="AE47" i="3"/>
  <c r="AM47" i="3"/>
  <c r="E46" i="3" a="1"/>
  <c r="F46" i="3" a="1"/>
  <c r="E46" i="3" l="1"/>
  <c r="AN47" i="3"/>
  <c r="AF47" i="3"/>
  <c r="F46" i="3"/>
  <c r="Y46" i="3"/>
  <c r="AH46" i="3"/>
  <c r="AI46" i="3" s="1"/>
  <c r="K46" i="3" a="1"/>
  <c r="G46" i="3" a="1"/>
  <c r="I46" i="3" a="1"/>
  <c r="L46" i="3" a="1"/>
  <c r="H46" i="3" a="1"/>
  <c r="J46" i="3" a="1"/>
  <c r="J46" i="3" l="1"/>
  <c r="H46" i="3"/>
  <c r="L46" i="3"/>
  <c r="I46" i="3"/>
  <c r="W46" i="3" s="1"/>
  <c r="G46" i="3"/>
  <c r="K46" i="3"/>
  <c r="AD46" i="3"/>
  <c r="Z46" i="3"/>
  <c r="AA46" i="3" s="1"/>
  <c r="AB46" i="3"/>
  <c r="AO46" i="3" s="1"/>
  <c r="BL46" i="3"/>
  <c r="BP46" i="3" s="1"/>
  <c r="BK46" i="3" s="1"/>
  <c r="U46" i="3" l="1"/>
  <c r="AL46" i="3"/>
  <c r="AJ46" i="3"/>
  <c r="AR46" i="3"/>
  <c r="AS46" i="3" s="1"/>
  <c r="AQ46" i="3"/>
  <c r="BA46" i="3" s="1"/>
  <c r="AW46" i="3"/>
  <c r="AZ46" i="3"/>
  <c r="BN46" i="3"/>
  <c r="BO46" i="3"/>
  <c r="AK46" i="3" a="1"/>
  <c r="C45" i="3" a="1"/>
  <c r="AT46" i="3"/>
  <c r="AX46" i="3" l="1"/>
  <c r="AU46" i="3"/>
  <c r="AV46" i="3" s="1"/>
  <c r="AK46" i="3"/>
  <c r="BB46" i="3"/>
  <c r="BM46" i="3" s="1"/>
  <c r="AY46" i="3"/>
  <c r="C45" i="3"/>
  <c r="AM46" i="3"/>
  <c r="AE46" i="3"/>
  <c r="D45" i="3" a="1"/>
  <c r="AF46" i="3" l="1"/>
  <c r="AN46" i="3"/>
  <c r="BC46" i="3"/>
  <c r="BD46" i="3"/>
  <c r="BF46" i="3"/>
  <c r="D45" i="3"/>
  <c r="F45" i="3" a="1"/>
  <c r="E45" i="3" a="1"/>
  <c r="E45" i="3" l="1"/>
  <c r="F45" i="3"/>
  <c r="Y45" i="3"/>
  <c r="AH45" i="3"/>
  <c r="AI45" i="3" s="1"/>
  <c r="L45" i="3" a="1"/>
  <c r="H45" i="3" a="1"/>
  <c r="I45" i="3" a="1"/>
  <c r="J45" i="3" a="1"/>
  <c r="G45" i="3" a="1"/>
  <c r="K45" i="3" a="1"/>
  <c r="K45" i="3" l="1"/>
  <c r="G45" i="3"/>
  <c r="J45" i="3"/>
  <c r="I45" i="3"/>
  <c r="W45" i="3" s="1"/>
  <c r="H45" i="3"/>
  <c r="L45" i="3"/>
  <c r="AB45" i="3" s="1"/>
  <c r="AO45" i="3" s="1"/>
  <c r="AR45" i="3" s="1"/>
  <c r="AS45" i="3" s="1"/>
  <c r="AD45" i="3"/>
  <c r="Z45" i="3"/>
  <c r="AA45" i="3" s="1"/>
  <c r="BL45" i="3"/>
  <c r="BP45" i="3" s="1"/>
  <c r="BK45" i="3" s="1"/>
  <c r="BO45" i="3" s="1"/>
  <c r="AW45" i="3"/>
  <c r="AZ45" i="3"/>
  <c r="C44" i="3" a="1"/>
  <c r="AT45" i="3"/>
  <c r="BN45" i="3" l="1"/>
  <c r="AU45" i="3"/>
  <c r="AV45" i="3" s="1"/>
  <c r="AQ45" i="3"/>
  <c r="BA45" i="3" s="1"/>
  <c r="AJ45" i="3"/>
  <c r="U45" i="3"/>
  <c r="AL45" i="3"/>
  <c r="BB45" i="3"/>
  <c r="BF45" i="3" s="1"/>
  <c r="C44" i="3"/>
  <c r="D44" i="3" a="1"/>
  <c r="AK45" i="3" a="1"/>
  <c r="AK45" i="3" l="1"/>
  <c r="AX45" i="3"/>
  <c r="AY45" i="3" s="1"/>
  <c r="BM45" i="3"/>
  <c r="BC45" i="3"/>
  <c r="BD45" i="3"/>
  <c r="D44" i="3"/>
  <c r="AM45" i="3"/>
  <c r="AE45" i="3"/>
  <c r="E44" i="3" a="1"/>
  <c r="F44" i="3" a="1"/>
  <c r="E44" i="3" l="1"/>
  <c r="AF45" i="3"/>
  <c r="AN45" i="3"/>
  <c r="F44" i="3"/>
  <c r="Y44" i="3"/>
  <c r="AH44" i="3"/>
  <c r="AI44" i="3" s="1"/>
  <c r="K44" i="3" a="1"/>
  <c r="L44" i="3" a="1"/>
  <c r="G44" i="3" a="1"/>
  <c r="H44" i="3" a="1"/>
  <c r="I44" i="3" a="1"/>
  <c r="J44" i="3" a="1"/>
  <c r="J44" i="3" l="1"/>
  <c r="I44" i="3"/>
  <c r="W44" i="3" s="1"/>
  <c r="H44" i="3"/>
  <c r="G44" i="3"/>
  <c r="L44" i="3"/>
  <c r="AB44" i="3" s="1"/>
  <c r="AO44" i="3" s="1"/>
  <c r="AR44" i="3" s="1"/>
  <c r="AS44" i="3" s="1"/>
  <c r="K44" i="3"/>
  <c r="AD44" i="3"/>
  <c r="Z44" i="3"/>
  <c r="AA44" i="3" s="1"/>
  <c r="BL44" i="3"/>
  <c r="BP44" i="3" s="1"/>
  <c r="BK44" i="3" s="1"/>
  <c r="BO44" i="3" s="1"/>
  <c r="AQ44" i="3"/>
  <c r="BA44" i="3" s="1"/>
  <c r="AW44" i="3"/>
  <c r="AX44" i="3" s="1"/>
  <c r="AZ44" i="3"/>
  <c r="C43" i="3" a="1"/>
  <c r="AT44" i="3"/>
  <c r="BN44" i="3" l="1"/>
  <c r="AU44" i="3"/>
  <c r="AV44" i="3" s="1"/>
  <c r="U44" i="3"/>
  <c r="AL44" i="3"/>
  <c r="AJ44" i="3"/>
  <c r="BB44" i="3"/>
  <c r="BD44" i="3" s="1"/>
  <c r="AY44" i="3"/>
  <c r="C43" i="3"/>
  <c r="AK44" i="3" a="1"/>
  <c r="D43" i="3" a="1"/>
  <c r="AK44" i="3" l="1"/>
  <c r="BM44" i="3"/>
  <c r="BF44" i="3"/>
  <c r="BC44" i="3"/>
  <c r="D43" i="3"/>
  <c r="AM44" i="3"/>
  <c r="AE44" i="3"/>
  <c r="F43" i="3" a="1"/>
  <c r="E43" i="3" a="1"/>
  <c r="E43" i="3" l="1"/>
  <c r="AF44" i="3"/>
  <c r="AN44" i="3"/>
  <c r="F43" i="3"/>
  <c r="Y43" i="3"/>
  <c r="AH43" i="3"/>
  <c r="AI43" i="3" s="1"/>
  <c r="K43" i="3" a="1"/>
  <c r="L43" i="3" a="1"/>
  <c r="G43" i="3" a="1"/>
  <c r="H43" i="3" a="1"/>
  <c r="I43" i="3" a="1"/>
  <c r="J43" i="3" a="1"/>
  <c r="J43" i="3" l="1"/>
  <c r="I43" i="3"/>
  <c r="W43" i="3" s="1"/>
  <c r="H43" i="3"/>
  <c r="G43" i="3"/>
  <c r="AZ43" i="3" s="1"/>
  <c r="L43" i="3"/>
  <c r="K43" i="3"/>
  <c r="AD43" i="3"/>
  <c r="Z43" i="3"/>
  <c r="AA43" i="3" s="1"/>
  <c r="AB43" i="3"/>
  <c r="AO43" i="3" s="1"/>
  <c r="AR43" i="3" s="1"/>
  <c r="AS43" i="3" s="1"/>
  <c r="BL43" i="3"/>
  <c r="BP43" i="3" s="1"/>
  <c r="BK43" i="3" s="1"/>
  <c r="BO43" i="3" s="1"/>
  <c r="AJ43" i="3"/>
  <c r="AQ43" i="3"/>
  <c r="BA43" i="3" s="1"/>
  <c r="C42" i="3" a="1"/>
  <c r="AT43" i="3"/>
  <c r="AW43" i="3" l="1"/>
  <c r="AX43" i="3" s="1"/>
  <c r="BN43" i="3"/>
  <c r="AU43" i="3"/>
  <c r="AV43" i="3" s="1"/>
  <c r="AL43" i="3"/>
  <c r="U43" i="3"/>
  <c r="BB43" i="3"/>
  <c r="BC43" i="3" s="1"/>
  <c r="AY43" i="3"/>
  <c r="C42" i="3"/>
  <c r="AK43" i="3" a="1"/>
  <c r="D42" i="3" a="1"/>
  <c r="AK43" i="3" l="1"/>
  <c r="BM43" i="3"/>
  <c r="BD43" i="3"/>
  <c r="BF43" i="3"/>
  <c r="D42" i="3"/>
  <c r="AE43" i="3"/>
  <c r="AM43" i="3"/>
  <c r="E42" i="3" a="1"/>
  <c r="F42" i="3" a="1"/>
  <c r="E42" i="3" l="1"/>
  <c r="AN43" i="3"/>
  <c r="AF43" i="3"/>
  <c r="F42" i="3"/>
  <c r="Y42" i="3"/>
  <c r="AH42" i="3"/>
  <c r="AI42" i="3" s="1"/>
  <c r="K42" i="3" a="1"/>
  <c r="G42" i="3" a="1"/>
  <c r="H42" i="3" a="1"/>
  <c r="J42" i="3" a="1"/>
  <c r="L42" i="3" a="1"/>
  <c r="I42" i="3" a="1"/>
  <c r="I42" i="3" l="1"/>
  <c r="W42" i="3" s="1"/>
  <c r="L42" i="3"/>
  <c r="J42" i="3"/>
  <c r="H42" i="3"/>
  <c r="G42" i="3"/>
  <c r="AZ42" i="3" s="1"/>
  <c r="K42" i="3"/>
  <c r="AD42" i="3"/>
  <c r="Z42" i="3"/>
  <c r="AA42" i="3" s="1"/>
  <c r="AB42" i="3"/>
  <c r="AO42" i="3" s="1"/>
  <c r="AR42" i="3" s="1"/>
  <c r="AS42" i="3" s="1"/>
  <c r="BL42" i="3"/>
  <c r="BP42" i="3" s="1"/>
  <c r="BK42" i="3" s="1"/>
  <c r="BO42" i="3" s="1"/>
  <c r="AJ42" i="3"/>
  <c r="AQ42" i="3"/>
  <c r="BA42" i="3" s="1"/>
  <c r="C41" i="3" a="1"/>
  <c r="AT42" i="3"/>
  <c r="AW42" i="3" l="1"/>
  <c r="AX42" i="3" s="1"/>
  <c r="BN42" i="3"/>
  <c r="AU42" i="3"/>
  <c r="AV42" i="3" s="1"/>
  <c r="AL42" i="3"/>
  <c r="U42" i="3"/>
  <c r="BB42" i="3"/>
  <c r="BD42" i="3" s="1"/>
  <c r="AY42" i="3"/>
  <c r="C41" i="3"/>
  <c r="AK42" i="3" a="1"/>
  <c r="D41" i="3" a="1"/>
  <c r="AK42" i="3" l="1"/>
  <c r="BC42" i="3"/>
  <c r="BM42" i="3"/>
  <c r="BF42" i="3"/>
  <c r="D41" i="3"/>
  <c r="AE42" i="3"/>
  <c r="AM42" i="3"/>
  <c r="E41" i="3" a="1"/>
  <c r="F41" i="3" a="1"/>
  <c r="E41" i="3" l="1"/>
  <c r="AN42" i="3"/>
  <c r="AF42" i="3"/>
  <c r="F41" i="3"/>
  <c r="Y41" i="3"/>
  <c r="AH41" i="3"/>
  <c r="AI41" i="3" s="1"/>
  <c r="K41" i="3" a="1"/>
  <c r="L41" i="3" a="1"/>
  <c r="G41" i="3" a="1"/>
  <c r="H41" i="3" a="1"/>
  <c r="I41" i="3" a="1"/>
  <c r="J41" i="3" a="1"/>
  <c r="J41" i="3" l="1"/>
  <c r="I41" i="3"/>
  <c r="W41" i="3" s="1"/>
  <c r="H41" i="3"/>
  <c r="G41" i="3"/>
  <c r="L41" i="3"/>
  <c r="K41" i="3"/>
  <c r="AD41" i="3"/>
  <c r="Z41" i="3"/>
  <c r="AA41" i="3" s="1"/>
  <c r="AB41" i="3"/>
  <c r="AO41" i="3" s="1"/>
  <c r="AR41" i="3" s="1"/>
  <c r="AS41" i="3" s="1"/>
  <c r="BL41" i="3"/>
  <c r="BP41" i="3" s="1"/>
  <c r="BK41" i="3" s="1"/>
  <c r="BO41" i="3" s="1"/>
  <c r="AJ41" i="3"/>
  <c r="AQ41" i="3"/>
  <c r="BA41" i="3" s="1"/>
  <c r="AZ41" i="3"/>
  <c r="C40" i="3" a="1"/>
  <c r="AT41" i="3"/>
  <c r="AW41" i="3" l="1"/>
  <c r="AX41" i="3" s="1"/>
  <c r="BN41" i="3"/>
  <c r="AU41" i="3"/>
  <c r="AV41" i="3" s="1"/>
  <c r="AL41" i="3"/>
  <c r="U41" i="3"/>
  <c r="BB41" i="3"/>
  <c r="BD41" i="3" s="1"/>
  <c r="AY41" i="3"/>
  <c r="C40" i="3"/>
  <c r="AK41" i="3" a="1"/>
  <c r="D40" i="3" a="1"/>
  <c r="AK41" i="3" l="1"/>
  <c r="BM41" i="3"/>
  <c r="BC41" i="3"/>
  <c r="BF41" i="3"/>
  <c r="D40" i="3"/>
  <c r="AE41" i="3"/>
  <c r="AM41" i="3"/>
  <c r="E40" i="3" a="1"/>
  <c r="F40" i="3" a="1"/>
  <c r="E40" i="3" l="1"/>
  <c r="AN41" i="3"/>
  <c r="AF41" i="3"/>
  <c r="F40" i="3"/>
  <c r="Y40" i="3"/>
  <c r="AH40" i="3"/>
  <c r="AI40" i="3" s="1"/>
  <c r="K40" i="3" a="1"/>
  <c r="G40" i="3" a="1"/>
  <c r="H40" i="3" a="1"/>
  <c r="J40" i="3" a="1"/>
  <c r="L40" i="3" a="1"/>
  <c r="I40" i="3" a="1"/>
  <c r="I40" i="3" l="1"/>
  <c r="W40" i="3" s="1"/>
  <c r="L40" i="3"/>
  <c r="AB40" i="3" s="1"/>
  <c r="AO40" i="3" s="1"/>
  <c r="AR40" i="3" s="1"/>
  <c r="AS40" i="3" s="1"/>
  <c r="J40" i="3"/>
  <c r="H40" i="3"/>
  <c r="G40" i="3"/>
  <c r="AZ40" i="3" s="1"/>
  <c r="K40" i="3"/>
  <c r="AD40" i="3"/>
  <c r="Z40" i="3"/>
  <c r="AA40" i="3" s="1"/>
  <c r="BL40" i="3"/>
  <c r="BP40" i="3" s="1"/>
  <c r="BK40" i="3" s="1"/>
  <c r="BO40" i="3" s="1"/>
  <c r="AJ40" i="3"/>
  <c r="AQ40" i="3"/>
  <c r="BA40" i="3" s="1"/>
  <c r="AW40" i="3"/>
  <c r="AX40" i="3" s="1"/>
  <c r="C39" i="3" a="1"/>
  <c r="AT40" i="3"/>
  <c r="AU40" i="3" l="1"/>
  <c r="AV40" i="3" s="1"/>
  <c r="BN40" i="3"/>
  <c r="U40" i="3"/>
  <c r="AL40" i="3"/>
  <c r="BB40" i="3"/>
  <c r="BF40" i="3" s="1"/>
  <c r="AY40" i="3"/>
  <c r="C39" i="3"/>
  <c r="AK40" i="3" a="1"/>
  <c r="D39" i="3" a="1"/>
  <c r="AK40" i="3" l="1"/>
  <c r="BD40" i="3"/>
  <c r="BC40" i="3"/>
  <c r="BM40" i="3"/>
  <c r="D39" i="3"/>
  <c r="AE40" i="3"/>
  <c r="AM40" i="3"/>
  <c r="E39" i="3" a="1"/>
  <c r="F39" i="3" a="1"/>
  <c r="E39" i="3" l="1"/>
  <c r="AN40" i="3"/>
  <c r="AF40" i="3"/>
  <c r="F39" i="3"/>
  <c r="Y39" i="3"/>
  <c r="AH39" i="3"/>
  <c r="AI39" i="3" s="1"/>
  <c r="K39" i="3" a="1"/>
  <c r="G39" i="3" a="1"/>
  <c r="H39" i="3" a="1"/>
  <c r="I39" i="3" a="1"/>
  <c r="J39" i="3" a="1"/>
  <c r="L39" i="3" a="1"/>
  <c r="L39" i="3" l="1"/>
  <c r="AB39" i="3" s="1"/>
  <c r="AO39" i="3" s="1"/>
  <c r="J39" i="3"/>
  <c r="I39" i="3"/>
  <c r="W39" i="3" s="1"/>
  <c r="H39" i="3"/>
  <c r="G39" i="3"/>
  <c r="AZ39" i="3" s="1"/>
  <c r="K39" i="3"/>
  <c r="AD39" i="3"/>
  <c r="Z39" i="3"/>
  <c r="AA39" i="3" s="1"/>
  <c r="BL39" i="3"/>
  <c r="BP39" i="3" s="1"/>
  <c r="BK39" i="3" s="1"/>
  <c r="BO39" i="3" s="1"/>
  <c r="AR39" i="3"/>
  <c r="AS39" i="3" s="1"/>
  <c r="AQ39" i="3"/>
  <c r="BA39" i="3" s="1"/>
  <c r="AW39" i="3"/>
  <c r="AX39" i="3" s="1"/>
  <c r="C38" i="3" a="1"/>
  <c r="AT39" i="3"/>
  <c r="BN39" i="3" l="1"/>
  <c r="AU39" i="3"/>
  <c r="AV39" i="3" s="1"/>
  <c r="AL39" i="3"/>
  <c r="U39" i="3"/>
  <c r="AJ39" i="3"/>
  <c r="BB39" i="3"/>
  <c r="BC39" i="3" s="1"/>
  <c r="AY39" i="3"/>
  <c r="C38" i="3"/>
  <c r="AK39" i="3" a="1"/>
  <c r="D38" i="3" a="1"/>
  <c r="AK39" i="3" l="1"/>
  <c r="BF39" i="3"/>
  <c r="BD39" i="3"/>
  <c r="BM39" i="3"/>
  <c r="D38" i="3"/>
  <c r="AM39" i="3"/>
  <c r="AE39" i="3"/>
  <c r="E38" i="3" a="1"/>
  <c r="F38" i="3" a="1"/>
  <c r="E38" i="3" l="1"/>
  <c r="AF39" i="3"/>
  <c r="AN39" i="3"/>
  <c r="F38" i="3"/>
  <c r="Y38" i="3"/>
  <c r="AH38" i="3"/>
  <c r="AI38" i="3" s="1"/>
  <c r="K38" i="3" a="1"/>
  <c r="L38" i="3" a="1"/>
  <c r="G38" i="3" a="1"/>
  <c r="I38" i="3" a="1"/>
  <c r="H38" i="3" a="1"/>
  <c r="J38" i="3" a="1"/>
  <c r="J38" i="3" l="1"/>
  <c r="H38" i="3"/>
  <c r="I38" i="3"/>
  <c r="W38" i="3" s="1"/>
  <c r="G38" i="3"/>
  <c r="L38" i="3"/>
  <c r="AB38" i="3" s="1"/>
  <c r="AO38" i="3" s="1"/>
  <c r="AR38" i="3" s="1"/>
  <c r="AS38" i="3" s="1"/>
  <c r="K38" i="3"/>
  <c r="AD38" i="3"/>
  <c r="Z38" i="3"/>
  <c r="AA38" i="3" s="1"/>
  <c r="BL38" i="3"/>
  <c r="BP38" i="3" s="1"/>
  <c r="BK38" i="3" s="1"/>
  <c r="BO38" i="3" s="1"/>
  <c r="AQ38" i="3"/>
  <c r="BA38" i="3" s="1"/>
  <c r="AW38" i="3"/>
  <c r="AX38" i="3" s="1"/>
  <c r="AZ38" i="3"/>
  <c r="C37" i="3" a="1"/>
  <c r="AT38" i="3"/>
  <c r="BN38" i="3" l="1"/>
  <c r="AU38" i="3"/>
  <c r="AV38" i="3" s="1"/>
  <c r="U38" i="3"/>
  <c r="AL38" i="3"/>
  <c r="AJ38" i="3"/>
  <c r="BB38" i="3"/>
  <c r="BC38" i="3" s="1"/>
  <c r="AY38" i="3"/>
  <c r="C37" i="3"/>
  <c r="AK38" i="3" a="1"/>
  <c r="D37" i="3" a="1"/>
  <c r="AK38" i="3" l="1"/>
  <c r="BM38" i="3"/>
  <c r="BF38" i="3"/>
  <c r="BD38" i="3"/>
  <c r="D37" i="3"/>
  <c r="AM38" i="3"/>
  <c r="AE38" i="3"/>
  <c r="E37" i="3" a="1"/>
  <c r="F37" i="3" a="1"/>
  <c r="E37" i="3" l="1"/>
  <c r="AF38" i="3"/>
  <c r="AN38" i="3"/>
  <c r="F37" i="3"/>
  <c r="Y37" i="3"/>
  <c r="AH37" i="3"/>
  <c r="AI37" i="3" s="1"/>
  <c r="K37" i="3" a="1"/>
  <c r="G37" i="3" a="1"/>
  <c r="H37" i="3" a="1"/>
  <c r="I37" i="3" a="1"/>
  <c r="L37" i="3" a="1"/>
  <c r="J37" i="3" a="1"/>
  <c r="J37" i="3" l="1"/>
  <c r="L37" i="3"/>
  <c r="I37" i="3"/>
  <c r="W37" i="3" s="1"/>
  <c r="H37" i="3"/>
  <c r="G37" i="3"/>
  <c r="K37" i="3"/>
  <c r="AD37" i="3"/>
  <c r="Z37" i="3"/>
  <c r="AA37" i="3" s="1"/>
  <c r="AB37" i="3"/>
  <c r="AO37" i="3" s="1"/>
  <c r="BL37" i="3"/>
  <c r="BP37" i="3" s="1"/>
  <c r="BK37" i="3" s="1"/>
  <c r="AL37" i="3" l="1"/>
  <c r="U37" i="3"/>
  <c r="AJ37" i="3"/>
  <c r="AR37" i="3"/>
  <c r="AS37" i="3" s="1"/>
  <c r="AQ37" i="3"/>
  <c r="BA37" i="3" s="1"/>
  <c r="AW37" i="3"/>
  <c r="AZ37" i="3"/>
  <c r="BN37" i="3"/>
  <c r="BO37" i="3"/>
  <c r="AK37" i="3" a="1"/>
  <c r="C36" i="3" a="1"/>
  <c r="AT37" i="3"/>
  <c r="AX37" i="3" l="1"/>
  <c r="AU37" i="3"/>
  <c r="AV37" i="3" s="1"/>
  <c r="AK37" i="3"/>
  <c r="BB37" i="3"/>
  <c r="BF37" i="3" s="1"/>
  <c r="AY37" i="3"/>
  <c r="C36" i="3"/>
  <c r="AM37" i="3"/>
  <c r="AE37" i="3"/>
  <c r="D36" i="3" a="1"/>
  <c r="AF37" i="3" l="1"/>
  <c r="AN37" i="3"/>
  <c r="BC37" i="3"/>
  <c r="BD37" i="3"/>
  <c r="BM37" i="3"/>
  <c r="D36" i="3"/>
  <c r="F36" i="3" a="1"/>
  <c r="E36" i="3" a="1"/>
  <c r="E36" i="3" l="1"/>
  <c r="F36" i="3"/>
  <c r="Y36" i="3"/>
  <c r="AH36" i="3"/>
  <c r="AI36" i="3" s="1"/>
  <c r="L36" i="3" a="1"/>
  <c r="G36" i="3" a="1"/>
  <c r="H36" i="3" a="1"/>
  <c r="K36" i="3" a="1"/>
  <c r="J36" i="3" a="1"/>
  <c r="I36" i="3" a="1"/>
  <c r="I36" i="3" l="1"/>
  <c r="W36" i="3" s="1"/>
  <c r="J36" i="3"/>
  <c r="K36" i="3"/>
  <c r="H36" i="3"/>
  <c r="G36" i="3"/>
  <c r="L36" i="3"/>
  <c r="AB36" i="3" s="1"/>
  <c r="AO36" i="3" s="1"/>
  <c r="AR36" i="3" s="1"/>
  <c r="AS36" i="3" s="1"/>
  <c r="AD36" i="3"/>
  <c r="Z36" i="3"/>
  <c r="AA36" i="3" s="1"/>
  <c r="BL36" i="3"/>
  <c r="BP36" i="3" s="1"/>
  <c r="BK36" i="3" s="1"/>
  <c r="BO36" i="3" s="1"/>
  <c r="AJ36" i="3"/>
  <c r="AW36" i="3"/>
  <c r="AZ36" i="3"/>
  <c r="C35" i="3" a="1"/>
  <c r="AT36" i="3"/>
  <c r="BN36" i="3" l="1"/>
  <c r="AU36" i="3"/>
  <c r="AV36" i="3" s="1"/>
  <c r="AQ36" i="3"/>
  <c r="BA36" i="3" s="1"/>
  <c r="U36" i="3"/>
  <c r="AL36" i="3"/>
  <c r="BB36" i="3"/>
  <c r="BD36" i="3" s="1"/>
  <c r="C35" i="3"/>
  <c r="D35" i="3" a="1"/>
  <c r="AK36" i="3" a="1"/>
  <c r="AK36" i="3" l="1"/>
  <c r="AX36" i="3"/>
  <c r="AY36" i="3" s="1"/>
  <c r="BF36" i="3"/>
  <c r="BC36" i="3"/>
  <c r="BM36" i="3"/>
  <c r="D35" i="3"/>
  <c r="AE36" i="3"/>
  <c r="AM36" i="3"/>
  <c r="F35" i="3" a="1"/>
  <c r="E35" i="3" a="1"/>
  <c r="E35" i="3" l="1"/>
  <c r="AN36" i="3"/>
  <c r="AF36" i="3"/>
  <c r="F35" i="3"/>
  <c r="Y35" i="3"/>
  <c r="AH35" i="3"/>
  <c r="AI35" i="3" s="1"/>
  <c r="K35" i="3" a="1"/>
  <c r="G35" i="3" a="1"/>
  <c r="H35" i="3" a="1"/>
  <c r="L35" i="3" a="1"/>
  <c r="I35" i="3" a="1"/>
  <c r="J35" i="3" a="1"/>
  <c r="J35" i="3" l="1"/>
  <c r="I35" i="3"/>
  <c r="W35" i="3" s="1"/>
  <c r="L35" i="3"/>
  <c r="AB35" i="3" s="1"/>
  <c r="AO35" i="3" s="1"/>
  <c r="AR35" i="3" s="1"/>
  <c r="AS35" i="3" s="1"/>
  <c r="H35" i="3"/>
  <c r="G35" i="3"/>
  <c r="K35" i="3"/>
  <c r="AD35" i="3"/>
  <c r="Z35" i="3"/>
  <c r="AA35" i="3" s="1"/>
  <c r="BL35" i="3"/>
  <c r="BP35" i="3" s="1"/>
  <c r="BK35" i="3" s="1"/>
  <c r="BO35" i="3" s="1"/>
  <c r="AQ35" i="3"/>
  <c r="BA35" i="3" s="1"/>
  <c r="AW35" i="3"/>
  <c r="AX35" i="3" s="1"/>
  <c r="AZ35" i="3"/>
  <c r="C34" i="3" a="1"/>
  <c r="AT35" i="3"/>
  <c r="BN35" i="3" l="1"/>
  <c r="AU35" i="3"/>
  <c r="AV35" i="3" s="1"/>
  <c r="U35" i="3"/>
  <c r="AL35" i="3"/>
  <c r="AJ35" i="3"/>
  <c r="BB35" i="3"/>
  <c r="BC35" i="3" s="1"/>
  <c r="AY35" i="3"/>
  <c r="C34" i="3"/>
  <c r="AK35" i="3" a="1"/>
  <c r="D34" i="3" a="1"/>
  <c r="AK35" i="3" l="1"/>
  <c r="BF35" i="3"/>
  <c r="BD35" i="3"/>
  <c r="BM35" i="3"/>
  <c r="D34" i="3"/>
  <c r="AM35" i="3"/>
  <c r="AE35" i="3"/>
  <c r="E34" i="3" a="1"/>
  <c r="F34" i="3" a="1"/>
  <c r="E34" i="3" l="1"/>
  <c r="AF35" i="3"/>
  <c r="AN35" i="3"/>
  <c r="F34" i="3"/>
  <c r="Y34" i="3"/>
  <c r="AH34" i="3"/>
  <c r="AI34" i="3" s="1"/>
  <c r="K34" i="3" a="1"/>
  <c r="G34" i="3" a="1"/>
  <c r="H34" i="3" a="1"/>
  <c r="J34" i="3" a="1"/>
  <c r="L34" i="3" a="1"/>
  <c r="I34" i="3" a="1"/>
  <c r="I34" i="3" l="1"/>
  <c r="W34" i="3" s="1"/>
  <c r="L34" i="3"/>
  <c r="AB34" i="3" s="1"/>
  <c r="AO34" i="3" s="1"/>
  <c r="J34" i="3"/>
  <c r="H34" i="3"/>
  <c r="G34" i="3"/>
  <c r="AZ34" i="3" s="1"/>
  <c r="K34" i="3"/>
  <c r="AD34" i="3"/>
  <c r="Z34" i="3"/>
  <c r="AA34" i="3" s="1"/>
  <c r="BL34" i="3"/>
  <c r="BP34" i="3" s="1"/>
  <c r="BK34" i="3" s="1"/>
  <c r="BO34" i="3" s="1"/>
  <c r="AJ34" i="3"/>
  <c r="AR34" i="3"/>
  <c r="AS34" i="3" s="1"/>
  <c r="AQ34" i="3"/>
  <c r="BA34" i="3" s="1"/>
  <c r="C33" i="3" a="1"/>
  <c r="AT34" i="3"/>
  <c r="AW34" i="3" l="1"/>
  <c r="AX34" i="3" s="1"/>
  <c r="BN34" i="3"/>
  <c r="AU34" i="3"/>
  <c r="AV34" i="3" s="1"/>
  <c r="AL34" i="3"/>
  <c r="U34" i="3"/>
  <c r="BB34" i="3"/>
  <c r="BF34" i="3" s="1"/>
  <c r="AY34" i="3"/>
  <c r="C33" i="3"/>
  <c r="AK34" i="3" a="1"/>
  <c r="D33" i="3" a="1"/>
  <c r="AK34" i="3" l="1"/>
  <c r="BC34" i="3"/>
  <c r="BM34" i="3"/>
  <c r="BD34" i="3"/>
  <c r="D33" i="3"/>
  <c r="AE34" i="3"/>
  <c r="AM34" i="3"/>
  <c r="F33" i="3" a="1"/>
  <c r="E33" i="3" a="1"/>
  <c r="E33" i="3" l="1"/>
  <c r="AN34" i="3"/>
  <c r="AF34" i="3"/>
  <c r="F33" i="3"/>
  <c r="Y33" i="3"/>
  <c r="AH33" i="3"/>
  <c r="AI33" i="3" s="1"/>
  <c r="K33" i="3" a="1"/>
  <c r="G33" i="3" a="1"/>
  <c r="J33" i="3" a="1"/>
  <c r="L33" i="3" a="1"/>
  <c r="H33" i="3" a="1"/>
  <c r="I33" i="3" a="1"/>
  <c r="I33" i="3" l="1"/>
  <c r="W33" i="3" s="1"/>
  <c r="H33" i="3"/>
  <c r="L33" i="3"/>
  <c r="AB33" i="3" s="1"/>
  <c r="AO33" i="3" s="1"/>
  <c r="J33" i="3"/>
  <c r="G33" i="3"/>
  <c r="AZ33" i="3" s="1"/>
  <c r="K33" i="3"/>
  <c r="AD33" i="3"/>
  <c r="Z33" i="3"/>
  <c r="AA33" i="3" s="1"/>
  <c r="BL33" i="3"/>
  <c r="BP33" i="3" s="1"/>
  <c r="BK33" i="3" s="1"/>
  <c r="BO33" i="3" s="1"/>
  <c r="AJ33" i="3"/>
  <c r="AR33" i="3"/>
  <c r="AS33" i="3" s="1"/>
  <c r="AQ33" i="3"/>
  <c r="BA33" i="3" s="1"/>
  <c r="C32" i="3" a="1"/>
  <c r="AT33" i="3"/>
  <c r="AW33" i="3" l="1"/>
  <c r="AX33" i="3" s="1"/>
  <c r="BN33" i="3"/>
  <c r="AU33" i="3"/>
  <c r="AV33" i="3" s="1"/>
  <c r="U33" i="3"/>
  <c r="AL33" i="3"/>
  <c r="BB33" i="3"/>
  <c r="BC33" i="3" s="1"/>
  <c r="AY33" i="3"/>
  <c r="C32" i="3"/>
  <c r="AK33" i="3" a="1"/>
  <c r="D32" i="3" a="1"/>
  <c r="AK33" i="3" l="1"/>
  <c r="BM33" i="3"/>
  <c r="BF33" i="3"/>
  <c r="BD33" i="3"/>
  <c r="D32" i="3"/>
  <c r="AE33" i="3"/>
  <c r="AM33" i="3"/>
  <c r="E32" i="3" a="1"/>
  <c r="F32" i="3" a="1"/>
  <c r="E32" i="3" l="1"/>
  <c r="AN33" i="3"/>
  <c r="AF33" i="3"/>
  <c r="F32" i="3"/>
  <c r="Y32" i="3"/>
  <c r="AH32" i="3"/>
  <c r="AI32" i="3" s="1"/>
  <c r="K32" i="3" a="1"/>
  <c r="L32" i="3" a="1"/>
  <c r="G32" i="3" a="1"/>
  <c r="H32" i="3" a="1"/>
  <c r="J32" i="3" a="1"/>
  <c r="I32" i="3" a="1"/>
  <c r="I32" i="3" l="1"/>
  <c r="W32" i="3" s="1"/>
  <c r="J32" i="3"/>
  <c r="H32" i="3"/>
  <c r="G32" i="3"/>
  <c r="AZ32" i="3" s="1"/>
  <c r="L32" i="3"/>
  <c r="AB32" i="3" s="1"/>
  <c r="AO32" i="3" s="1"/>
  <c r="AR32" i="3" s="1"/>
  <c r="AS32" i="3" s="1"/>
  <c r="K32" i="3"/>
  <c r="AD32" i="3"/>
  <c r="Z32" i="3"/>
  <c r="AA32" i="3" s="1"/>
  <c r="BL32" i="3"/>
  <c r="BP32" i="3" s="1"/>
  <c r="BK32" i="3" s="1"/>
  <c r="BO32" i="3" s="1"/>
  <c r="AJ32" i="3"/>
  <c r="AQ32" i="3"/>
  <c r="BA32" i="3" s="1"/>
  <c r="AW32" i="3"/>
  <c r="AX32" i="3" s="1"/>
  <c r="C31" i="3" a="1"/>
  <c r="AT32" i="3"/>
  <c r="BN32" i="3" l="1"/>
  <c r="AU32" i="3"/>
  <c r="AV32" i="3" s="1"/>
  <c r="U32" i="3"/>
  <c r="AL32" i="3"/>
  <c r="BB32" i="3"/>
  <c r="BD32" i="3" s="1"/>
  <c r="AY32" i="3"/>
  <c r="C31" i="3"/>
  <c r="AK32" i="3" a="1"/>
  <c r="D31" i="3" a="1"/>
  <c r="AK32" i="3" l="1"/>
  <c r="BM32" i="3"/>
  <c r="BF32" i="3"/>
  <c r="BC32" i="3"/>
  <c r="D31" i="3"/>
  <c r="AE32" i="3"/>
  <c r="AM32" i="3"/>
  <c r="E31" i="3" a="1"/>
  <c r="F31" i="3" a="1"/>
  <c r="E31" i="3" l="1"/>
  <c r="AN32" i="3"/>
  <c r="AF32" i="3"/>
  <c r="F31" i="3"/>
  <c r="Y31" i="3"/>
  <c r="AH31" i="3"/>
  <c r="AI31" i="3" s="1"/>
  <c r="K31" i="3" a="1"/>
  <c r="G31" i="3" a="1"/>
  <c r="H31" i="3" a="1"/>
  <c r="I31" i="3" a="1"/>
  <c r="L31" i="3" a="1"/>
  <c r="J31" i="3" a="1"/>
  <c r="J31" i="3" l="1"/>
  <c r="L31" i="3"/>
  <c r="AB31" i="3" s="1"/>
  <c r="AO31" i="3" s="1"/>
  <c r="I31" i="3"/>
  <c r="W31" i="3" s="1"/>
  <c r="H31" i="3"/>
  <c r="G31" i="3"/>
  <c r="AZ31" i="3" s="1"/>
  <c r="K31" i="3"/>
  <c r="AD31" i="3"/>
  <c r="Z31" i="3"/>
  <c r="AA31" i="3" s="1"/>
  <c r="BL31" i="3"/>
  <c r="BP31" i="3" s="1"/>
  <c r="BK31" i="3" s="1"/>
  <c r="BO31" i="3" s="1"/>
  <c r="AQ31" i="3"/>
  <c r="BA31" i="3" s="1"/>
  <c r="AR31" i="3"/>
  <c r="AS31" i="3" s="1"/>
  <c r="AW31" i="3"/>
  <c r="AX31" i="3" s="1"/>
  <c r="C30" i="3" a="1"/>
  <c r="AT31" i="3"/>
  <c r="BN31" i="3" l="1"/>
  <c r="AU31" i="3"/>
  <c r="AV31" i="3" s="1"/>
  <c r="U31" i="3"/>
  <c r="AL31" i="3"/>
  <c r="AJ31" i="3"/>
  <c r="BB31" i="3"/>
  <c r="BM31" i="3" s="1"/>
  <c r="AY31" i="3"/>
  <c r="C30" i="3"/>
  <c r="AK31" i="3" a="1"/>
  <c r="D30" i="3" a="1"/>
  <c r="AK31" i="3" l="1"/>
  <c r="BC31" i="3"/>
  <c r="BD31" i="3"/>
  <c r="BF31" i="3"/>
  <c r="D30" i="3"/>
  <c r="AE31" i="3"/>
  <c r="AM31" i="3"/>
  <c r="E30" i="3" a="1"/>
  <c r="F30" i="3" a="1"/>
  <c r="E30" i="3" l="1"/>
  <c r="AN31" i="3"/>
  <c r="AF31" i="3"/>
  <c r="F30" i="3"/>
  <c r="Y30" i="3"/>
  <c r="AH30" i="3"/>
  <c r="AI30" i="3" s="1"/>
  <c r="K30" i="3" a="1"/>
  <c r="L30" i="3" a="1"/>
  <c r="H30" i="3" a="1"/>
  <c r="I30" i="3" a="1"/>
  <c r="J30" i="3" a="1"/>
  <c r="G30" i="3" a="1"/>
  <c r="G30" i="3" l="1"/>
  <c r="J30" i="3"/>
  <c r="I30" i="3"/>
  <c r="W30" i="3" s="1"/>
  <c r="H30" i="3"/>
  <c r="L30" i="3"/>
  <c r="AB30" i="3" s="1"/>
  <c r="AO30" i="3" s="1"/>
  <c r="AR30" i="3" s="1"/>
  <c r="AS30" i="3" s="1"/>
  <c r="K30" i="3"/>
  <c r="AD30" i="3"/>
  <c r="Z30" i="3"/>
  <c r="AA30" i="3" s="1"/>
  <c r="BL30" i="3"/>
  <c r="BP30" i="3" s="1"/>
  <c r="BK30" i="3" s="1"/>
  <c r="BO30" i="3" s="1"/>
  <c r="AQ30" i="3"/>
  <c r="BA30" i="3" s="1"/>
  <c r="AW30" i="3"/>
  <c r="AX30" i="3" s="1"/>
  <c r="AZ30" i="3"/>
  <c r="C29" i="3" a="1"/>
  <c r="AT30" i="3"/>
  <c r="BN30" i="3" l="1"/>
  <c r="AU30" i="3"/>
  <c r="AV30" i="3" s="1"/>
  <c r="U30" i="3"/>
  <c r="AL30" i="3"/>
  <c r="AJ30" i="3"/>
  <c r="BB30" i="3"/>
  <c r="BC30" i="3" s="1"/>
  <c r="AY30" i="3"/>
  <c r="C29" i="3"/>
  <c r="AK30" i="3" a="1"/>
  <c r="D29" i="3" a="1"/>
  <c r="AK30" i="3" l="1"/>
  <c r="BF30" i="3"/>
  <c r="BD30" i="3"/>
  <c r="BM30" i="3"/>
  <c r="D29" i="3"/>
  <c r="AM30" i="3"/>
  <c r="AE30" i="3"/>
  <c r="E29" i="3" a="1"/>
  <c r="F29" i="3" a="1"/>
  <c r="E29" i="3" l="1"/>
  <c r="AF30" i="3"/>
  <c r="AN30" i="3"/>
  <c r="F29" i="3"/>
  <c r="Y29" i="3"/>
  <c r="AH29" i="3"/>
  <c r="AI29" i="3" s="1"/>
  <c r="K29" i="3" a="1"/>
  <c r="G29" i="3" a="1"/>
  <c r="J29" i="3" a="1"/>
  <c r="L29" i="3" a="1"/>
  <c r="H29" i="3" a="1"/>
  <c r="I29" i="3" a="1"/>
  <c r="I29" i="3" l="1"/>
  <c r="W29" i="3" s="1"/>
  <c r="H29" i="3"/>
  <c r="L29" i="3"/>
  <c r="J29" i="3"/>
  <c r="G29" i="3"/>
  <c r="AZ29" i="3" s="1"/>
  <c r="K29" i="3"/>
  <c r="AD29" i="3"/>
  <c r="Z29" i="3"/>
  <c r="AA29" i="3" s="1"/>
  <c r="AB29" i="3"/>
  <c r="AO29" i="3" s="1"/>
  <c r="AR29" i="3" s="1"/>
  <c r="AS29" i="3" s="1"/>
  <c r="BL29" i="3"/>
  <c r="BP29" i="3" s="1"/>
  <c r="BK29" i="3" s="1"/>
  <c r="BO29" i="3" s="1"/>
  <c r="AJ29" i="3"/>
  <c r="AQ29" i="3"/>
  <c r="BA29" i="3" s="1"/>
  <c r="C28" i="3" a="1"/>
  <c r="AT29" i="3"/>
  <c r="AW29" i="3" l="1"/>
  <c r="AX29" i="3" s="1"/>
  <c r="BN29" i="3"/>
  <c r="AU29" i="3"/>
  <c r="AV29" i="3" s="1"/>
  <c r="U29" i="3"/>
  <c r="AL29" i="3"/>
  <c r="BB29" i="3"/>
  <c r="BD29" i="3" s="1"/>
  <c r="AY29" i="3"/>
  <c r="C28" i="3"/>
  <c r="AK29" i="3" a="1"/>
  <c r="D28" i="3" a="1"/>
  <c r="AK29" i="3" l="1"/>
  <c r="BF29" i="3"/>
  <c r="BM29" i="3"/>
  <c r="BC29" i="3"/>
  <c r="D28" i="3"/>
  <c r="AE29" i="3"/>
  <c r="AM29" i="3"/>
  <c r="E28" i="3" a="1"/>
  <c r="F28" i="3" a="1"/>
  <c r="E28" i="3" l="1"/>
  <c r="AN29" i="3"/>
  <c r="AF29" i="3"/>
  <c r="F28" i="3"/>
  <c r="Y28" i="3"/>
  <c r="AH28" i="3"/>
  <c r="AI28" i="3" s="1"/>
  <c r="K28" i="3" a="1"/>
  <c r="L28" i="3" a="1"/>
  <c r="G28" i="3" a="1"/>
  <c r="H28" i="3" a="1"/>
  <c r="J28" i="3" a="1"/>
  <c r="I28" i="3" a="1"/>
  <c r="I28" i="3" l="1"/>
  <c r="W28" i="3" s="1"/>
  <c r="J28" i="3"/>
  <c r="H28" i="3"/>
  <c r="G28" i="3"/>
  <c r="L28" i="3"/>
  <c r="K28" i="3"/>
  <c r="AD28" i="3"/>
  <c r="Z28" i="3"/>
  <c r="AA28" i="3" s="1"/>
  <c r="AB28" i="3"/>
  <c r="AO28" i="3" s="1"/>
  <c r="BL28" i="3"/>
  <c r="BP28" i="3" s="1"/>
  <c r="BK28" i="3" s="1"/>
  <c r="U28" i="3" l="1"/>
  <c r="AL28" i="3"/>
  <c r="AJ28" i="3"/>
  <c r="AR28" i="3"/>
  <c r="AS28" i="3" s="1"/>
  <c r="AQ28" i="3"/>
  <c r="BA28" i="3" s="1"/>
  <c r="AW28" i="3"/>
  <c r="AZ28" i="3"/>
  <c r="BN28" i="3"/>
  <c r="BO28" i="3"/>
  <c r="AK28" i="3" a="1"/>
  <c r="AT28" i="3"/>
  <c r="C27" i="3" a="1"/>
  <c r="AX28" i="3" l="1"/>
  <c r="AU28" i="3"/>
  <c r="AV28" i="3" s="1"/>
  <c r="AK28" i="3"/>
  <c r="BB28" i="3"/>
  <c r="BC28" i="3" s="1"/>
  <c r="AY28" i="3"/>
  <c r="C27" i="3"/>
  <c r="AM28" i="3"/>
  <c r="AE28" i="3"/>
  <c r="D27" i="3" a="1"/>
  <c r="AF28" i="3" l="1"/>
  <c r="AN28" i="3"/>
  <c r="BM28" i="3"/>
  <c r="BF28" i="3"/>
  <c r="BD28" i="3"/>
  <c r="D27" i="3"/>
  <c r="E27" i="3" a="1"/>
  <c r="F27" i="3" a="1"/>
  <c r="E27" i="3" l="1"/>
  <c r="F27" i="3"/>
  <c r="Y27" i="3"/>
  <c r="AH27" i="3"/>
  <c r="AI27" i="3" s="1"/>
  <c r="L27" i="3" a="1"/>
  <c r="G27" i="3" a="1"/>
  <c r="H27" i="3" a="1"/>
  <c r="K27" i="3" a="1"/>
  <c r="I27" i="3" a="1"/>
  <c r="J27" i="3" a="1"/>
  <c r="J27" i="3" l="1"/>
  <c r="I27" i="3"/>
  <c r="W27" i="3" s="1"/>
  <c r="K27" i="3"/>
  <c r="H27" i="3"/>
  <c r="G27" i="3"/>
  <c r="AZ27" i="3" s="1"/>
  <c r="L27" i="3"/>
  <c r="AD27" i="3"/>
  <c r="Z27" i="3"/>
  <c r="AA27" i="3" s="1"/>
  <c r="AB27" i="3"/>
  <c r="AO27" i="3" s="1"/>
  <c r="AR27" i="3" s="1"/>
  <c r="AS27" i="3" s="1"/>
  <c r="BL27" i="3"/>
  <c r="BP27" i="3" s="1"/>
  <c r="BK27" i="3" s="1"/>
  <c r="BO27" i="3" s="1"/>
  <c r="AJ27" i="3"/>
  <c r="AQ27" i="3"/>
  <c r="BA27" i="3" s="1"/>
  <c r="AT27" i="3"/>
  <c r="C26" i="3" a="1"/>
  <c r="BN27" i="3" l="1"/>
  <c r="AU27" i="3"/>
  <c r="AV27" i="3" s="1"/>
  <c r="AW27" i="3"/>
  <c r="AX27" i="3" s="1"/>
  <c r="U27" i="3"/>
  <c r="AL27" i="3"/>
  <c r="BB27" i="3"/>
  <c r="BC27" i="3" s="1"/>
  <c r="AY27" i="3"/>
  <c r="C26" i="3"/>
  <c r="AK27" i="3" a="1"/>
  <c r="D26" i="3" a="1"/>
  <c r="AK27" i="3" l="1"/>
  <c r="BD27" i="3"/>
  <c r="BM27" i="3"/>
  <c r="BF27" i="3"/>
  <c r="D26" i="3"/>
  <c r="AE27" i="3"/>
  <c r="AM27" i="3"/>
  <c r="E26" i="3" a="1"/>
  <c r="F26" i="3" a="1"/>
  <c r="E26" i="3" l="1"/>
  <c r="AN27" i="3"/>
  <c r="AF27" i="3"/>
  <c r="F26" i="3"/>
  <c r="Y26" i="3"/>
  <c r="AH26" i="3"/>
  <c r="AI26" i="3" s="1"/>
  <c r="K26" i="3" a="1"/>
  <c r="L26" i="3" a="1"/>
  <c r="I26" i="3" a="1"/>
  <c r="H26" i="3" a="1"/>
  <c r="J26" i="3" a="1"/>
  <c r="G26" i="3" a="1"/>
  <c r="G26" i="3" l="1"/>
  <c r="J26" i="3"/>
  <c r="H26" i="3"/>
  <c r="I26" i="3"/>
  <c r="W26" i="3" s="1"/>
  <c r="L26" i="3"/>
  <c r="AB26" i="3" s="1"/>
  <c r="AO26" i="3" s="1"/>
  <c r="AR26" i="3" s="1"/>
  <c r="AS26" i="3" s="1"/>
  <c r="K26" i="3"/>
  <c r="AD26" i="3"/>
  <c r="Z26" i="3"/>
  <c r="AA26" i="3" s="1"/>
  <c r="BL26" i="3"/>
  <c r="BP26" i="3" s="1"/>
  <c r="BK26" i="3" s="1"/>
  <c r="BO26" i="3" s="1"/>
  <c r="AQ26" i="3"/>
  <c r="BA26" i="3" s="1"/>
  <c r="AW26" i="3"/>
  <c r="AX26" i="3" s="1"/>
  <c r="AZ26" i="3"/>
  <c r="C25" i="3" a="1"/>
  <c r="AT26" i="3"/>
  <c r="BN26" i="3" l="1"/>
  <c r="AU26" i="3"/>
  <c r="AV26" i="3" s="1"/>
  <c r="U26" i="3"/>
  <c r="AL26" i="3"/>
  <c r="AJ26" i="3"/>
  <c r="BB26" i="3"/>
  <c r="BF26" i="3" s="1"/>
  <c r="AY26" i="3"/>
  <c r="C25" i="3"/>
  <c r="AK26" i="3" a="1"/>
  <c r="D25" i="3" a="1"/>
  <c r="AK26" i="3" l="1"/>
  <c r="BM26" i="3"/>
  <c r="BC26" i="3"/>
  <c r="BD26" i="3"/>
  <c r="D25" i="3"/>
  <c r="AM26" i="3"/>
  <c r="AE26" i="3"/>
  <c r="F25" i="3" a="1"/>
  <c r="E25" i="3" a="1"/>
  <c r="E25" i="3" l="1"/>
  <c r="AF26" i="3"/>
  <c r="AN26" i="3"/>
  <c r="F25" i="3"/>
  <c r="Y25" i="3"/>
  <c r="AH25" i="3"/>
  <c r="AI25" i="3" s="1"/>
  <c r="K25" i="3" a="1"/>
  <c r="L25" i="3" a="1"/>
  <c r="G25" i="3" a="1"/>
  <c r="I25" i="3" a="1"/>
  <c r="J25" i="3" a="1"/>
  <c r="H25" i="3" a="1"/>
  <c r="H25" i="3" l="1"/>
  <c r="J25" i="3"/>
  <c r="I25" i="3"/>
  <c r="W25" i="3" s="1"/>
  <c r="G25" i="3"/>
  <c r="L25" i="3"/>
  <c r="AB25" i="3" s="1"/>
  <c r="AO25" i="3" s="1"/>
  <c r="AR25" i="3" s="1"/>
  <c r="AS25" i="3" s="1"/>
  <c r="K25" i="3"/>
  <c r="AD25" i="3"/>
  <c r="Z25" i="3"/>
  <c r="AA25" i="3" s="1"/>
  <c r="BL25" i="3"/>
  <c r="BP25" i="3" s="1"/>
  <c r="BK25" i="3" s="1"/>
  <c r="BO25" i="3" s="1"/>
  <c r="AQ25" i="3"/>
  <c r="BA25" i="3" s="1"/>
  <c r="AW25" i="3"/>
  <c r="AX25" i="3" s="1"/>
  <c r="AZ25" i="3"/>
  <c r="C24" i="3" a="1"/>
  <c r="AT25" i="3"/>
  <c r="BN25" i="3" l="1"/>
  <c r="AU25" i="3"/>
  <c r="AV25" i="3" s="1"/>
  <c r="U25" i="3"/>
  <c r="AL25" i="3"/>
  <c r="AJ25" i="3"/>
  <c r="BB25" i="3"/>
  <c r="BM25" i="3" s="1"/>
  <c r="AY25" i="3"/>
  <c r="C24" i="3"/>
  <c r="AK25" i="3" a="1"/>
  <c r="D24" i="3" a="1"/>
  <c r="AK25" i="3" l="1"/>
  <c r="BD25" i="3"/>
  <c r="BF25" i="3"/>
  <c r="BC25" i="3"/>
  <c r="D24" i="3"/>
  <c r="AM25" i="3"/>
  <c r="AE25" i="3"/>
  <c r="E24" i="3" a="1"/>
  <c r="F24" i="3" a="1"/>
  <c r="E24" i="3" l="1"/>
  <c r="AF25" i="3"/>
  <c r="AN25" i="3"/>
  <c r="F24" i="3"/>
  <c r="Y24" i="3"/>
  <c r="AH24" i="3"/>
  <c r="AI24" i="3" s="1"/>
  <c r="K24" i="3" a="1"/>
  <c r="L24" i="3" a="1"/>
  <c r="G24" i="3" a="1"/>
  <c r="H24" i="3" a="1"/>
  <c r="I24" i="3" a="1"/>
  <c r="J24" i="3" a="1"/>
  <c r="J24" i="3" l="1"/>
  <c r="I24" i="3"/>
  <c r="W24" i="3" s="1"/>
  <c r="H24" i="3"/>
  <c r="G24" i="3"/>
  <c r="AZ24" i="3" s="1"/>
  <c r="L24" i="3"/>
  <c r="K24" i="3"/>
  <c r="AD24" i="3"/>
  <c r="Z24" i="3"/>
  <c r="AA24" i="3" s="1"/>
  <c r="AB24" i="3"/>
  <c r="AO24" i="3" s="1"/>
  <c r="AR24" i="3" s="1"/>
  <c r="AS24" i="3" s="1"/>
  <c r="BL24" i="3"/>
  <c r="BP24" i="3" s="1"/>
  <c r="BK24" i="3" s="1"/>
  <c r="BO24" i="3" s="1"/>
  <c r="AJ24" i="3"/>
  <c r="AQ24" i="3"/>
  <c r="BA24" i="3" s="1"/>
  <c r="C23" i="3" a="1"/>
  <c r="AT24" i="3"/>
  <c r="AU24" i="3" l="1"/>
  <c r="AV24" i="3" s="1"/>
  <c r="AL24" i="3"/>
  <c r="U24" i="3"/>
  <c r="AW24" i="3"/>
  <c r="AX24" i="3" s="1"/>
  <c r="AY24" i="3" s="1"/>
  <c r="BN24" i="3"/>
  <c r="BB24" i="3"/>
  <c r="BC24" i="3" s="1"/>
  <c r="C23" i="3"/>
  <c r="AK24" i="3" a="1"/>
  <c r="D23" i="3" a="1"/>
  <c r="AK24" i="3" l="1"/>
  <c r="BM24" i="3"/>
  <c r="BF24" i="3"/>
  <c r="BD24" i="3"/>
  <c r="D23" i="3"/>
  <c r="AE24" i="3"/>
  <c r="AM24" i="3"/>
  <c r="E23" i="3" a="1"/>
  <c r="F23" i="3" a="1"/>
  <c r="E23" i="3" l="1"/>
  <c r="AN24" i="3"/>
  <c r="AF24" i="3"/>
  <c r="F23" i="3"/>
  <c r="Y23" i="3"/>
  <c r="AH23" i="3"/>
  <c r="AI23" i="3" s="1"/>
  <c r="K23" i="3" a="1"/>
  <c r="G23" i="3" a="1"/>
  <c r="L23" i="3" a="1"/>
  <c r="I23" i="3" a="1"/>
  <c r="H23" i="3" a="1"/>
  <c r="J23" i="3" a="1"/>
  <c r="J23" i="3" l="1"/>
  <c r="H23" i="3"/>
  <c r="I23" i="3"/>
  <c r="W23" i="3" s="1"/>
  <c r="L23" i="3"/>
  <c r="G23" i="3"/>
  <c r="AZ23" i="3" s="1"/>
  <c r="K23" i="3"/>
  <c r="AD23" i="3"/>
  <c r="Z23" i="3"/>
  <c r="AA23" i="3" s="1"/>
  <c r="AB23" i="3"/>
  <c r="AO23" i="3" s="1"/>
  <c r="AR23" i="3" s="1"/>
  <c r="AS23" i="3" s="1"/>
  <c r="BL23" i="3"/>
  <c r="BP23" i="3" s="1"/>
  <c r="BK23" i="3" s="1"/>
  <c r="BO23" i="3" s="1"/>
  <c r="AQ23" i="3"/>
  <c r="BA23" i="3" s="1"/>
  <c r="AW23" i="3"/>
  <c r="C22" i="3" a="1"/>
  <c r="AT23" i="3"/>
  <c r="AX23" i="3" l="1"/>
  <c r="BN23" i="3"/>
  <c r="AU23" i="3"/>
  <c r="AV23" i="3" s="1"/>
  <c r="AL23" i="3"/>
  <c r="U23" i="3"/>
  <c r="AJ23" i="3"/>
  <c r="BB23" i="3"/>
  <c r="BF23" i="3" s="1"/>
  <c r="AY23" i="3"/>
  <c r="C22" i="3"/>
  <c r="AK23" i="3" a="1"/>
  <c r="D22" i="3" a="1"/>
  <c r="AK23" i="3" l="1"/>
  <c r="BC23" i="3"/>
  <c r="BM23" i="3"/>
  <c r="BD23" i="3"/>
  <c r="D22" i="3"/>
  <c r="AM23" i="3"/>
  <c r="AE23" i="3"/>
  <c r="E22" i="3" a="1"/>
  <c r="F22" i="3" a="1"/>
  <c r="E22" i="3" l="1"/>
  <c r="AF23" i="3"/>
  <c r="AN23" i="3"/>
  <c r="F22" i="3"/>
  <c r="Y22" i="3"/>
  <c r="AH22" i="3"/>
  <c r="AI22" i="3" s="1"/>
  <c r="K22" i="3" a="1"/>
  <c r="L22" i="3" a="1"/>
  <c r="G22" i="3" a="1"/>
  <c r="I22" i="3" a="1"/>
  <c r="H22" i="3" a="1"/>
  <c r="J22" i="3" a="1"/>
  <c r="J22" i="3" l="1"/>
  <c r="H22" i="3"/>
  <c r="I22" i="3"/>
  <c r="W22" i="3" s="1"/>
  <c r="G22" i="3"/>
  <c r="L22" i="3"/>
  <c r="AB22" i="3" s="1"/>
  <c r="AO22" i="3" s="1"/>
  <c r="AR22" i="3" s="1"/>
  <c r="AS22" i="3" s="1"/>
  <c r="K22" i="3"/>
  <c r="AD22" i="3"/>
  <c r="Z22" i="3"/>
  <c r="AA22" i="3" s="1"/>
  <c r="BL22" i="3"/>
  <c r="BP22" i="3" s="1"/>
  <c r="BK22" i="3" s="1"/>
  <c r="BO22" i="3" s="1"/>
  <c r="AQ22" i="3"/>
  <c r="BA22" i="3" s="1"/>
  <c r="AW22" i="3"/>
  <c r="AZ22" i="3"/>
  <c r="C21" i="3" a="1"/>
  <c r="AT22" i="3"/>
  <c r="AX22" i="3" l="1"/>
  <c r="BN22" i="3"/>
  <c r="AU22" i="3"/>
  <c r="AV22" i="3" s="1"/>
  <c r="U22" i="3"/>
  <c r="AL22" i="3"/>
  <c r="AJ22" i="3"/>
  <c r="BB22" i="3"/>
  <c r="BF22" i="3" s="1"/>
  <c r="AY22" i="3"/>
  <c r="C21" i="3"/>
  <c r="AK22" i="3" a="1"/>
  <c r="D21" i="3" a="1"/>
  <c r="AK22" i="3" l="1"/>
  <c r="BM22" i="3"/>
  <c r="BC22" i="3"/>
  <c r="BD22" i="3"/>
  <c r="D21" i="3"/>
  <c r="AM22" i="3"/>
  <c r="AE22" i="3"/>
  <c r="E21" i="3" a="1"/>
  <c r="F21" i="3" a="1"/>
  <c r="E21" i="3" l="1"/>
  <c r="AF22" i="3"/>
  <c r="AN22" i="3"/>
  <c r="F21" i="3"/>
  <c r="Y21" i="3"/>
  <c r="AH21" i="3"/>
  <c r="AI21" i="3" s="1"/>
  <c r="K21" i="3" a="1"/>
  <c r="G21" i="3" a="1"/>
  <c r="H21" i="3" a="1"/>
  <c r="I21" i="3" a="1"/>
  <c r="L21" i="3" a="1"/>
  <c r="J21" i="3" a="1"/>
  <c r="J21" i="3" l="1"/>
  <c r="L21" i="3"/>
  <c r="AB21" i="3" s="1"/>
  <c r="AO21" i="3" s="1"/>
  <c r="I21" i="3"/>
  <c r="W21" i="3" s="1"/>
  <c r="H21" i="3"/>
  <c r="G21" i="3"/>
  <c r="AZ21" i="3" s="1"/>
  <c r="K21" i="3"/>
  <c r="AD21" i="3"/>
  <c r="Z21" i="3"/>
  <c r="AA21" i="3" s="1"/>
  <c r="BL21" i="3"/>
  <c r="BP21" i="3" s="1"/>
  <c r="BK21" i="3" s="1"/>
  <c r="BO21" i="3" s="1"/>
  <c r="AR21" i="3"/>
  <c r="AS21" i="3" s="1"/>
  <c r="AQ21" i="3"/>
  <c r="BA21" i="3" s="1"/>
  <c r="AW21" i="3"/>
  <c r="AX21" i="3" s="1"/>
  <c r="C20" i="3" a="1"/>
  <c r="AT21" i="3"/>
  <c r="BN21" i="3" l="1"/>
  <c r="AU21" i="3"/>
  <c r="AV21" i="3" s="1"/>
  <c r="AL21" i="3"/>
  <c r="U21" i="3"/>
  <c r="AJ21" i="3"/>
  <c r="BB21" i="3"/>
  <c r="BF21" i="3" s="1"/>
  <c r="AY21" i="3"/>
  <c r="C20" i="3"/>
  <c r="AK21" i="3" a="1"/>
  <c r="D20" i="3" a="1"/>
  <c r="AK21" i="3" l="1"/>
  <c r="BC21" i="3"/>
  <c r="BM21" i="3"/>
  <c r="BD21" i="3"/>
  <c r="D20" i="3"/>
  <c r="AM21" i="3"/>
  <c r="AE21" i="3"/>
  <c r="E20" i="3" a="1"/>
  <c r="F20" i="3" a="1"/>
  <c r="E20" i="3" l="1"/>
  <c r="AF21" i="3"/>
  <c r="AN21" i="3"/>
  <c r="F20" i="3"/>
  <c r="Y20" i="3"/>
  <c r="AH20" i="3"/>
  <c r="AI20" i="3" s="1"/>
  <c r="K20" i="3" a="1"/>
  <c r="L20" i="3" a="1"/>
  <c r="G20" i="3" a="1"/>
  <c r="I20" i="3" a="1"/>
  <c r="H20" i="3" a="1"/>
  <c r="J20" i="3" a="1"/>
  <c r="J20" i="3" l="1"/>
  <c r="H20" i="3"/>
  <c r="I20" i="3"/>
  <c r="W20" i="3" s="1"/>
  <c r="G20" i="3"/>
  <c r="L20" i="3"/>
  <c r="AB20" i="3" s="1"/>
  <c r="AO20" i="3" s="1"/>
  <c r="AR20" i="3" s="1"/>
  <c r="AS20" i="3" s="1"/>
  <c r="K20" i="3"/>
  <c r="AD20" i="3"/>
  <c r="Z20" i="3"/>
  <c r="AA20" i="3" s="1"/>
  <c r="BL20" i="3"/>
  <c r="BP20" i="3" s="1"/>
  <c r="BK20" i="3" s="1"/>
  <c r="BO20" i="3" s="1"/>
  <c r="AQ20" i="3"/>
  <c r="BA20" i="3" s="1"/>
  <c r="AW20" i="3"/>
  <c r="AX20" i="3" s="1"/>
  <c r="AZ20" i="3"/>
  <c r="C19" i="3" a="1"/>
  <c r="AT20" i="3"/>
  <c r="BN20" i="3" l="1"/>
  <c r="AU20" i="3"/>
  <c r="AV20" i="3" s="1"/>
  <c r="AL20" i="3"/>
  <c r="U20" i="3"/>
  <c r="AJ20" i="3"/>
  <c r="BB20" i="3"/>
  <c r="BD20" i="3" s="1"/>
  <c r="AY20" i="3"/>
  <c r="C19" i="3"/>
  <c r="AK20" i="3" a="1"/>
  <c r="D19" i="3" a="1"/>
  <c r="AK20" i="3" l="1"/>
  <c r="BM20" i="3"/>
  <c r="BF20" i="3"/>
  <c r="BC20" i="3"/>
  <c r="D19" i="3"/>
  <c r="F19" i="3" a="1"/>
  <c r="E19" i="3" a="1"/>
  <c r="AM20" i="3"/>
  <c r="AE20" i="3"/>
  <c r="AF20" i="3" l="1"/>
  <c r="AN20" i="3"/>
  <c r="E19" i="3"/>
  <c r="F19" i="3"/>
  <c r="Y19" i="3"/>
  <c r="AH19" i="3"/>
  <c r="AI19" i="3" s="1"/>
  <c r="K19" i="3" a="1"/>
  <c r="G19" i="3" a="1"/>
  <c r="I19" i="3" a="1"/>
  <c r="L19" i="3" a="1"/>
  <c r="H19" i="3" a="1"/>
  <c r="J19" i="3" a="1"/>
  <c r="J19" i="3" l="1"/>
  <c r="H19" i="3"/>
  <c r="L19" i="3"/>
  <c r="I19" i="3"/>
  <c r="W19" i="3" s="1"/>
  <c r="G19" i="3"/>
  <c r="K19" i="3"/>
  <c r="AD19" i="3"/>
  <c r="Z19" i="3"/>
  <c r="AA19" i="3" s="1"/>
  <c r="AB19" i="3"/>
  <c r="AO19" i="3" s="1"/>
  <c r="BL19" i="3"/>
  <c r="BP19" i="3" s="1"/>
  <c r="BK19" i="3" s="1"/>
  <c r="AL19" i="3" l="1"/>
  <c r="U19" i="3"/>
  <c r="AJ19" i="3"/>
  <c r="AR19" i="3"/>
  <c r="AS19" i="3" s="1"/>
  <c r="AQ19" i="3"/>
  <c r="BA19" i="3" s="1"/>
  <c r="AW19" i="3"/>
  <c r="AX19" i="3" s="1"/>
  <c r="AZ19" i="3"/>
  <c r="BN19" i="3"/>
  <c r="BO19" i="3"/>
  <c r="C18" i="3" a="1"/>
  <c r="AK19" i="3" a="1"/>
  <c r="AT19" i="3"/>
  <c r="AU19" i="3" l="1"/>
  <c r="AV19" i="3" s="1"/>
  <c r="AK19" i="3"/>
  <c r="BB19" i="3"/>
  <c r="BC19" i="3" s="1"/>
  <c r="AY19" i="3"/>
  <c r="C18" i="3"/>
  <c r="AM19" i="3"/>
  <c r="AE19" i="3"/>
  <c r="D18" i="3" a="1"/>
  <c r="AF19" i="3" l="1"/>
  <c r="AN19" i="3"/>
  <c r="BM19" i="3"/>
  <c r="BD19" i="3"/>
  <c r="BF19" i="3"/>
  <c r="D18" i="3"/>
  <c r="E18" i="3" a="1"/>
  <c r="F18" i="3" a="1"/>
  <c r="E18" i="3" l="1"/>
  <c r="F18" i="3"/>
  <c r="Y18" i="3"/>
  <c r="AH18" i="3"/>
  <c r="AI18" i="3" s="1"/>
  <c r="L18" i="3" a="1"/>
  <c r="G18" i="3" a="1"/>
  <c r="H18" i="3" a="1"/>
  <c r="K18" i="3" a="1"/>
  <c r="I18" i="3" a="1"/>
  <c r="J18" i="3" a="1"/>
  <c r="J18" i="3" l="1"/>
  <c r="I18" i="3"/>
  <c r="W18" i="3" s="1"/>
  <c r="K18" i="3"/>
  <c r="H18" i="3"/>
  <c r="G18" i="3"/>
  <c r="L18" i="3"/>
  <c r="AB18" i="3" s="1"/>
  <c r="AO18" i="3" s="1"/>
  <c r="AR18" i="3" s="1"/>
  <c r="AS18" i="3" s="1"/>
  <c r="AD18" i="3"/>
  <c r="Z18" i="3"/>
  <c r="AA18" i="3" s="1"/>
  <c r="BL18" i="3"/>
  <c r="BP18" i="3" s="1"/>
  <c r="BK18" i="3" s="1"/>
  <c r="BO18" i="3" s="1"/>
  <c r="AW18" i="3"/>
  <c r="AZ18" i="3"/>
  <c r="BN18" i="3"/>
  <c r="C17" i="3" a="1"/>
  <c r="AT18" i="3"/>
  <c r="AU18" i="3" l="1"/>
  <c r="AV18" i="3" s="1"/>
  <c r="U18" i="3"/>
  <c r="AL18" i="3"/>
  <c r="AQ18" i="3"/>
  <c r="BA18" i="3" s="1"/>
  <c r="BB18" i="3" s="1"/>
  <c r="BD18" i="3" s="1"/>
  <c r="AJ18" i="3"/>
  <c r="C17" i="3"/>
  <c r="AK18" i="3" a="1"/>
  <c r="D17" i="3" a="1"/>
  <c r="AK18" i="3" l="1"/>
  <c r="AX18" i="3"/>
  <c r="AY18" i="3" s="1"/>
  <c r="BM18" i="3"/>
  <c r="BF18" i="3"/>
  <c r="BC18" i="3"/>
  <c r="D17" i="3"/>
  <c r="AM18" i="3"/>
  <c r="AE18" i="3"/>
  <c r="F17" i="3" a="1"/>
  <c r="E17" i="3" a="1"/>
  <c r="E17" i="3" l="1"/>
  <c r="AF18" i="3"/>
  <c r="AN18" i="3"/>
  <c r="F17" i="3"/>
  <c r="Y17" i="3"/>
  <c r="AH17" i="3"/>
  <c r="AI17" i="3" s="1"/>
  <c r="K17" i="3" a="1"/>
  <c r="G17" i="3" a="1"/>
  <c r="H17" i="3" a="1"/>
  <c r="I17" i="3" a="1"/>
  <c r="L17" i="3" a="1"/>
  <c r="J17" i="3" a="1"/>
  <c r="J17" i="3" l="1"/>
  <c r="L17" i="3"/>
  <c r="AB17" i="3" s="1"/>
  <c r="AO17" i="3" s="1"/>
  <c r="I17" i="3"/>
  <c r="W17" i="3" s="1"/>
  <c r="H17" i="3"/>
  <c r="G17" i="3"/>
  <c r="AZ17" i="3" s="1"/>
  <c r="K17" i="3"/>
  <c r="AD17" i="3"/>
  <c r="Z17" i="3"/>
  <c r="AA17" i="3" s="1"/>
  <c r="BL17" i="3"/>
  <c r="BP17" i="3" s="1"/>
  <c r="BK17" i="3" s="1"/>
  <c r="BO17" i="3" s="1"/>
  <c r="AR17" i="3"/>
  <c r="AS17" i="3" s="1"/>
  <c r="AQ17" i="3"/>
  <c r="BA17" i="3" s="1"/>
  <c r="AW17" i="3"/>
  <c r="C16" i="3" a="1"/>
  <c r="AT17" i="3"/>
  <c r="AX17" i="3" l="1"/>
  <c r="BN17" i="3"/>
  <c r="AU17" i="3"/>
  <c r="AV17" i="3" s="1"/>
  <c r="AL17" i="3"/>
  <c r="U17" i="3"/>
  <c r="AJ17" i="3"/>
  <c r="BB17" i="3"/>
  <c r="BD17" i="3" s="1"/>
  <c r="AY17" i="3"/>
  <c r="C16" i="3"/>
  <c r="AK17" i="3" a="1"/>
  <c r="D16" i="3" a="1"/>
  <c r="AK17" i="3" l="1"/>
  <c r="BF17" i="3"/>
  <c r="BM17" i="3"/>
  <c r="BC17" i="3"/>
  <c r="D16" i="3"/>
  <c r="AM17" i="3"/>
  <c r="AE17" i="3"/>
  <c r="E16" i="3" a="1"/>
  <c r="F16" i="3" a="1"/>
  <c r="E16" i="3" l="1"/>
  <c r="AF17" i="3"/>
  <c r="AN17" i="3"/>
  <c r="F16" i="3"/>
  <c r="Y16" i="3"/>
  <c r="AH16" i="3"/>
  <c r="AI16" i="3" s="1"/>
  <c r="K16" i="3" a="1"/>
  <c r="L16" i="3" a="1"/>
  <c r="G16" i="3" a="1"/>
  <c r="H16" i="3" a="1"/>
  <c r="I16" i="3" a="1"/>
  <c r="J16" i="3" a="1"/>
  <c r="J16" i="3" l="1"/>
  <c r="I16" i="3"/>
  <c r="W16" i="3" s="1"/>
  <c r="H16" i="3"/>
  <c r="G16" i="3"/>
  <c r="L16" i="3"/>
  <c r="AB16" i="3" s="1"/>
  <c r="AO16" i="3" s="1"/>
  <c r="AR16" i="3" s="1"/>
  <c r="AS16" i="3" s="1"/>
  <c r="K16" i="3"/>
  <c r="AD16" i="3"/>
  <c r="Z16" i="3"/>
  <c r="AA16" i="3" s="1"/>
  <c r="BL16" i="3"/>
  <c r="BP16" i="3" s="1"/>
  <c r="BK16" i="3" s="1"/>
  <c r="BO16" i="3" s="1"/>
  <c r="AQ16" i="3"/>
  <c r="BA16" i="3" s="1"/>
  <c r="AW16" i="3"/>
  <c r="AX16" i="3" s="1"/>
  <c r="AZ16" i="3"/>
  <c r="C15" i="3" a="1"/>
  <c r="AT16" i="3"/>
  <c r="BN16" i="3" l="1"/>
  <c r="AU16" i="3"/>
  <c r="AV16" i="3" s="1"/>
  <c r="U16" i="3"/>
  <c r="AL16" i="3"/>
  <c r="AJ16" i="3"/>
  <c r="BB16" i="3"/>
  <c r="BD16" i="3" s="1"/>
  <c r="AY16" i="3"/>
  <c r="C15" i="3"/>
  <c r="AK16" i="3" a="1"/>
  <c r="D15" i="3" a="1"/>
  <c r="AK16" i="3" l="1"/>
  <c r="BC16" i="3"/>
  <c r="BF16" i="3"/>
  <c r="BM16" i="3"/>
  <c r="D15" i="3"/>
  <c r="AE16" i="3"/>
  <c r="AM16" i="3"/>
  <c r="E15" i="3" a="1"/>
  <c r="F15" i="3" a="1"/>
  <c r="E15" i="3" l="1"/>
  <c r="AN16" i="3"/>
  <c r="AF16" i="3"/>
  <c r="F15" i="3"/>
  <c r="Y15" i="3"/>
  <c r="AH15" i="3"/>
  <c r="AI15" i="3" s="1"/>
  <c r="K15" i="3" a="1"/>
  <c r="L15" i="3" a="1"/>
  <c r="G15" i="3" a="1"/>
  <c r="H15" i="3" a="1"/>
  <c r="I15" i="3" a="1"/>
  <c r="J15" i="3" a="1"/>
  <c r="J15" i="3" l="1"/>
  <c r="I15" i="3"/>
  <c r="W15" i="3" s="1"/>
  <c r="H15" i="3"/>
  <c r="G15" i="3"/>
  <c r="L15" i="3"/>
  <c r="AB15" i="3" s="1"/>
  <c r="AO15" i="3" s="1"/>
  <c r="AR15" i="3" s="1"/>
  <c r="AS15" i="3" s="1"/>
  <c r="K15" i="3"/>
  <c r="AD15" i="3"/>
  <c r="Z15" i="3"/>
  <c r="AA15" i="3" s="1"/>
  <c r="BL15" i="3"/>
  <c r="BP15" i="3" s="1"/>
  <c r="BK15" i="3" s="1"/>
  <c r="BO15" i="3" s="1"/>
  <c r="AQ15" i="3"/>
  <c r="BA15" i="3" s="1"/>
  <c r="AW15" i="3"/>
  <c r="AZ15" i="3"/>
  <c r="C14" i="3" a="1"/>
  <c r="AT15" i="3"/>
  <c r="AX15" i="3" l="1"/>
  <c r="BN15" i="3"/>
  <c r="AU15" i="3"/>
  <c r="AV15" i="3" s="1"/>
  <c r="AL15" i="3"/>
  <c r="U15" i="3"/>
  <c r="AJ15" i="3"/>
  <c r="BB15" i="3"/>
  <c r="BF15" i="3" s="1"/>
  <c r="AY15" i="3"/>
  <c r="C14" i="3"/>
  <c r="AK15" i="3" a="1"/>
  <c r="D14" i="3" a="1"/>
  <c r="AK15" i="3" l="1"/>
  <c r="BC15" i="3"/>
  <c r="BM15" i="3"/>
  <c r="BD15" i="3"/>
  <c r="D14" i="3"/>
  <c r="AM15" i="3"/>
  <c r="AE15" i="3"/>
  <c r="F14" i="3" a="1"/>
  <c r="E14" i="3" a="1"/>
  <c r="E14" i="3" l="1"/>
  <c r="AF15" i="3"/>
  <c r="AN15" i="3"/>
  <c r="F14" i="3"/>
  <c r="Y14" i="3"/>
  <c r="AH14" i="3"/>
  <c r="AI14" i="3" s="1"/>
  <c r="K14" i="3" a="1"/>
  <c r="L14" i="3" a="1"/>
  <c r="G14" i="3" a="1"/>
  <c r="H14" i="3" a="1"/>
  <c r="J14" i="3" a="1"/>
  <c r="I14" i="3" a="1"/>
  <c r="I14" i="3" l="1"/>
  <c r="W14" i="3" s="1"/>
  <c r="J14" i="3"/>
  <c r="H14" i="3"/>
  <c r="G14" i="3"/>
  <c r="AZ14" i="3" s="1"/>
  <c r="L14" i="3"/>
  <c r="K14" i="3"/>
  <c r="AD14" i="3"/>
  <c r="Z14" i="3"/>
  <c r="AA14" i="3" s="1"/>
  <c r="AB14" i="3"/>
  <c r="AO14" i="3" s="1"/>
  <c r="AR14" i="3" s="1"/>
  <c r="AS14" i="3" s="1"/>
  <c r="BL14" i="3"/>
  <c r="BP14" i="3" s="1"/>
  <c r="BK14" i="3" s="1"/>
  <c r="BO14" i="3" s="1"/>
  <c r="AJ14" i="3"/>
  <c r="AQ14" i="3"/>
  <c r="BA14" i="3" s="1"/>
  <c r="C13" i="3" a="1"/>
  <c r="AT14" i="3"/>
  <c r="BN14" i="3" l="1"/>
  <c r="AU14" i="3"/>
  <c r="AV14" i="3" s="1"/>
  <c r="U14" i="3"/>
  <c r="AL14" i="3"/>
  <c r="AW14" i="3"/>
  <c r="AX14" i="3" s="1"/>
  <c r="AY14" i="3" s="1"/>
  <c r="BB14" i="3"/>
  <c r="BC14" i="3" s="1"/>
  <c r="C13" i="3"/>
  <c r="AK14" i="3" a="1"/>
  <c r="D13" i="3" a="1"/>
  <c r="AK14" i="3" l="1"/>
  <c r="BF14" i="3"/>
  <c r="BD14" i="3"/>
  <c r="BM14" i="3"/>
  <c r="D13" i="3"/>
  <c r="AE14" i="3"/>
  <c r="AM14" i="3"/>
  <c r="E13" i="3" a="1"/>
  <c r="F13" i="3" a="1"/>
  <c r="E13" i="3" l="1"/>
  <c r="AN14" i="3"/>
  <c r="AF14" i="3"/>
  <c r="F13" i="3"/>
  <c r="Y13" i="3"/>
  <c r="AH13" i="3"/>
  <c r="AI13" i="3" s="1"/>
  <c r="K13" i="3" a="1"/>
  <c r="I13" i="3" a="1"/>
  <c r="J13" i="3" a="1"/>
  <c r="L13" i="3" a="1"/>
  <c r="G13" i="3" a="1"/>
  <c r="H13" i="3" a="1"/>
  <c r="H13" i="3" l="1"/>
  <c r="G13" i="3"/>
  <c r="L13" i="3"/>
  <c r="J13" i="3"/>
  <c r="I13" i="3"/>
  <c r="W13" i="3" s="1"/>
  <c r="K13" i="3"/>
  <c r="AD13" i="3"/>
  <c r="Z13" i="3"/>
  <c r="AA13" i="3" s="1"/>
  <c r="AB13" i="3"/>
  <c r="AO13" i="3" s="1"/>
  <c r="BL13" i="3"/>
  <c r="BP13" i="3" s="1"/>
  <c r="BK13" i="3" s="1"/>
  <c r="U13" i="3" l="1"/>
  <c r="AL13" i="3"/>
  <c r="AJ13" i="3"/>
  <c r="AR13" i="3"/>
  <c r="AS13" i="3" s="1"/>
  <c r="AQ13" i="3"/>
  <c r="BA13" i="3" s="1"/>
  <c r="AW13" i="3"/>
  <c r="AX13" i="3" s="1"/>
  <c r="AZ13" i="3"/>
  <c r="BN13" i="3"/>
  <c r="BO13" i="3"/>
  <c r="AK13" i="3" a="1"/>
  <c r="AT13" i="3"/>
  <c r="C12" i="3" a="1"/>
  <c r="AU13" i="3" l="1"/>
  <c r="AV13" i="3" s="1"/>
  <c r="AK13" i="3"/>
  <c r="BB13" i="3"/>
  <c r="BF13" i="3" s="1"/>
  <c r="AY13" i="3"/>
  <c r="C12" i="3"/>
  <c r="AM13" i="3"/>
  <c r="AE13" i="3"/>
  <c r="D12" i="3" a="1"/>
  <c r="AF13" i="3" l="1"/>
  <c r="AN13" i="3"/>
  <c r="BD13" i="3"/>
  <c r="BM13" i="3"/>
  <c r="BC13" i="3"/>
  <c r="D12" i="3"/>
  <c r="E12" i="3" a="1"/>
  <c r="F12" i="3" a="1"/>
  <c r="E12" i="3" l="1"/>
  <c r="F12" i="3"/>
  <c r="Y12" i="3"/>
  <c r="AH12" i="3"/>
  <c r="AI12" i="3" s="1"/>
  <c r="L12" i="3" a="1"/>
  <c r="G12" i="3" a="1"/>
  <c r="H12" i="3" a="1"/>
  <c r="I12" i="3" a="1"/>
  <c r="K12" i="3" a="1"/>
  <c r="J12" i="3" a="1"/>
  <c r="J12" i="3" l="1"/>
  <c r="K12" i="3"/>
  <c r="I12" i="3"/>
  <c r="W12" i="3" s="1"/>
  <c r="H12" i="3"/>
  <c r="G12" i="3"/>
  <c r="L12" i="3"/>
  <c r="AB12" i="3" s="1"/>
  <c r="AO12" i="3" s="1"/>
  <c r="AR12" i="3" s="1"/>
  <c r="AS12" i="3" s="1"/>
  <c r="AD12" i="3"/>
  <c r="Z12" i="3"/>
  <c r="AA12" i="3" s="1"/>
  <c r="BL12" i="3"/>
  <c r="BP12" i="3" s="1"/>
  <c r="BK12" i="3" s="1"/>
  <c r="BO12" i="3" s="1"/>
  <c r="AW12" i="3"/>
  <c r="AZ12" i="3"/>
  <c r="BN12" i="3"/>
  <c r="C11" i="3" a="1"/>
  <c r="AT12" i="3"/>
  <c r="AU12" i="3" l="1"/>
  <c r="AV12" i="3" s="1"/>
  <c r="AQ12" i="3"/>
  <c r="BA12" i="3" s="1"/>
  <c r="U12" i="3"/>
  <c r="AL12" i="3"/>
  <c r="AX12" i="3"/>
  <c r="AJ12" i="3"/>
  <c r="BB12" i="3"/>
  <c r="BC12" i="3" s="1"/>
  <c r="AY12" i="3"/>
  <c r="C11" i="3"/>
  <c r="AK12" i="3" a="1"/>
  <c r="D11" i="3" a="1"/>
  <c r="AK12" i="3" l="1"/>
  <c r="BF12" i="3"/>
  <c r="BM12" i="3"/>
  <c r="BD12" i="3"/>
  <c r="D11" i="3"/>
  <c r="AM12" i="3"/>
  <c r="AE12" i="3"/>
  <c r="F11" i="3" a="1"/>
  <c r="E11" i="3" a="1"/>
  <c r="E11" i="3" l="1"/>
  <c r="AF12" i="3"/>
  <c r="AN12" i="3"/>
  <c r="F11" i="3"/>
  <c r="Y11" i="3"/>
  <c r="AH11" i="3"/>
  <c r="AI11" i="3" s="1"/>
  <c r="K11" i="3" a="1"/>
  <c r="G11" i="3" a="1"/>
  <c r="H11" i="3" a="1"/>
  <c r="I11" i="3" a="1"/>
  <c r="L11" i="3" a="1"/>
  <c r="J11" i="3" a="1"/>
  <c r="J11" i="3" l="1"/>
  <c r="L11" i="3"/>
  <c r="AB11" i="3" s="1"/>
  <c r="AO11" i="3" s="1"/>
  <c r="I11" i="3"/>
  <c r="W11" i="3" s="1"/>
  <c r="H11" i="3"/>
  <c r="G11" i="3"/>
  <c r="AZ11" i="3" s="1"/>
  <c r="K11" i="3"/>
  <c r="AD11" i="3"/>
  <c r="Z11" i="3"/>
  <c r="AA11" i="3" s="1"/>
  <c r="BL11" i="3"/>
  <c r="BP11" i="3" s="1"/>
  <c r="BK11" i="3" s="1"/>
  <c r="BO11" i="3" s="1"/>
  <c r="AR11" i="3"/>
  <c r="AS11" i="3" s="1"/>
  <c r="AQ11" i="3"/>
  <c r="BA11" i="3" s="1"/>
  <c r="AW11" i="3"/>
  <c r="C10" i="3" a="1"/>
  <c r="AT11" i="3"/>
  <c r="AX11" i="3" l="1"/>
  <c r="BN11" i="3"/>
  <c r="AU11" i="3"/>
  <c r="AV11" i="3" s="1"/>
  <c r="AL11" i="3"/>
  <c r="U11" i="3"/>
  <c r="AJ11" i="3"/>
  <c r="BB11" i="3"/>
  <c r="BC11" i="3" s="1"/>
  <c r="AY11" i="3"/>
  <c r="C10" i="3"/>
  <c r="AK11" i="3" a="1"/>
  <c r="D10" i="3" a="1"/>
  <c r="AK11" i="3" l="1"/>
  <c r="BF11" i="3"/>
  <c r="BD11" i="3"/>
  <c r="BM11" i="3"/>
  <c r="D10" i="3"/>
  <c r="AM11" i="3"/>
  <c r="AE11" i="3"/>
  <c r="E10" i="3" a="1"/>
  <c r="F10" i="3" a="1"/>
  <c r="E10" i="3" l="1"/>
  <c r="AF11" i="3"/>
  <c r="AN11" i="3"/>
  <c r="F10" i="3"/>
  <c r="Y10" i="3"/>
  <c r="AH10" i="3"/>
  <c r="AI10" i="3" s="1"/>
  <c r="K10" i="3" a="1"/>
  <c r="L10" i="3" a="1"/>
  <c r="G10" i="3" a="1"/>
  <c r="H10" i="3" a="1"/>
  <c r="I10" i="3" a="1"/>
  <c r="J10" i="3" a="1"/>
  <c r="J10" i="3" l="1"/>
  <c r="I10" i="3"/>
  <c r="W10" i="3" s="1"/>
  <c r="H10" i="3"/>
  <c r="G10" i="3"/>
  <c r="L10" i="3"/>
  <c r="AB10" i="3" s="1"/>
  <c r="AO10" i="3" s="1"/>
  <c r="AR10" i="3" s="1"/>
  <c r="AS10" i="3" s="1"/>
  <c r="K10" i="3"/>
  <c r="AD10" i="3"/>
  <c r="Z10" i="3"/>
  <c r="AA10" i="3" s="1"/>
  <c r="BL10" i="3"/>
  <c r="BP10" i="3" s="1"/>
  <c r="BK10" i="3" s="1"/>
  <c r="BO10" i="3" s="1"/>
  <c r="AQ10" i="3"/>
  <c r="BA10" i="3" s="1"/>
  <c r="AW10" i="3"/>
  <c r="AX10" i="3" s="1"/>
  <c r="AZ10" i="3"/>
  <c r="C9" i="3" a="1"/>
  <c r="AT10" i="3"/>
  <c r="BN10" i="3" l="1"/>
  <c r="AU10" i="3"/>
  <c r="AV10" i="3" s="1"/>
  <c r="U10" i="3"/>
  <c r="AL10" i="3"/>
  <c r="AJ10" i="3"/>
  <c r="BB10" i="3"/>
  <c r="BC10" i="3" s="1"/>
  <c r="AY10" i="3"/>
  <c r="C9" i="3"/>
  <c r="AK10" i="3" a="1"/>
  <c r="D9" i="3" a="1"/>
  <c r="AK10" i="3" l="1"/>
  <c r="BF10" i="3"/>
  <c r="BM10" i="3"/>
  <c r="BD10" i="3"/>
  <c r="D9" i="3"/>
  <c r="AM10" i="3"/>
  <c r="AE10" i="3"/>
  <c r="E9" i="3" a="1"/>
  <c r="F9" i="3" a="1"/>
  <c r="E9" i="3" l="1"/>
  <c r="AF10" i="3"/>
  <c r="AN10" i="3"/>
  <c r="F9" i="3"/>
  <c r="Y9" i="3"/>
  <c r="AH9" i="3"/>
  <c r="AI9" i="3" s="1"/>
  <c r="K9" i="3" a="1"/>
  <c r="L9" i="3" a="1"/>
  <c r="J9" i="3" a="1"/>
  <c r="G9" i="3" a="1"/>
  <c r="H9" i="3" a="1"/>
  <c r="I9" i="3" a="1"/>
  <c r="I9" i="3" l="1"/>
  <c r="W9" i="3" s="1"/>
  <c r="H9" i="3"/>
  <c r="G9" i="3"/>
  <c r="AZ9" i="3" s="1"/>
  <c r="J9" i="3"/>
  <c r="L9" i="3"/>
  <c r="K9" i="3"/>
  <c r="AD9" i="3"/>
  <c r="Z9" i="3"/>
  <c r="AA9" i="3" s="1"/>
  <c r="AB9" i="3"/>
  <c r="AO9" i="3" s="1"/>
  <c r="AR9" i="3" s="1"/>
  <c r="AS9" i="3" s="1"/>
  <c r="BL9" i="3"/>
  <c r="BP9" i="3" s="1"/>
  <c r="BK9" i="3" s="1"/>
  <c r="BO9" i="3" s="1"/>
  <c r="AJ9" i="3"/>
  <c r="AQ9" i="3"/>
  <c r="BA9" i="3" s="1"/>
  <c r="C8" i="3" a="1"/>
  <c r="AT9" i="3"/>
  <c r="BN9" i="3" l="1"/>
  <c r="AU9" i="3"/>
  <c r="AV9" i="3" s="1"/>
  <c r="AW9" i="3"/>
  <c r="AX9" i="3" s="1"/>
  <c r="U9" i="3"/>
  <c r="AL9" i="3"/>
  <c r="BB9" i="3"/>
  <c r="BF9" i="3" s="1"/>
  <c r="AY9" i="3"/>
  <c r="C8" i="3"/>
  <c r="AK9" i="3" a="1"/>
  <c r="D8" i="3" a="1"/>
  <c r="AK9" i="3" l="1"/>
  <c r="BM9" i="3"/>
  <c r="BC9" i="3"/>
  <c r="BD9" i="3"/>
  <c r="D8" i="3"/>
  <c r="AE9" i="3"/>
  <c r="AM9" i="3"/>
  <c r="F8" i="3" a="1"/>
  <c r="E8" i="3" a="1"/>
  <c r="E8" i="3" l="1"/>
  <c r="AN9" i="3"/>
  <c r="AF9" i="3"/>
  <c r="F8" i="3"/>
  <c r="Y8" i="3"/>
  <c r="AH8" i="3"/>
  <c r="AI8" i="3" s="1"/>
  <c r="K8" i="3" a="1"/>
  <c r="H8" i="3" a="1"/>
  <c r="I8" i="3" a="1"/>
  <c r="G8" i="3" a="1"/>
  <c r="J8" i="3" a="1"/>
  <c r="L8" i="3" a="1"/>
  <c r="L8" i="3" l="1"/>
  <c r="AB8" i="3" s="1"/>
  <c r="AO8" i="3" s="1"/>
  <c r="J8" i="3"/>
  <c r="G8" i="3"/>
  <c r="AZ8" i="3" s="1"/>
  <c r="I8" i="3"/>
  <c r="W8" i="3" s="1"/>
  <c r="H8" i="3"/>
  <c r="K8" i="3"/>
  <c r="AD8" i="3"/>
  <c r="Z8" i="3"/>
  <c r="AA8" i="3" s="1"/>
  <c r="BL8" i="3"/>
  <c r="BP8" i="3" s="1"/>
  <c r="BK8" i="3" s="1"/>
  <c r="BO8" i="3" s="1"/>
  <c r="AR8" i="3"/>
  <c r="AS8" i="3" s="1"/>
  <c r="AQ8" i="3"/>
  <c r="BA8" i="3" s="1"/>
  <c r="AW8" i="3"/>
  <c r="AX8" i="3" s="1"/>
  <c r="C7" i="3" a="1"/>
  <c r="AT8" i="3"/>
  <c r="BN8" i="3" l="1"/>
  <c r="AU8" i="3"/>
  <c r="AV8" i="3" s="1"/>
  <c r="U8" i="3"/>
  <c r="AL8" i="3"/>
  <c r="AJ8" i="3"/>
  <c r="BB8" i="3"/>
  <c r="BF8" i="3" s="1"/>
  <c r="AY8" i="3"/>
  <c r="C7" i="3"/>
  <c r="AK8" i="3" a="1"/>
  <c r="D7" i="3" a="1"/>
  <c r="AK8" i="3" l="1"/>
  <c r="BM8" i="3"/>
  <c r="BC8" i="3"/>
  <c r="BD8" i="3"/>
  <c r="D7" i="3"/>
  <c r="AE8" i="3"/>
  <c r="AM8" i="3"/>
  <c r="E7" i="3" a="1"/>
  <c r="F7" i="3" a="1"/>
  <c r="E7" i="3" l="1"/>
  <c r="AN8" i="3"/>
  <c r="AF8" i="3"/>
  <c r="F7" i="3"/>
  <c r="Y7" i="3"/>
  <c r="AH7" i="3"/>
  <c r="AI7" i="3" s="1"/>
  <c r="K7" i="3" a="1"/>
  <c r="L7" i="3" a="1"/>
  <c r="H7" i="3" a="1"/>
  <c r="I7" i="3" a="1"/>
  <c r="J7" i="3" a="1"/>
  <c r="G7" i="3" a="1"/>
  <c r="G7" i="3" l="1"/>
  <c r="J7" i="3"/>
  <c r="I7" i="3"/>
  <c r="W7" i="3" s="1"/>
  <c r="H7" i="3"/>
  <c r="L7" i="3"/>
  <c r="K7" i="3"/>
  <c r="AD7" i="3"/>
  <c r="Z7" i="3"/>
  <c r="AA7" i="3" s="1"/>
  <c r="AB7" i="3"/>
  <c r="AO7" i="3" s="1"/>
  <c r="AR7" i="3" s="1"/>
  <c r="AS7" i="3" s="1"/>
  <c r="BL7" i="3"/>
  <c r="BP7" i="3" s="1"/>
  <c r="BK7" i="3" s="1"/>
  <c r="BO7" i="3" s="1"/>
  <c r="AQ7" i="3"/>
  <c r="BA7" i="3" s="1"/>
  <c r="AW7" i="3"/>
  <c r="AZ7" i="3"/>
  <c r="C6" i="3" a="1"/>
  <c r="AT7" i="3"/>
  <c r="AX7" i="3" l="1"/>
  <c r="BN7" i="3"/>
  <c r="AU7" i="3"/>
  <c r="AV7" i="3" s="1"/>
  <c r="U7" i="3"/>
  <c r="AL7" i="3"/>
  <c r="AJ7" i="3"/>
  <c r="BB7" i="3"/>
  <c r="BF7" i="3" s="1"/>
  <c r="AY7" i="3"/>
  <c r="C6" i="3"/>
  <c r="AK7" i="3" a="1"/>
  <c r="D6" i="3" a="1"/>
  <c r="AK7" i="3" l="1"/>
  <c r="BM7" i="3"/>
  <c r="BD7" i="3"/>
  <c r="BC7" i="3"/>
  <c r="D6" i="3"/>
  <c r="AE7" i="3"/>
  <c r="AM7" i="3"/>
  <c r="E6" i="3" a="1"/>
  <c r="F6" i="3" a="1"/>
  <c r="E6" i="3" l="1"/>
  <c r="AN7" i="3"/>
  <c r="AF7" i="3"/>
  <c r="F6" i="3"/>
  <c r="Y6" i="3"/>
  <c r="AH6" i="3"/>
  <c r="AI6" i="3" s="1"/>
  <c r="K6" i="3" a="1"/>
  <c r="L6" i="3" a="1"/>
  <c r="G6" i="3" a="1"/>
  <c r="H6" i="3" a="1"/>
  <c r="I6" i="3" a="1"/>
  <c r="J6" i="3" a="1"/>
  <c r="J6" i="3" l="1"/>
  <c r="I6" i="3"/>
  <c r="W6" i="3" s="1"/>
  <c r="H6" i="3"/>
  <c r="G6" i="3"/>
  <c r="L6" i="3"/>
  <c r="AB6" i="3" s="1"/>
  <c r="AO6" i="3" s="1"/>
  <c r="AR6" i="3" s="1"/>
  <c r="AS6" i="3" s="1"/>
  <c r="K6" i="3"/>
  <c r="AD6" i="3"/>
  <c r="Z6" i="3"/>
  <c r="AA6" i="3" s="1"/>
  <c r="BL6" i="3"/>
  <c r="BP6" i="3" s="1"/>
  <c r="BK6" i="3" s="1"/>
  <c r="BO6" i="3" s="1"/>
  <c r="AW6" i="3"/>
  <c r="AZ6" i="3"/>
  <c r="BN6" i="3"/>
  <c r="C5" i="3" a="1"/>
  <c r="AT6" i="3"/>
  <c r="AU6" i="3" l="1"/>
  <c r="AV6" i="3" s="1"/>
  <c r="U6" i="3"/>
  <c r="AL6" i="3"/>
  <c r="AQ6" i="3"/>
  <c r="BA6" i="3" s="1"/>
  <c r="BB6" i="3" s="1"/>
  <c r="BC6" i="3" s="1"/>
  <c r="AJ6" i="3"/>
  <c r="C5" i="3"/>
  <c r="AK6" i="3" a="1"/>
  <c r="D5" i="3" a="1"/>
  <c r="AK6" i="3" l="1"/>
  <c r="AX6" i="3"/>
  <c r="AY6" i="3" s="1"/>
  <c r="BD6" i="3"/>
  <c r="BM6" i="3"/>
  <c r="BF6" i="3"/>
  <c r="D5" i="3"/>
  <c r="AE6" i="3"/>
  <c r="AM6" i="3"/>
  <c r="E5" i="3" a="1"/>
  <c r="F5" i="3" a="1"/>
  <c r="E5" i="3" l="1"/>
  <c r="AN6" i="3"/>
  <c r="AF6" i="3"/>
  <c r="F5" i="3"/>
  <c r="Y5" i="3"/>
  <c r="AH5" i="3"/>
  <c r="AI5" i="3" s="1"/>
  <c r="K5" i="3" a="1"/>
  <c r="L5" i="3" a="1"/>
  <c r="G5" i="3" a="1"/>
  <c r="H5" i="3" a="1"/>
  <c r="I5" i="3" a="1"/>
  <c r="J5" i="3" a="1"/>
  <c r="J5" i="3" l="1"/>
  <c r="I5" i="3"/>
  <c r="W5" i="3" s="1"/>
  <c r="H5" i="3"/>
  <c r="G5" i="3"/>
  <c r="AZ5" i="3" s="1"/>
  <c r="L5" i="3"/>
  <c r="K5" i="3"/>
  <c r="AD5" i="3"/>
  <c r="Z5" i="3"/>
  <c r="AA5" i="3" s="1"/>
  <c r="AB5" i="3"/>
  <c r="AO5" i="3" s="1"/>
  <c r="AR5" i="3" s="1"/>
  <c r="AS5" i="3" s="1"/>
  <c r="BL5" i="3"/>
  <c r="BP5" i="3" s="1"/>
  <c r="BK5" i="3" s="1"/>
  <c r="BO5" i="3" s="1"/>
  <c r="AJ5" i="3"/>
  <c r="AQ5" i="3"/>
  <c r="BA5" i="3" s="1"/>
  <c r="C4" i="3" a="1"/>
  <c r="AT5" i="3"/>
  <c r="AW5" i="3" l="1"/>
  <c r="AX5" i="3" s="1"/>
  <c r="BN5" i="3"/>
  <c r="AU5" i="3"/>
  <c r="AV5" i="3" s="1"/>
  <c r="U5" i="3"/>
  <c r="AL5" i="3"/>
  <c r="BB5" i="3"/>
  <c r="BF5" i="3" s="1"/>
  <c r="AY5" i="3"/>
  <c r="C4" i="3"/>
  <c r="AK5" i="3" a="1"/>
  <c r="D4" i="3" a="1"/>
  <c r="AK5" i="3" l="1"/>
  <c r="BM5" i="3"/>
  <c r="BC5" i="3"/>
  <c r="BD5" i="3"/>
  <c r="D4" i="3"/>
  <c r="AE5" i="3"/>
  <c r="AM5" i="3"/>
  <c r="F4" i="3" a="1"/>
  <c r="E4" i="3" a="1"/>
  <c r="E4" i="3" l="1"/>
  <c r="AN5" i="3"/>
  <c r="AF5" i="3"/>
  <c r="F4" i="3"/>
  <c r="Y4" i="3"/>
  <c r="AH4" i="3"/>
  <c r="AI4" i="3" s="1"/>
  <c r="K4" i="3" a="1"/>
  <c r="G4" i="3" a="1"/>
  <c r="J4" i="3" a="1"/>
  <c r="L4" i="3" a="1"/>
  <c r="H4" i="3" a="1"/>
  <c r="I4" i="3" a="1"/>
  <c r="I4" i="3" l="1"/>
  <c r="W4" i="3" s="1"/>
  <c r="H4" i="3"/>
  <c r="L4" i="3"/>
  <c r="AB4" i="3" s="1"/>
  <c r="AO4" i="3" s="1"/>
  <c r="AR4" i="3" s="1"/>
  <c r="AS4" i="3" s="1"/>
  <c r="J4" i="3"/>
  <c r="G4" i="3"/>
  <c r="AZ4" i="3" s="1"/>
  <c r="K4" i="3"/>
  <c r="AD4" i="3"/>
  <c r="Z4" i="3"/>
  <c r="AA4" i="3" s="1"/>
  <c r="BL4" i="3"/>
  <c r="BP4" i="3" s="1"/>
  <c r="BK4" i="3" s="1"/>
  <c r="BO4" i="3" s="1"/>
  <c r="AJ4" i="3"/>
  <c r="AQ4" i="3"/>
  <c r="BA4" i="3" s="1"/>
  <c r="AW4" i="3"/>
  <c r="AX4" i="3" s="1"/>
  <c r="C3" i="3" a="1"/>
  <c r="AT4" i="3"/>
  <c r="BN4" i="3" l="1"/>
  <c r="AU4" i="3"/>
  <c r="AV4" i="3" s="1"/>
  <c r="U4" i="3"/>
  <c r="AL4" i="3"/>
  <c r="BB4" i="3"/>
  <c r="BF4" i="3" s="1"/>
  <c r="AY4" i="3"/>
  <c r="C3" i="3"/>
  <c r="D3" i="3" a="1"/>
  <c r="AK4" i="3" a="1"/>
  <c r="AK4" i="3" l="1"/>
  <c r="BM4" i="3"/>
  <c r="BC4" i="3"/>
  <c r="BD4" i="3"/>
  <c r="D3" i="3"/>
  <c r="AE4" i="3"/>
  <c r="AM4" i="3"/>
  <c r="E3" i="3" a="1"/>
  <c r="F3" i="3" a="1"/>
  <c r="E3" i="3" l="1"/>
  <c r="AN4" i="3"/>
  <c r="AF4" i="3"/>
  <c r="F3" i="3"/>
  <c r="Y3" i="3"/>
  <c r="AH3" i="3"/>
  <c r="AI3" i="3" s="1"/>
  <c r="K3" i="3" a="1"/>
  <c r="L3" i="3" a="1"/>
  <c r="G3" i="3" a="1"/>
  <c r="I3" i="3" a="1"/>
  <c r="H3" i="3" a="1"/>
  <c r="J3" i="3" a="1"/>
  <c r="J3" i="3" l="1"/>
  <c r="H3" i="3"/>
  <c r="I3" i="3"/>
  <c r="W3" i="3" s="1"/>
  <c r="G3" i="3"/>
  <c r="L3" i="3"/>
  <c r="K3" i="3"/>
  <c r="AD3" i="3"/>
  <c r="Z3" i="3"/>
  <c r="AA3" i="3" s="1"/>
  <c r="AB3" i="3"/>
  <c r="AO3" i="3" s="1"/>
  <c r="BL3" i="3"/>
  <c r="BP3" i="3" s="1"/>
  <c r="BK3" i="3" s="1"/>
  <c r="U3" i="3" l="1"/>
  <c r="AL3" i="3"/>
  <c r="AJ3" i="3"/>
  <c r="AR3" i="3"/>
  <c r="AS3" i="3" s="1"/>
  <c r="AQ3" i="3"/>
  <c r="BA3" i="3" s="1"/>
  <c r="AW3" i="3"/>
  <c r="AX3" i="3" s="1"/>
  <c r="AZ3" i="3"/>
  <c r="BN3" i="3"/>
  <c r="BO3" i="3"/>
  <c r="AK3" i="3" a="1"/>
  <c r="AT3" i="3"/>
  <c r="C2" i="3" a="1"/>
  <c r="AU3" i="3" l="1"/>
  <c r="AV3" i="3" s="1"/>
  <c r="AK3" i="3"/>
  <c r="BB3" i="3"/>
  <c r="BD3" i="3" s="1"/>
  <c r="AY3" i="3"/>
  <c r="C2" i="3"/>
  <c r="AM3" i="3"/>
  <c r="AE3" i="3"/>
  <c r="D2" i="3" a="1"/>
  <c r="AF3" i="3" l="1"/>
  <c r="AN3" i="3"/>
  <c r="BF3" i="3"/>
  <c r="BM3" i="3"/>
  <c r="BC3" i="3"/>
  <c r="D2" i="3"/>
  <c r="E2" i="3" a="1"/>
  <c r="F2" i="3" a="1"/>
  <c r="E2" i="3" l="1"/>
  <c r="F2" i="3"/>
  <c r="Y2" i="3"/>
  <c r="AH2" i="3"/>
  <c r="AI2" i="3" s="1"/>
  <c r="L2" i="3" a="1"/>
  <c r="H2" i="3" a="1"/>
  <c r="G2" i="3" a="1"/>
  <c r="J2" i="3" a="1"/>
  <c r="K2" i="3" a="1"/>
  <c r="I2" i="3" a="1"/>
  <c r="I2" i="3" l="1"/>
  <c r="W2" i="3" s="1"/>
  <c r="K2" i="3"/>
  <c r="J2" i="3"/>
  <c r="G2" i="3"/>
  <c r="H2" i="3"/>
  <c r="L2" i="3"/>
  <c r="AB2" i="3" s="1"/>
  <c r="AO2" i="3" s="1"/>
  <c r="AR2" i="3" s="1"/>
  <c r="AS2" i="3" s="1"/>
  <c r="AD2" i="3"/>
  <c r="Z2" i="3"/>
  <c r="AA2" i="3" s="1"/>
  <c r="BL2" i="3"/>
  <c r="BP2" i="3" s="1"/>
  <c r="BK2" i="3" s="1"/>
  <c r="BO2" i="3" s="1"/>
  <c r="AJ2" i="3"/>
  <c r="AW2" i="3"/>
  <c r="AZ2" i="3"/>
  <c r="AT2" i="3"/>
  <c r="BN2" i="3" l="1"/>
  <c r="AU2" i="3"/>
  <c r="AV2" i="3" s="1"/>
  <c r="AQ2" i="3"/>
  <c r="BA2" i="3" s="1"/>
  <c r="AL2" i="3"/>
  <c r="U2" i="3"/>
  <c r="BB2" i="3"/>
  <c r="BF2" i="3" s="1"/>
  <c r="AK2" i="3" a="1"/>
  <c r="AK2" i="3" l="1"/>
  <c r="AX2" i="3"/>
  <c r="AY2" i="3" s="1"/>
  <c r="BM2" i="3"/>
  <c r="BD2" i="3"/>
  <c r="BC2" i="3"/>
  <c r="AE2" i="3"/>
  <c r="AM2" i="3"/>
  <c r="AN2" i="3" l="1"/>
  <c r="AF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<sst xmlns="http://schemas.openxmlformats.org/spreadsheetml/2006/main" count="161" uniqueCount="146">
  <si>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</si>
  <si>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</si>
  <si>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</si>
  <si>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</si>
  <si>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</si>
  <si>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</si>
  <si>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</si>
  <si>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</si>
  <si>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</si>
  <si>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</si>
  <si>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</si>
  <si>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</si>
  <si>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G</t>
  </si>
  <si>
    <t>A</t>
  </si>
  <si>
    <t>Pw</t>
  </si>
  <si>
    <t>DH</t>
  </si>
  <si>
    <t>Tin</t>
  </si>
  <si>
    <t>Tf</t>
  </si>
  <si>
    <t>f(beta)</t>
  </si>
  <si>
    <t>Re</t>
  </si>
  <si>
    <t>f</t>
  </si>
  <si>
    <t>f_left</t>
  </si>
  <si>
    <t>f_rihgt</t>
  </si>
  <si>
    <t>DB</t>
  </si>
  <si>
    <t>Tw</t>
  </si>
  <si>
    <t>Tm</t>
  </si>
  <si>
    <t>tauw</t>
  </si>
  <si>
    <t>Utau</t>
  </si>
  <si>
    <t>Q</t>
  </si>
  <si>
    <t>Pr</t>
  </si>
  <si>
    <t>delta</t>
  </si>
  <si>
    <t>UB</t>
  </si>
  <si>
    <t>LB</t>
  </si>
  <si>
    <t>YB</t>
  </si>
  <si>
    <t>HG-HL</t>
  </si>
  <si>
    <t>LB/UB</t>
  </si>
  <si>
    <t>x_Mes</t>
  </si>
  <si>
    <t>Tsub</t>
  </si>
  <si>
    <t>(Tsub-40)^2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</si>
  <si>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</si>
  <si>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</si>
  <si>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</si>
  <si>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</si>
  <si>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</si>
  <si>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</si>
  <si>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</si>
  <si>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</si>
  <si>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</si>
  <si>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</si>
  <si>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</si>
  <si>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</si>
  <si>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</si>
  <si>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</si>
  <si>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</si>
  <si>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Step</t>
  </si>
  <si>
    <t>No</t>
  </si>
  <si>
    <t>q_in</t>
  </si>
  <si>
    <t>y_plus</t>
  </si>
  <si>
    <t>y_star</t>
  </si>
  <si>
    <t>y_plus2</t>
  </si>
  <si>
    <t>T(y_plus)</t>
  </si>
  <si>
    <t>YB_plus</t>
  </si>
  <si>
    <t>Karman_UB</t>
  </si>
  <si>
    <t>UBL</t>
  </si>
  <si>
    <t>UB_left</t>
  </si>
  <si>
    <t>CD</t>
  </si>
  <si>
    <t>UB_right</t>
  </si>
  <si>
    <t>q_P</t>
  </si>
  <si>
    <t>dq_chf</t>
  </si>
  <si>
    <t>dq_ratio</t>
  </si>
  <si>
    <t>q_M</t>
  </si>
  <si>
    <t>PM_ratio</t>
  </si>
  <si>
    <t>F_form</t>
  </si>
  <si>
    <t>A_corr</t>
  </si>
  <si>
    <t>σ_corr</t>
  </si>
  <si>
    <t>Fcorr</t>
  </si>
  <si>
    <t>q_P_MW</t>
  </si>
  <si>
    <t>Tsub2</t>
  </si>
  <si>
    <t>Fcorr2</t>
  </si>
  <si>
    <t>Tw_balance</t>
    <phoneticPr fontId="1"/>
  </si>
  <si>
    <t>y_star_balance</t>
    <phoneticPr fontId="1"/>
  </si>
  <si>
    <t>UB_balance</t>
    <phoneticPr fontId="1"/>
  </si>
  <si>
    <t>f_balance</t>
    <phoneticPr fontId="1"/>
  </si>
  <si>
    <t>RowNo</t>
  </si>
  <si>
    <t>y_star-delta</t>
  </si>
  <si>
    <t>delta&lt;0</t>
  </si>
  <si>
    <t>3_108</t>
  </si>
  <si>
    <t>4_108</t>
  </si>
  <si>
    <t>5_108</t>
  </si>
  <si>
    <t>6_108</t>
  </si>
  <si>
    <t>16_108</t>
  </si>
  <si>
    <t>17_108</t>
  </si>
  <si>
    <t>18_108</t>
  </si>
  <si>
    <t>19_108</t>
  </si>
  <si>
    <t>20_108</t>
  </si>
  <si>
    <t>21_108</t>
  </si>
  <si>
    <t>22_108</t>
  </si>
  <si>
    <t>26_108</t>
  </si>
  <si>
    <t>27_108</t>
  </si>
  <si>
    <t>28_108</t>
  </si>
  <si>
    <t>1_161</t>
  </si>
  <si>
    <t>2_161</t>
  </si>
  <si>
    <t>3_161</t>
  </si>
  <si>
    <t>4_161</t>
  </si>
  <si>
    <t>6_161</t>
  </si>
  <si>
    <t>7_161</t>
  </si>
  <si>
    <t>8_161</t>
  </si>
  <si>
    <t>9_161</t>
  </si>
  <si>
    <t>10_161</t>
  </si>
  <si>
    <t>11_161</t>
  </si>
  <si>
    <t>12_161</t>
  </si>
  <si>
    <t>15_161</t>
  </si>
  <si>
    <t>16_161</t>
  </si>
  <si>
    <t>25_161</t>
  </si>
  <si>
    <t>26_161</t>
  </si>
  <si>
    <t>30_161</t>
  </si>
  <si>
    <t>32_161</t>
  </si>
  <si>
    <t>33_161</t>
  </si>
  <si>
    <t>36_161</t>
  </si>
  <si>
    <t>37_161</t>
  </si>
  <si>
    <t>40_161</t>
  </si>
  <si>
    <t>45_161</t>
  </si>
  <si>
    <t>70_161</t>
  </si>
  <si>
    <t>2_164</t>
  </si>
  <si>
    <t>3_164</t>
  </si>
  <si>
    <t>5_164</t>
  </si>
  <si>
    <t>6_164</t>
  </si>
  <si>
    <t>8_164</t>
  </si>
  <si>
    <t>9_164</t>
  </si>
  <si>
    <t>10_164</t>
  </si>
  <si>
    <t>12_164</t>
  </si>
  <si>
    <t>13_164</t>
  </si>
  <si>
    <t>14_164</t>
  </si>
  <si>
    <t>17_164</t>
  </si>
  <si>
    <t>18_164</t>
  </si>
  <si>
    <t>19_164</t>
  </si>
  <si>
    <t>21_164</t>
  </si>
  <si>
    <t>22_164</t>
  </si>
  <si>
    <t>23_164</t>
  </si>
  <si>
    <t>43_164</t>
  </si>
  <si>
    <t>55_164</t>
  </si>
  <si>
    <t>71_164</t>
  </si>
  <si>
    <t>72_164</t>
  </si>
  <si>
    <t>F2</t>
    <phoneticPr fontId="1"/>
  </si>
  <si>
    <t>L_DNB</t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</si>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</sst>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0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49" fontId="5" fillId="13" borderId="0" xfId="0" applyNumberFormat="1" applyFont="1" applyFill="1">
      <alignment vertical="center"/>
    </xf>
    <xf numFmtId="0" fontId="5" fillId="13" borderId="0" xfId="0" applyFont="1" applyFill="1">
      <alignment vertical="center"/>
    </xf>
    <xf numFmtId="0" fontId="5" fillId="13" borderId="0" xfId="0" applyFont="1" applyFill="1" applyAlignment="1"/>
    <xf numFmtId="11" fontId="5" fillId="13" borderId="0" xfId="0" applyNumberFormat="1" applyFont="1" applyFill="1">
      <alignment vertical="center"/>
    </xf>
    <xf numFmtId="1" fontId="5" fillId="13" borderId="0" xfId="0" applyNumberFormat="1" applyFont="1" applyFill="1">
      <alignment vertical="center"/>
    </xf>
    <xf numFmtId="176" fontId="5" fillId="13" borderId="0" xfId="1" applyNumberFormat="1" applyFont="1" applyFill="1"/>
    <xf numFmtId="177" fontId="5" fillId="13" borderId="0" xfId="0" applyNumberFormat="1" applyFont="1" applyFill="1">
      <alignment vertical="center"/>
    </xf>
    <xf numFmtId="2" fontId="5" fillId="13" borderId="0" xfId="0" applyNumberFormat="1" applyFont="1" applyFill="1">
      <alignment vertical="center"/>
    </xf>
    <xf numFmtId="0" fontId="0" fillId="0" borderId="0" xfId="0" applyNumberForma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19050</xdr:colOff>
      <xdr:row>0</xdr:row>
      <xdr:rowOff>66675</xdr:rowOff>
    </xdr:from>
    <xdr:to>
      <xdr:col>27</xdr:col>
      <xdr:colOff>1235244</xdr:colOff>
      <xdr:row>0</xdr:row>
      <xdr:rowOff>492183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0" y="962025"/>
          <a:ext cx="1209844" cy="41915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23</xdr:col>
      <xdr:colOff>47625</xdr:colOff>
      <xdr:row>0</xdr:row>
      <xdr:rowOff>114300</xdr:rowOff>
    </xdr:from>
    <xdr:to>
      <xdr:col>24</xdr:col>
      <xdr:colOff>687</xdr:colOff>
      <xdr:row>0</xdr:row>
      <xdr:rowOff>514406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8300" y="1009650"/>
          <a:ext cx="2257740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24</xdr:col>
      <xdr:colOff>152400</xdr:colOff>
      <xdr:row>0</xdr:row>
      <xdr:rowOff>142875</xdr:rowOff>
    </xdr:from>
    <xdr:to>
      <xdr:col>24</xdr:col>
      <xdr:colOff>492172</xdr:colOff>
      <xdr:row>0</xdr:row>
      <xdr:rowOff>552507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40375" y="1038225"/>
          <a:ext cx="333422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25</xdr:col>
      <xdr:colOff>266700</xdr:colOff>
      <xdr:row>0</xdr:row>
      <xdr:rowOff>152400</xdr:rowOff>
    </xdr:from>
    <xdr:to>
      <xdr:col>25</xdr:col>
      <xdr:colOff>2168790</xdr:colOff>
      <xdr:row>0</xdr:row>
      <xdr:rowOff>568382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97625" y="1047750"/>
          <a:ext cx="1895740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34</xdr:col>
      <xdr:colOff>266700</xdr:colOff>
      <xdr:row>0</xdr:row>
      <xdr:rowOff>57150</xdr:rowOff>
    </xdr:from>
    <xdr:to>
      <xdr:col>34</xdr:col>
      <xdr:colOff>971648</xdr:colOff>
      <xdr:row>0</xdr:row>
      <xdr:rowOff>590624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965650" y="952500"/>
          <a:ext cx="704948" cy="53347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35</xdr:col>
      <xdr:colOff>85725</xdr:colOff>
      <xdr:row>0</xdr:row>
      <xdr:rowOff>76200</xdr:rowOff>
    </xdr:from>
    <xdr:to>
      <xdr:col>35</xdr:col>
      <xdr:colOff>895463</xdr:colOff>
      <xdr:row>0</xdr:row>
      <xdr:rowOff>514411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8675" y="971550"/>
          <a:ext cx="809738" cy="4382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33</xdr:col>
      <xdr:colOff>419100</xdr:colOff>
      <xdr:row>0</xdr:row>
      <xdr:rowOff>76200</xdr:rowOff>
    </xdr:from>
    <xdr:to>
      <xdr:col>33</xdr:col>
      <xdr:colOff>971627</xdr:colOff>
      <xdr:row>0</xdr:row>
      <xdr:rowOff>530287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94050" y="971550"/>
          <a:ext cx="552527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36</xdr:col>
      <xdr:colOff>171450</xdr:colOff>
      <xdr:row>0</xdr:row>
      <xdr:rowOff>123825</xdr:rowOff>
    </xdr:from>
    <xdr:to>
      <xdr:col>36</xdr:col>
      <xdr:colOff>1082801</xdr:colOff>
      <xdr:row>0</xdr:row>
      <xdr:rowOff>552510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728025" y="1019175"/>
          <a:ext cx="905001" cy="4286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42</xdr:col>
      <xdr:colOff>19050</xdr:colOff>
      <xdr:row>0</xdr:row>
      <xdr:rowOff>133350</xdr:rowOff>
    </xdr:from>
    <xdr:to>
      <xdr:col>42</xdr:col>
      <xdr:colOff>1152691</xdr:colOff>
      <xdr:row>0</xdr:row>
      <xdr:rowOff>533456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357300" y="1028700"/>
          <a:ext cx="1190791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47</xdr:col>
      <xdr:colOff>247650</xdr:colOff>
      <xdr:row>0</xdr:row>
      <xdr:rowOff>152400</xdr:rowOff>
    </xdr:from>
    <xdr:to>
      <xdr:col>47</xdr:col>
      <xdr:colOff>819230</xdr:colOff>
      <xdr:row>0</xdr:row>
      <xdr:rowOff>473119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958125" y="1047750"/>
          <a:ext cx="571580" cy="31436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49</xdr:col>
      <xdr:colOff>95250</xdr:colOff>
      <xdr:row>0</xdr:row>
      <xdr:rowOff>76200</xdr:rowOff>
    </xdr:from>
    <xdr:to>
      <xdr:col>49</xdr:col>
      <xdr:colOff>1197128</xdr:colOff>
      <xdr:row>0</xdr:row>
      <xdr:rowOff>530287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186850" y="971550"/>
          <a:ext cx="1095528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19050</xdr:colOff>
      <xdr:row>0</xdr:row>
      <xdr:rowOff>66675</xdr:rowOff>
    </xdr:from>
    <xdr:to>
      <xdr:col>48</xdr:col>
      <xdr:colOff>1324168</xdr:colOff>
      <xdr:row>0</xdr:row>
      <xdr:rowOff>704939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110650" y="962025"/>
          <a:ext cx="1381318" cy="63826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20</xdr:col>
      <xdr:colOff>28575</xdr:colOff>
      <xdr:row>0</xdr:row>
      <xdr:rowOff>190500</xdr:rowOff>
    </xdr:from>
    <xdr:to>
      <xdr:col>20</xdr:col>
      <xdr:colOff>1082821</xdr:colOff>
      <xdr:row>0</xdr:row>
      <xdr:rowOff>625535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97250" y="1085850"/>
          <a:ext cx="1047896" cy="42868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28</xdr:col>
      <xdr:colOff>771525</xdr:colOff>
      <xdr:row>0</xdr:row>
      <xdr:rowOff>114300</xdr:rowOff>
    </xdr:from>
    <xdr:ext cx="809738" cy="438211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40350" y="1009650"/>
          <a:ext cx="809738" cy="438211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59" totalsRowShown="0">
  <autoFilter ref="A1:BR59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>
      <calculatedColumnFormula>1+テーブル2[[#This Row],[A_corr]]*EXP(-テーブル2[[#This Row],[(Tsub-40)^2]]/テーブル2[[#This Row],[σ_corr]])</calculatedColumnFormula>
    </tableColumn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BB8CE634-CD0C-46E5-9207-D07BC91A14A4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48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23" t="s">
        <v>39</v>
      </c>
      <c r="B1" s="23" t="s">
        <v>40</v>
      </c>
      <c r="C1" s="23" t="s">
        <v>41</v>
      </c>
      <c r="D1" s="23" t="s">
        <v>42</v>
      </c>
      <c r="E1" s="23" t="s">
        <v>43</v>
      </c>
      <c r="F1" s="23" t="s">
        <v>44</v>
      </c>
      <c r="G1" s="23" t="s">
        <v>45</v>
      </c>
      <c r="H1" s="23" t="s">
        <v>46</v>
      </c>
      <c r="I1" s="23" t="s">
        <v>47</v>
      </c>
      <c r="J1" s="23" t="s">
        <v>48</v>
      </c>
      <c r="K1" s="23" t="s">
        <v>11</v>
      </c>
      <c r="M1" s="24" t="s">
        <v>49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417503.91083365487</v>
      </c>
      <c r="F2">
        <v>2674947.6774689942</v>
      </c>
      <c r="G2">
        <v>2.8275054163792235E-4</v>
      </c>
      <c r="H2">
        <v>1.2218464015897248E-5</v>
      </c>
      <c r="I2">
        <v>0.67706063852756737</v>
      </c>
      <c r="J2">
        <v>4215.2228770654929</v>
      </c>
      <c r="K2">
        <v>5.8997248632534069E-2</v>
      </c>
      <c r="M2" t="s">
        <v>50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1.2251224495341306E-5</v>
      </c>
      <c r="I3">
        <v>0.67741596500517487</v>
      </c>
      <c r="J3">
        <v>4216.3074734940428</v>
      </c>
      <c r="K3">
        <v>5.8813650026566154E-2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1258626.4713629826</v>
      </c>
      <c r="F4">
        <v>2774863.2172916508</v>
      </c>
      <c r="G4">
        <v>9.1928026726738571E-5</v>
      </c>
      <c r="H4">
        <v>1.8812418136402912E-5</v>
      </c>
      <c r="I4">
        <v>0.57547908399454439</v>
      </c>
      <c r="J4">
        <v>5367.8848362695135</v>
      </c>
      <c r="K4">
        <v>1.7852909015351522E-2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1260424.2202912145</v>
      </c>
      <c r="F5">
        <v>2774425.9806907387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35.912218974162315</v>
      </c>
      <c r="E6">
        <v>1262216.9602104735</v>
      </c>
      <c r="F6">
        <v>2773986.3547672625</v>
      </c>
      <c r="G6">
        <v>9.1664210536410444E-5</v>
      </c>
      <c r="H6">
        <v>1.8842962394587807E-5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1.8858208761437205E-5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36.313396913129836</v>
      </c>
      <c r="E8">
        <v>1265787.6120255352</v>
      </c>
      <c r="F8">
        <v>2773099.9795593969</v>
      </c>
      <c r="G8">
        <v>9.1402939649199843E-5</v>
      </c>
      <c r="H8">
        <v>1.8873438554470605E-5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1267565.6217992639</v>
      </c>
      <c r="F9">
        <v>2772653.2520028893</v>
      </c>
      <c r="G9">
        <v>9.1273239351942053E-5</v>
      </c>
      <c r="H9">
        <v>1.8888652218810944E-5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36.525088826851935</v>
      </c>
      <c r="E10">
        <v>1267659.2832643443</v>
      </c>
      <c r="F10">
        <v>2772629.620505983</v>
      </c>
      <c r="G10">
        <v>9.1266414355739841E-5</v>
      </c>
      <c r="H10">
        <v>1.8889454347379294E-5</v>
      </c>
      <c r="I10">
        <v>0.57314906244367347</v>
      </c>
      <c r="J10">
        <v>5402.4794639967822</v>
      </c>
      <c r="K10">
        <v>1.7459835261136696E-2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2772204.1785875577</v>
      </c>
      <c r="G11">
        <v>9.1144152416375426E-5</v>
      </c>
      <c r="H11">
        <v>1.8903850195194508E-5</v>
      </c>
      <c r="I11">
        <v>0.5727142467148485</v>
      </c>
      <c r="J11">
        <v>5409.0339951429487</v>
      </c>
      <c r="K11">
        <v>1.7387053945399567E-2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1271107.2490317759</v>
      </c>
      <c r="F12">
        <v>2771752.7696196139</v>
      </c>
      <c r="G12">
        <v>9.1015671440181417E-5</v>
      </c>
      <c r="H12">
        <v>1.8919032920070647E-5</v>
      </c>
      <c r="I12">
        <v>0.5722558872415161</v>
      </c>
      <c r="J12">
        <v>5415.9776735122296</v>
      </c>
      <c r="K12">
        <v>1.7310525026362673E-2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37.119663466644056</v>
      </c>
      <c r="E13">
        <v>1272870.960624882</v>
      </c>
      <c r="F13">
        <v>2771299.0351890107</v>
      </c>
      <c r="G13">
        <v>9.0887789137660192E-5</v>
      </c>
      <c r="H13">
        <v>1.8934200825699127E-5</v>
      </c>
      <c r="I13">
        <v>0.57179821219430105</v>
      </c>
      <c r="J13">
        <v>5422.9463299177496</v>
      </c>
      <c r="K13">
        <v>1.7234307646221154E-2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38.543434954242066</v>
      </c>
      <c r="E14">
        <v>1285088.6131588942</v>
      </c>
      <c r="F14">
        <v>2768058.5850062394</v>
      </c>
      <c r="G14">
        <v>9.0008787265423692E-5</v>
      </c>
      <c r="H14">
        <v>1.9039996699282652E-5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 s="10">
        <v>10273187.93</v>
      </c>
      <c r="B15" s="10">
        <v>586.13430346130383</v>
      </c>
      <c r="C15" s="10">
        <v>683.87988086598716</v>
      </c>
      <c r="D15" s="10">
        <v>57.352435344035484</v>
      </c>
      <c r="E15" s="10">
        <v>1419800.7015599329</v>
      </c>
      <c r="F15" s="10">
        <v>2720431.3258571494</v>
      </c>
      <c r="G15" s="10">
        <v>8.0969891423623451E-5</v>
      </c>
      <c r="H15" s="10">
        <v>2.0315305298798345E-5</v>
      </c>
      <c r="I15" s="10">
        <v>0.53200974031765291</v>
      </c>
      <c r="J15" s="10">
        <v>6204.9107072464121</v>
      </c>
      <c r="K15" s="10">
        <v>1.1305692890007803E-2</v>
      </c>
    </row>
    <row r="16" spans="1:13" x14ac:dyDescent="0.15">
      <c r="A16" s="10">
        <v>10376609.285</v>
      </c>
      <c r="B16" s="10">
        <v>586.8759119145376</v>
      </c>
      <c r="C16" s="10">
        <v>682.16154807641692</v>
      </c>
      <c r="D16" s="10">
        <v>58.076085118479952</v>
      </c>
      <c r="E16" s="10">
        <v>1424210.7808278007</v>
      </c>
      <c r="F16" s="10">
        <v>2718482.2329562278</v>
      </c>
      <c r="G16" s="10">
        <v>8.0690155610351578E-5</v>
      </c>
      <c r="H16" s="10">
        <v>2.0361344287286353E-5</v>
      </c>
      <c r="I16" s="10">
        <v>0.53077197244693697</v>
      </c>
      <c r="J16" s="10">
        <v>6236.5350644444852</v>
      </c>
      <c r="K16" s="10">
        <v>1.114199646546294E-2</v>
      </c>
    </row>
    <row r="17" spans="1:11" x14ac:dyDescent="0.15">
      <c r="A17" s="10">
        <v>10411083.07</v>
      </c>
      <c r="B17" s="10">
        <v>587.12184153560975</v>
      </c>
      <c r="C17" s="10">
        <v>681.58894372584575</v>
      </c>
      <c r="D17" s="10">
        <v>58.318347416861954</v>
      </c>
      <c r="E17" s="10">
        <v>1425676.9151810594</v>
      </c>
      <c r="F17" s="10">
        <v>2717828.4834664925</v>
      </c>
      <c r="G17" s="10">
        <v>8.0597336130161507E-5</v>
      </c>
      <c r="H17" s="10">
        <v>2.0376724170658081E-5</v>
      </c>
      <c r="I17" s="10">
        <v>0.53036001180466197</v>
      </c>
      <c r="J17" s="10">
        <v>6247.1878014014937</v>
      </c>
      <c r="K17" s="10">
        <v>1.1087777486461222E-2</v>
      </c>
    </row>
    <row r="18" spans="1:11" x14ac:dyDescent="0.15">
      <c r="A18" s="10">
        <v>10445556.854999999</v>
      </c>
      <c r="B18" s="10">
        <v>587.36714056353833</v>
      </c>
      <c r="C18" s="10">
        <v>681.0164156251443</v>
      </c>
      <c r="D18" s="10">
        <v>58.56113711330066</v>
      </c>
      <c r="E18" s="10">
        <v>1427141.1347125513</v>
      </c>
      <c r="F18" s="10">
        <v>2717172.7048884607</v>
      </c>
      <c r="G18" s="10">
        <v>8.0504725827435319E-5</v>
      </c>
      <c r="H18" s="10">
        <v>2.0392121333231654E-5</v>
      </c>
      <c r="I18" s="10">
        <v>0.52994836083727459</v>
      </c>
      <c r="J18" s="10">
        <v>6257.8970196920882</v>
      </c>
      <c r="K18" s="10">
        <v>1.1033730369434426E-2</v>
      </c>
    </row>
    <row r="19" spans="1:11" x14ac:dyDescent="0.15">
      <c r="A19" s="10">
        <v>10652399.564999999</v>
      </c>
      <c r="B19" s="10">
        <v>588.82588897650953</v>
      </c>
      <c r="C19" s="10">
        <v>677.5825015864292</v>
      </c>
      <c r="D19" s="10">
        <v>60.029106465050397</v>
      </c>
      <c r="E19" s="10">
        <v>1435887.2719265418</v>
      </c>
      <c r="F19" s="10">
        <v>2713195.3031657916</v>
      </c>
      <c r="G19" s="10">
        <v>7.9953334804478573E-5</v>
      </c>
      <c r="H19" s="10">
        <v>2.048488413123789E-5</v>
      </c>
      <c r="I19" s="10">
        <v>0.52748480460352509</v>
      </c>
      <c r="J19" s="10">
        <v>6323.3675605114504</v>
      </c>
      <c r="K19" s="10">
        <v>1.0713011407568288E-2</v>
      </c>
    </row>
    <row r="20" spans="1:11" x14ac:dyDescent="0.15">
      <c r="A20" s="10">
        <v>10790294.705</v>
      </c>
      <c r="B20" s="10">
        <v>589.78621399136853</v>
      </c>
      <c r="C20" s="10">
        <v>675.29396862991621</v>
      </c>
      <c r="D20" s="10">
        <v>61.018657698041302</v>
      </c>
      <c r="E20" s="10">
        <v>1441682.0426634967</v>
      </c>
      <c r="F20" s="10">
        <v>2710502.8313337835</v>
      </c>
      <c r="G20" s="10">
        <v>7.9589652595738828E-5</v>
      </c>
      <c r="H20" s="10">
        <v>2.0547110080122658E-5</v>
      </c>
      <c r="I20" s="10">
        <v>0.52584828353128565</v>
      </c>
      <c r="J20" s="10">
        <v>6368.2114890788816</v>
      </c>
      <c r="K20" s="10">
        <v>1.050253506811907E-2</v>
      </c>
    </row>
    <row r="21" spans="1:11" x14ac:dyDescent="0.15">
      <c r="A21" s="10">
        <v>12341615.029999999</v>
      </c>
      <c r="B21" s="10">
        <v>599.9799801328129</v>
      </c>
      <c r="C21" s="10">
        <v>649.46521010949471</v>
      </c>
      <c r="D21" s="10">
        <v>72.816521135477899</v>
      </c>
      <c r="E21" s="10">
        <v>1505230.7162956411</v>
      </c>
      <c r="F21" s="10">
        <v>2677886.670586206</v>
      </c>
      <c r="G21" s="10">
        <v>7.5675269438825427E-5</v>
      </c>
      <c r="H21" s="10">
        <v>2.1274764991596995E-5</v>
      </c>
      <c r="I21" s="10">
        <v>0.50771016086975462</v>
      </c>
      <c r="J21" s="10">
        <v>6951.8253576901698</v>
      </c>
      <c r="K21" s="10">
        <v>8.3045704853731608E-3</v>
      </c>
    </row>
    <row r="22" spans="1:11" x14ac:dyDescent="0.15">
      <c r="A22" s="10">
        <v>12376088.814999999</v>
      </c>
      <c r="B22" s="10">
        <v>600.1948144628825</v>
      </c>
      <c r="C22" s="10">
        <v>648.88713795133378</v>
      </c>
      <c r="D22" s="10">
        <v>73.093943284833998</v>
      </c>
      <c r="E22" s="10">
        <v>1506614.7614684766</v>
      </c>
      <c r="F22" s="10">
        <v>2677111.4828473427</v>
      </c>
      <c r="G22" s="10">
        <v>7.5591310120252519E-5</v>
      </c>
      <c r="H22" s="10">
        <v>2.1291640654220771E-5</v>
      </c>
      <c r="I22" s="10">
        <v>0.50731192941358827</v>
      </c>
      <c r="J22" s="10">
        <v>6966.747327197736</v>
      </c>
      <c r="K22" s="10">
        <v>8.2590371006168485E-3</v>
      </c>
    </row>
    <row r="23" spans="1:11" x14ac:dyDescent="0.15">
      <c r="A23" s="10">
        <v>12410562.6</v>
      </c>
      <c r="B23" s="10">
        <v>600.40917815374269</v>
      </c>
      <c r="C23" s="10">
        <v>648.30878787204176</v>
      </c>
      <c r="D23" s="10">
        <v>73.372090442332606</v>
      </c>
      <c r="E23" s="10">
        <v>1507997.8235180366</v>
      </c>
      <c r="F23" s="10">
        <v>2676334.0095142126</v>
      </c>
      <c r="G23" s="10">
        <v>7.5507457069512522E-5</v>
      </c>
      <c r="H23" s="10">
        <v>2.1308552640654366E-5</v>
      </c>
      <c r="I23" s="10">
        <v>0.50691387709209623</v>
      </c>
      <c r="J23" s="10">
        <v>6981.7690086139</v>
      </c>
      <c r="K23" s="10">
        <v>8.2136391333202854E-3</v>
      </c>
    </row>
    <row r="24" spans="1:11" x14ac:dyDescent="0.15">
      <c r="A24" s="10">
        <v>12445036.385</v>
      </c>
      <c r="B24" s="10">
        <v>600.62307338779112</v>
      </c>
      <c r="C24" s="10">
        <v>647.73015324591881</v>
      </c>
      <c r="D24" s="10">
        <v>73.65096699650779</v>
      </c>
      <c r="E24" s="10">
        <v>1509379.9174575773</v>
      </c>
      <c r="F24" s="10">
        <v>2675554.2433210411</v>
      </c>
      <c r="G24" s="10">
        <v>7.542370875497005E-5</v>
      </c>
      <c r="H24" s="10">
        <v>2.1325501337549776E-5</v>
      </c>
      <c r="I24" s="10">
        <v>0.50651600214947412</v>
      </c>
      <c r="J24" s="10">
        <v>6996.8915278807299</v>
      </c>
      <c r="K24" s="10">
        <v>8.1683760977733326E-3</v>
      </c>
    </row>
    <row r="25" spans="1:11" x14ac:dyDescent="0.15">
      <c r="A25" s="10">
        <v>12479510.17</v>
      </c>
      <c r="B25" s="10">
        <v>600.8365023302473</v>
      </c>
      <c r="C25" s="10">
        <v>647.15122741627238</v>
      </c>
      <c r="D25" s="10">
        <v>73.930577375909749</v>
      </c>
      <c r="E25" s="10">
        <v>1510761.0582881749</v>
      </c>
      <c r="F25" s="10">
        <v>2674772.1768945744</v>
      </c>
      <c r="G25" s="10">
        <v>7.5340063650001631E-5</v>
      </c>
      <c r="H25" s="10">
        <v>2.1342487134156997E-5</v>
      </c>
      <c r="I25" s="10">
        <v>0.50611830285189063</v>
      </c>
      <c r="J25" s="10">
        <v>7012.1160291556434</v>
      </c>
      <c r="K25" s="10">
        <v>8.1232475126216917E-3</v>
      </c>
    </row>
    <row r="26" spans="1:11" x14ac:dyDescent="0.15">
      <c r="A26" s="10">
        <v>12513983.955</v>
      </c>
      <c r="B26" s="10">
        <v>601.04946712932554</v>
      </c>
      <c r="C26" s="10">
        <v>646.57200369437157</v>
      </c>
      <c r="D26" s="10">
        <v>74.210926049632405</v>
      </c>
      <c r="E26" s="10">
        <v>1512141.2610004984</v>
      </c>
      <c r="F26" s="10">
        <v>2673987.8027531314</v>
      </c>
      <c r="G26" s="10">
        <v>7.5256520232777754E-5</v>
      </c>
      <c r="H26" s="10">
        <v>2.1359510422370691E-5</v>
      </c>
      <c r="I26" s="10">
        <v>0.50572077748779087</v>
      </c>
      <c r="J26" s="10">
        <v>7027.4436751982685</v>
      </c>
      <c r="K26" s="10">
        <v>8.078252900830243E-3</v>
      </c>
    </row>
    <row r="27" spans="1:11" x14ac:dyDescent="0.15">
      <c r="A27" s="10">
        <v>12582931.524999999</v>
      </c>
      <c r="B27" s="10">
        <v>601.4740128062333</v>
      </c>
      <c r="C27" s="10">
        <v>645.41263565235602</v>
      </c>
      <c r="D27" s="10">
        <v>74.773856362324906</v>
      </c>
      <c r="E27" s="10">
        <v>1514898.9119919236</v>
      </c>
      <c r="F27" s="10">
        <v>2672412.1008509072</v>
      </c>
      <c r="G27" s="10">
        <v>7.5089732396918502E-5</v>
      </c>
      <c r="H27" s="10">
        <v>2.1393671054705832E-5</v>
      </c>
      <c r="I27" s="10">
        <v>0.50492624182719592</v>
      </c>
      <c r="J27" s="10">
        <v>7058.413148019863</v>
      </c>
      <c r="K27" s="10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1562686.9740257831</v>
      </c>
      <c r="F28">
        <v>2643264.3898665085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 s="10">
        <v>14375568.344999999</v>
      </c>
      <c r="B29" s="10">
        <v>611.91386270436794</v>
      </c>
      <c r="C29" s="10">
        <v>614.64786138635702</v>
      </c>
      <c r="D29" s="10">
        <v>90.588882843330609</v>
      </c>
      <c r="E29" s="10">
        <v>1585699.5072411739</v>
      </c>
      <c r="F29" s="10">
        <v>2627949.0973156863</v>
      </c>
      <c r="G29" s="10">
        <v>7.0854881629944488E-5</v>
      </c>
      <c r="H29" s="10">
        <v>2.2346600140505724E-5</v>
      </c>
      <c r="I29" s="10">
        <v>0.48447617649609065</v>
      </c>
      <c r="J29" s="10">
        <v>8050.1582667114426</v>
      </c>
      <c r="K29" s="10">
        <v>5.8358284375620894E-3</v>
      </c>
    </row>
    <row r="30" spans="1:11" x14ac:dyDescent="0.15">
      <c r="A30" s="10">
        <v>14410042.129999999</v>
      </c>
      <c r="B30" s="10">
        <v>612.10417526659455</v>
      </c>
      <c r="C30" s="10">
        <v>614.04047527067326</v>
      </c>
      <c r="D30" s="10">
        <v>90.918182000549308</v>
      </c>
      <c r="E30" s="10">
        <v>1587051.743777507</v>
      </c>
      <c r="F30" s="10">
        <v>2627022.5861350344</v>
      </c>
      <c r="G30" s="10">
        <v>7.0774633188978175E-5</v>
      </c>
      <c r="H30" s="10">
        <v>2.2366390223892932E-5</v>
      </c>
      <c r="I30" s="10">
        <v>0.4840864465582857</v>
      </c>
      <c r="J30" s="10">
        <v>8073.7157051809381</v>
      </c>
      <c r="K30" s="10">
        <v>5.7975807482611623E-3</v>
      </c>
    </row>
    <row r="31" spans="1:11" x14ac:dyDescent="0.15">
      <c r="A31" s="10">
        <v>14444515.914999999</v>
      </c>
      <c r="B31" s="10">
        <v>612.29412141213845</v>
      </c>
      <c r="C31" s="10">
        <v>613.43232402419449</v>
      </c>
      <c r="D31" s="10">
        <v>91.248555698911844</v>
      </c>
      <c r="E31" s="10">
        <v>1588403.9289842495</v>
      </c>
      <c r="F31" s="10">
        <v>2626093.1345668421</v>
      </c>
      <c r="G31" s="10">
        <v>7.0694401850615891E-5</v>
      </c>
      <c r="H31" s="10">
        <v>2.2386245793773059E-5</v>
      </c>
      <c r="I31" s="10">
        <v>0.48369684775438243</v>
      </c>
      <c r="J31" s="10">
        <v>8097.4885849811244</v>
      </c>
      <c r="K31" s="10">
        <v>5.7594462826100956E-3</v>
      </c>
    </row>
    <row r="32" spans="1:11" x14ac:dyDescent="0.15">
      <c r="A32" s="10">
        <v>14478989.699999999</v>
      </c>
      <c r="B32" s="10">
        <v>612.48370255129544</v>
      </c>
      <c r="C32" s="10">
        <v>612.82339669043313</v>
      </c>
      <c r="D32" s="10">
        <v>91.580011978832957</v>
      </c>
      <c r="E32" s="10">
        <v>1589756.0808983105</v>
      </c>
      <c r="F32" s="10">
        <v>2625160.7264840975</v>
      </c>
      <c r="G32" s="10">
        <v>7.0614185977515193E-5</v>
      </c>
      <c r="H32" s="10">
        <v>2.2406167499944594E-5</v>
      </c>
      <c r="I32" s="10">
        <v>0.48330738078477459</v>
      </c>
      <c r="J32" s="10">
        <v>8121.4802011854335</v>
      </c>
      <c r="K32" s="10">
        <v>5.7214247636284644E-3</v>
      </c>
    </row>
    <row r="33" spans="1:11" x14ac:dyDescent="0.15">
      <c r="A33" s="10">
        <v>14513463.484999999</v>
      </c>
      <c r="B33" s="10">
        <v>612.67292008461743</v>
      </c>
      <c r="C33" s="10">
        <v>612.21368217827785</v>
      </c>
      <c r="D33" s="10">
        <v>91.91255897533145</v>
      </c>
      <c r="E33" s="10">
        <v>1591108.2176913612</v>
      </c>
      <c r="F33" s="10">
        <v>2624225.3455417412</v>
      </c>
      <c r="G33" s="10">
        <v>7.053398392243067E-5</v>
      </c>
      <c r="H33" s="10">
        <v>2.2426155999369982E-5</v>
      </c>
      <c r="I33" s="10">
        <v>0.48291804642989189</v>
      </c>
      <c r="J33" s="10">
        <v>8145.6939161944201</v>
      </c>
      <c r="K33" s="10">
        <v>5.6835159172802328E-3</v>
      </c>
    </row>
    <row r="34" spans="1:11" x14ac:dyDescent="0.15">
      <c r="A34" s="10">
        <v>14547937.27</v>
      </c>
      <c r="B34" s="10">
        <v>612.8617754030106</v>
      </c>
      <c r="C34" s="10">
        <v>611.60316925921416</v>
      </c>
      <c r="D34" s="10">
        <v>92.246204919594888</v>
      </c>
      <c r="E34" s="10">
        <v>1592460.3576735058</v>
      </c>
      <c r="F34" s="10">
        <v>2623286.9751734058</v>
      </c>
      <c r="G34" s="10">
        <v>7.0453794027894906E-5</v>
      </c>
      <c r="H34" s="10">
        <v>2.2446211956304489E-5</v>
      </c>
      <c r="I34" s="10">
        <v>0.482528845552468</v>
      </c>
      <c r="J34" s="10">
        <v>8170.133161316754</v>
      </c>
      <c r="K34" s="10">
        <v>5.6457194724596916E-3</v>
      </c>
    </row>
    <row r="35" spans="1:11" x14ac:dyDescent="0.15">
      <c r="A35" s="10">
        <v>14582411.055</v>
      </c>
      <c r="B35" s="10">
        <v>613.05026988781367</v>
      </c>
      <c r="C35" s="10">
        <v>610.99184656446221</v>
      </c>
      <c r="D35" s="10">
        <v>92.580958140603215</v>
      </c>
      <c r="E35" s="10">
        <v>1593812.5192969192</v>
      </c>
      <c r="F35" s="10">
        <v>2622345.5985878608</v>
      </c>
      <c r="G35" s="10">
        <v>7.0373614625891007E-5</v>
      </c>
      <c r="H35" s="10">
        <v>2.2466336042427335E-5</v>
      </c>
      <c r="I35" s="10">
        <v>0.48213977909987105</v>
      </c>
      <c r="J35" s="10">
        <v>8194.8014383951322</v>
      </c>
      <c r="K35" s="10">
        <v>5.6080351609815058E-3</v>
      </c>
    </row>
    <row r="36" spans="1:11" x14ac:dyDescent="0.15">
      <c r="A36" s="10">
        <v>14651358.625</v>
      </c>
      <c r="B36" s="10">
        <v>613.42618183469449</v>
      </c>
      <c r="C36" s="10">
        <v>609.76672565409854</v>
      </c>
      <c r="D36" s="10">
        <v>93.253820227631977</v>
      </c>
      <c r="E36" s="10">
        <v>1596516.9820091785</v>
      </c>
      <c r="F36" s="10">
        <v>2620453.7584548215</v>
      </c>
      <c r="G36" s="10">
        <v>7.0213280572698186E-5</v>
      </c>
      <c r="H36" s="10">
        <v>2.2506791326882159E-5</v>
      </c>
      <c r="I36" s="10">
        <v>0.48136205369642565</v>
      </c>
      <c r="J36" s="10">
        <v>8244.8394584875186</v>
      </c>
      <c r="K36" s="10">
        <v>5.5330018798425981E-3</v>
      </c>
    </row>
    <row r="37" spans="1:11" x14ac:dyDescent="0.15">
      <c r="A37" s="10">
        <v>14927148.904999999</v>
      </c>
      <c r="B37" s="10">
        <v>614.9156661127455</v>
      </c>
      <c r="C37" s="10">
        <v>604.83147460894611</v>
      </c>
      <c r="D37" s="10">
        <v>95.99129627600891</v>
      </c>
      <c r="E37" s="10">
        <v>1607339.4945123668</v>
      </c>
      <c r="F37" s="10">
        <v>2612762.6286267578</v>
      </c>
      <c r="G37" s="10">
        <v>6.9572022522881486E-5</v>
      </c>
      <c r="H37" s="10">
        <v>2.2671477363907453E-5</v>
      </c>
      <c r="I37" s="10">
        <v>0.47825678197067412</v>
      </c>
      <c r="J37" s="10">
        <v>8454.9052671850641</v>
      </c>
      <c r="K37" s="10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1610200.3974908292</v>
      </c>
      <c r="F38">
        <v>2610697.1187380725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5.1603660687177975E-3</v>
      </c>
    </row>
    <row r="39" spans="1:11" x14ac:dyDescent="0.15">
      <c r="A39" s="10">
        <v>15202939.184999999</v>
      </c>
      <c r="B39" s="10">
        <v>616.38298773795884</v>
      </c>
      <c r="C39" s="10">
        <v>599.83568684708052</v>
      </c>
      <c r="D39" s="10">
        <v>98.805986990565799</v>
      </c>
      <c r="E39" s="10">
        <v>1618177.1175807738</v>
      </c>
      <c r="F39" s="10">
        <v>2604866.1696356409</v>
      </c>
      <c r="G39" s="10">
        <v>6.893020605980822E-5</v>
      </c>
      <c r="H39" s="10">
        <v>2.2841033589457943E-5</v>
      </c>
      <c r="I39" s="10">
        <v>0.47516122635885782</v>
      </c>
      <c r="J39" s="10">
        <v>8682.4563332685593</v>
      </c>
      <c r="K39" s="10">
        <v>4.9486038322964464E-3</v>
      </c>
    </row>
    <row r="40" spans="1:11" x14ac:dyDescent="0.15">
      <c r="A40" s="10">
        <v>15237412.969999999</v>
      </c>
      <c r="B40" s="10">
        <v>616.56487672022718</v>
      </c>
      <c r="C40" s="10">
        <v>599.20660938046922</v>
      </c>
      <c r="D40" s="10">
        <v>99.163504111451545</v>
      </c>
      <c r="E40" s="10">
        <v>1619533.4140909328</v>
      </c>
      <c r="F40" s="10">
        <v>2603864.1573589253</v>
      </c>
      <c r="G40" s="10">
        <v>6.8849892577692534E-5</v>
      </c>
      <c r="H40" s="10">
        <v>2.2862590685604771E-5</v>
      </c>
      <c r="I40" s="10">
        <v>0.47477502658162224</v>
      </c>
      <c r="J40" s="10">
        <v>8712.2487597525196</v>
      </c>
      <c r="K40" s="10">
        <v>4.9130029103202051E-3</v>
      </c>
    </row>
    <row r="41" spans="1:11" x14ac:dyDescent="0.15">
      <c r="A41" s="10">
        <v>16409521.66</v>
      </c>
      <c r="B41" s="10">
        <v>622.55717842585057</v>
      </c>
      <c r="C41" s="10">
        <v>577.06923612188393</v>
      </c>
      <c r="D41" s="10">
        <v>112.17033955473804</v>
      </c>
      <c r="E41" s="10">
        <v>1666062.1825179108</v>
      </c>
      <c r="F41" s="10">
        <v>2567609.1601615446</v>
      </c>
      <c r="G41" s="10">
        <v>6.6089994477805278E-5</v>
      </c>
      <c r="H41" s="10">
        <v>2.3651444847865132E-5</v>
      </c>
      <c r="I41" s="10">
        <v>0.46178151866568262</v>
      </c>
      <c r="J41" s="10">
        <v>9956.6215657984085</v>
      </c>
      <c r="K41" s="10">
        <v>3.7652331796772971E-3</v>
      </c>
    </row>
    <row r="42" spans="1:11" x14ac:dyDescent="0.15">
      <c r="A42" s="10">
        <v>16512943.014999999</v>
      </c>
      <c r="B42" s="10">
        <v>623.06876481641166</v>
      </c>
      <c r="C42" s="10">
        <v>575.03240959954769</v>
      </c>
      <c r="D42" s="10">
        <v>113.40712548656836</v>
      </c>
      <c r="E42" s="10">
        <v>1670225.6027112233</v>
      </c>
      <c r="F42" s="10">
        <v>2564185.6875572475</v>
      </c>
      <c r="G42" s="10">
        <v>6.5842090570695716E-5</v>
      </c>
      <c r="H42" s="10">
        <v>2.372703712674797E-5</v>
      </c>
      <c r="I42" s="10">
        <v>0.46065294069691948</v>
      </c>
      <c r="J42" s="10">
        <v>10093.678311132502</v>
      </c>
      <c r="K42" s="10">
        <v>3.6696905670353932E-3</v>
      </c>
    </row>
    <row r="43" spans="1:11" x14ac:dyDescent="0.15">
      <c r="A43" s="10">
        <v>16547416.799999999</v>
      </c>
      <c r="B43" s="10">
        <v>623.23870133313642</v>
      </c>
      <c r="C43" s="10">
        <v>574.34988711113044</v>
      </c>
      <c r="D43" s="10">
        <v>113.82300371015133</v>
      </c>
      <c r="E43" s="10">
        <v>1671616.2807993235</v>
      </c>
      <c r="F43" s="10">
        <v>2563035.5779140079</v>
      </c>
      <c r="G43" s="10">
        <v>6.5759231557403181E-5</v>
      </c>
      <c r="H43" s="10">
        <v>2.3752482411014488E-5</v>
      </c>
      <c r="I43" s="10">
        <v>0.46027765484939753</v>
      </c>
      <c r="J43" s="10">
        <v>10140.600460117175</v>
      </c>
      <c r="K43" s="10">
        <v>3.6380461586323874E-3</v>
      </c>
    </row>
    <row r="44" spans="1:11" x14ac:dyDescent="0.15">
      <c r="A44">
        <v>16581890.584999999</v>
      </c>
      <c r="B44">
        <v>623.40834329200698</v>
      </c>
      <c r="C44">
        <v>573.66553119769708</v>
      </c>
      <c r="D44">
        <v>114.24072089270538</v>
      </c>
      <c r="E44">
        <v>1673008.4528857057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3.6065031383353337E-3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114.66029599737462</v>
      </c>
      <c r="E45">
        <v>1674402.1546774118</v>
      </c>
      <c r="F45">
        <v>2560721.691284928</v>
      </c>
      <c r="G45">
        <v>6.559315938668894E-5</v>
      </c>
      <c r="H45">
        <v>2.3803753768346773E-5</v>
      </c>
      <c r="I45">
        <v>0.45952852946905182</v>
      </c>
      <c r="J45">
        <v>10236.374668774288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114.66029599737462</v>
      </c>
      <c r="E46">
        <v>1674402.1546774118</v>
      </c>
      <c r="F46">
        <v>2560721.691284928</v>
      </c>
      <c r="G46">
        <v>6.559315938668894E-5</v>
      </c>
      <c r="H46">
        <v>2.3803753768346773E-5</v>
      </c>
      <c r="I46">
        <v>0.45952852946905182</v>
      </c>
      <c r="J46">
        <v>10236.374668774288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115.08174830522883</v>
      </c>
      <c r="E47">
        <v>1675797.4223693286</v>
      </c>
      <c r="F47">
        <v>2559557.8321399409</v>
      </c>
      <c r="G47">
        <v>6.5509940250288218E-5</v>
      </c>
      <c r="H47">
        <v>2.3829582904311094E-5</v>
      </c>
      <c r="I47">
        <v>0.45915472043015876</v>
      </c>
      <c r="J47">
        <v>10285.252806144354</v>
      </c>
      <c r="K47">
        <v>3.5437208597502243E-3</v>
      </c>
    </row>
    <row r="48" spans="1:11" x14ac:dyDescent="0.15">
      <c r="A48" s="10">
        <v>16719785.725</v>
      </c>
      <c r="B48" s="10">
        <v>624.08398426992824</v>
      </c>
      <c r="C48" s="10">
        <v>570.9092360058894</v>
      </c>
      <c r="D48" s="10">
        <v>115.93036328992132</v>
      </c>
      <c r="E48" s="10">
        <v>1678592.8027206569</v>
      </c>
      <c r="F48" s="10">
        <v>2557216.0713552916</v>
      </c>
      <c r="G48" s="10">
        <v>6.5343120666275665E-5</v>
      </c>
      <c r="H48" s="10">
        <v>2.3881635703930669E-5</v>
      </c>
      <c r="I48" s="10">
        <v>0.45840868995416201</v>
      </c>
      <c r="J48" s="10">
        <v>10385.058717031257</v>
      </c>
      <c r="K48" s="10">
        <v>3.4813429573410932E-3</v>
      </c>
    </row>
  </sheetData>
  <sortState xmlns:xlrd2="http://schemas.microsoft.com/office/spreadsheetml/2017/richdata2" ref="A54:K57">
    <sortCondition ref="A54:A57"/>
  </sortState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4205.4014337612389</v>
      </c>
      <c r="D2" t="s">
        <v>53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4182.3214473299095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4179.4042320963235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4180.7757977392275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4181.3031131882535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4185.7893369592775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2077.3083736010267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2050.6859777202053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2044.6888688498427</v>
      </c>
    </row>
    <row r="107" spans="1:2" x14ac:dyDescent="0.15">
      <c r="A107">
        <v>383</v>
      </c>
      <c r="B107">
        <v>2041.8878392011911</v>
      </c>
    </row>
    <row r="108" spans="1:2" x14ac:dyDescent="0.15">
      <c r="A108">
        <v>384</v>
      </c>
      <c r="B108">
        <v>2039.2056461397788</v>
      </c>
    </row>
    <row r="109" spans="1:2" x14ac:dyDescent="0.15">
      <c r="A109">
        <v>385</v>
      </c>
      <c r="B109">
        <v>2036.6340453104665</v>
      </c>
    </row>
    <row r="110" spans="1:2" x14ac:dyDescent="0.15">
      <c r="A110">
        <v>386</v>
      </c>
      <c r="B110">
        <v>2034.1657227717567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2029.5135700333976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2025.2049236894024</v>
      </c>
    </row>
    <row r="115" spans="1:2" x14ac:dyDescent="0.15">
      <c r="A115">
        <v>391</v>
      </c>
      <c r="B115">
        <v>2023.1679621750125</v>
      </c>
    </row>
    <row r="116" spans="1:2" x14ac:dyDescent="0.15">
      <c r="A116">
        <v>392</v>
      </c>
      <c r="B116">
        <v>2021.2040014286185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2017.4814549688465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2012.3672191290818</v>
      </c>
    </row>
    <row r="122" spans="1:2" x14ac:dyDescent="0.15">
      <c r="A122">
        <v>398</v>
      </c>
      <c r="B122">
        <v>2010.7775806914929</v>
      </c>
    </row>
    <row r="123" spans="1:2" x14ac:dyDescent="0.15">
      <c r="A123">
        <v>399</v>
      </c>
      <c r="B123">
        <v>2009.2418202186882</v>
      </c>
    </row>
    <row r="124" spans="1:2" x14ac:dyDescent="0.15">
      <c r="A124">
        <v>400</v>
      </c>
      <c r="B124">
        <v>2007.7579608546882</v>
      </c>
    </row>
    <row r="125" spans="1:2" x14ac:dyDescent="0.15">
      <c r="A125">
        <v>401</v>
      </c>
      <c r="B125">
        <v>2006.3241550642458</v>
      </c>
    </row>
    <row r="126" spans="1:2" x14ac:dyDescent="0.15">
      <c r="A126">
        <v>402</v>
      </c>
      <c r="B126">
        <v>2004.9386710829724</v>
      </c>
    </row>
    <row r="127" spans="1:2" x14ac:dyDescent="0.15">
      <c r="A127">
        <v>403</v>
      </c>
      <c r="B127">
        <v>2003.5998811205136</v>
      </c>
    </row>
    <row r="128" spans="1:2" x14ac:dyDescent="0.15">
      <c r="A128">
        <v>404</v>
      </c>
      <c r="B128">
        <v>2002.3062510722693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1998.6822035703224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1996.4673200155241</v>
      </c>
    </row>
    <row r="134" spans="1:2" x14ac:dyDescent="0.15">
      <c r="A134">
        <v>410</v>
      </c>
      <c r="B134">
        <v>1995.4166760214825</v>
      </c>
    </row>
    <row r="135" spans="1:2" x14ac:dyDescent="0.15">
      <c r="A135">
        <v>411</v>
      </c>
      <c r="B135">
        <v>1994.4024448297655</v>
      </c>
    </row>
    <row r="136" spans="1:2" x14ac:dyDescent="0.15">
      <c r="A136">
        <v>412</v>
      </c>
      <c r="B136">
        <v>1993.4235954517994</v>
      </c>
    </row>
    <row r="137" spans="1:2" x14ac:dyDescent="0.15">
      <c r="A137">
        <v>413</v>
      </c>
      <c r="B137">
        <v>1992.4791394956153</v>
      </c>
    </row>
    <row r="138" spans="1:2" x14ac:dyDescent="0.15">
      <c r="A138">
        <v>414</v>
      </c>
      <c r="B138">
        <v>1991.5681282184548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1989.8428274174387</v>
      </c>
    </row>
    <row r="141" spans="1:2" x14ac:dyDescent="0.15">
      <c r="A141">
        <v>417</v>
      </c>
      <c r="B141">
        <v>1989.0268162265331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1987.4840005512258</v>
      </c>
    </row>
    <row r="144" spans="1:2" x14ac:dyDescent="0.15">
      <c r="A144">
        <v>420</v>
      </c>
      <c r="B144">
        <v>1986.7556530139207</v>
      </c>
    </row>
    <row r="145" spans="1:2" x14ac:dyDescent="0.15">
      <c r="A145">
        <v>421</v>
      </c>
      <c r="B145">
        <v>1986.0550276201627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1984.1125235290197</v>
      </c>
    </row>
    <row r="149" spans="1:2" x14ac:dyDescent="0.15">
      <c r="A149">
        <v>425</v>
      </c>
      <c r="B149">
        <v>1983.5159379371107</v>
      </c>
    </row>
    <row r="150" spans="1:2" x14ac:dyDescent="0.15">
      <c r="A150">
        <v>426</v>
      </c>
      <c r="B150">
        <v>1982.9437584894274</v>
      </c>
    </row>
    <row r="151" spans="1:2" x14ac:dyDescent="0.15">
      <c r="A151">
        <v>427</v>
      </c>
      <c r="B151">
        <v>1982.3953836185008</v>
      </c>
    </row>
    <row r="152" spans="1:2" x14ac:dyDescent="0.15">
      <c r="A152">
        <v>428</v>
      </c>
      <c r="B152">
        <v>1981.8702302276274</v>
      </c>
    </row>
    <row r="153" spans="1:2" x14ac:dyDescent="0.15">
      <c r="A153">
        <v>429</v>
      </c>
      <c r="B153">
        <v>1981.3677329232216</v>
      </c>
    </row>
    <row r="154" spans="1:2" x14ac:dyDescent="0.15">
      <c r="A154">
        <v>430</v>
      </c>
      <c r="B154">
        <v>1980.8873432967464</v>
      </c>
    </row>
    <row r="155" spans="1:2" x14ac:dyDescent="0.15">
      <c r="A155">
        <v>431</v>
      </c>
      <c r="B155">
        <v>1980.4285292514205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1979.5735773161316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1978.7989234277577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1978.1008379425064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1977.4757995196999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1976.9204809084385</v>
      </c>
    </row>
    <row r="166" spans="1:2" x14ac:dyDescent="0.15">
      <c r="A166">
        <v>442</v>
      </c>
      <c r="B166">
        <v>1976.6679766377263</v>
      </c>
    </row>
    <row r="167" spans="1:2" x14ac:dyDescent="0.15">
      <c r="A167">
        <v>443</v>
      </c>
      <c r="B167">
        <v>1976.4317360415507</v>
      </c>
    </row>
    <row r="168" spans="1:2" x14ac:dyDescent="0.15">
      <c r="A168">
        <v>444</v>
      </c>
      <c r="B168">
        <v>1976.2113922397205</v>
      </c>
    </row>
    <row r="169" spans="1:2" x14ac:dyDescent="0.15">
      <c r="A169">
        <v>445</v>
      </c>
      <c r="B169">
        <v>1976.0065882587187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1975.3359604523864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1975.0852812489784</v>
      </c>
    </row>
    <row r="176" spans="1:2" x14ac:dyDescent="0.15">
      <c r="A176">
        <v>452</v>
      </c>
      <c r="B176">
        <v>1974.9800295804416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1974.8082612821577</v>
      </c>
    </row>
    <row r="179" spans="1:2" x14ac:dyDescent="0.15">
      <c r="A179">
        <v>455</v>
      </c>
      <c r="B179">
        <v>1974.7411905837384</v>
      </c>
    </row>
    <row r="180" spans="1:2" x14ac:dyDescent="0.15">
      <c r="A180">
        <v>456</v>
      </c>
      <c r="B180">
        <v>1974.6863046589938</v>
      </c>
    </row>
    <row r="181" spans="1:2" x14ac:dyDescent="0.15">
      <c r="A181">
        <v>457</v>
      </c>
      <c r="B181">
        <v>1974.6433439360653</v>
      </c>
    </row>
    <row r="182" spans="1:2" x14ac:dyDescent="0.15">
      <c r="A182">
        <v>458</v>
      </c>
      <c r="B182">
        <v>1974.6120554591366</v>
      </c>
    </row>
    <row r="183" spans="1:2" x14ac:dyDescent="0.15">
      <c r="A183">
        <v>459</v>
      </c>
      <c r="B183">
        <v>1974.5921926944145</v>
      </c>
    </row>
    <row r="184" spans="1:2" x14ac:dyDescent="0.15">
      <c r="A184">
        <v>460</v>
      </c>
      <c r="B184">
        <v>1974.5835153427129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1974.6222825325005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1974.6999134153377</v>
      </c>
    </row>
    <row r="190" spans="1:2" x14ac:dyDescent="0.15">
      <c r="A190">
        <v>466</v>
      </c>
      <c r="B190">
        <v>1974.7536293251887</v>
      </c>
    </row>
    <row r="191" spans="1:2" x14ac:dyDescent="0.15">
      <c r="A191">
        <v>467</v>
      </c>
      <c r="B191">
        <v>1974.8170086468194</v>
      </c>
    </row>
    <row r="192" spans="1:2" x14ac:dyDescent="0.15">
      <c r="A192">
        <v>468</v>
      </c>
      <c r="B192">
        <v>1974.8898549194546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1975.0631863618169</v>
      </c>
    </row>
    <row r="195" spans="1:2" x14ac:dyDescent="0.15">
      <c r="A195">
        <v>471</v>
      </c>
      <c r="B195">
        <v>1975.1633020985153</v>
      </c>
    </row>
    <row r="196" spans="1:2" x14ac:dyDescent="0.15">
      <c r="A196">
        <v>472</v>
      </c>
      <c r="B196">
        <v>1975.2721456641846</v>
      </c>
    </row>
    <row r="197" spans="1:2" x14ac:dyDescent="0.15">
      <c r="A197">
        <v>473</v>
      </c>
      <c r="B197">
        <v>1975.3895433183343</v>
      </c>
    </row>
    <row r="198" spans="1:2" x14ac:dyDescent="0.15">
      <c r="A198">
        <v>474</v>
      </c>
      <c r="B198">
        <v>1975.5153254943432</v>
      </c>
    </row>
    <row r="199" spans="1:2" x14ac:dyDescent="0.15">
      <c r="A199">
        <v>475</v>
      </c>
      <c r="B199">
        <v>1975.6493266849768</v>
      </c>
    </row>
    <row r="200" spans="1:2" x14ac:dyDescent="0.15">
      <c r="A200">
        <v>476</v>
      </c>
      <c r="B200">
        <v>1975.7913853314528</v>
      </c>
    </row>
    <row r="201" spans="1:2" x14ac:dyDescent="0.15">
      <c r="A201">
        <v>477</v>
      </c>
      <c r="B201">
        <v>1975.9413437159274</v>
      </c>
    </row>
    <row r="202" spans="1:2" x14ac:dyDescent="0.15">
      <c r="A202">
        <v>478</v>
      </c>
      <c r="B202">
        <v>1976.0990478572915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1976.4370955668985</v>
      </c>
    </row>
    <row r="205" spans="1:2" x14ac:dyDescent="0.15">
      <c r="A205">
        <v>481</v>
      </c>
      <c r="B205">
        <v>1976.6171489627404</v>
      </c>
    </row>
    <row r="206" spans="1:2" x14ac:dyDescent="0.15">
      <c r="A206">
        <v>482</v>
      </c>
      <c r="B206">
        <v>1976.8043675836145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1977.1997566646812</v>
      </c>
    </row>
    <row r="209" spans="1:2" x14ac:dyDescent="0.15">
      <c r="A209">
        <v>485</v>
      </c>
      <c r="B209">
        <v>1977.4076630599131</v>
      </c>
    </row>
    <row r="210" spans="1:2" x14ac:dyDescent="0.15">
      <c r="A210">
        <v>486</v>
      </c>
      <c r="B210">
        <v>1977.6222063846826</v>
      </c>
    </row>
    <row r="211" spans="1:2" x14ac:dyDescent="0.15">
      <c r="A211">
        <v>487</v>
      </c>
      <c r="B211">
        <v>1977.8432620912038</v>
      </c>
    </row>
    <row r="212" spans="1:2" x14ac:dyDescent="0.15">
      <c r="A212">
        <v>488</v>
      </c>
      <c r="B212">
        <v>1978.0707084850217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1978.5443003785583</v>
      </c>
    </row>
    <row r="215" spans="1:2" x14ac:dyDescent="0.15">
      <c r="A215">
        <v>491</v>
      </c>
      <c r="B215">
        <v>1978.7902160963688</v>
      </c>
    </row>
    <row r="216" spans="1:2" x14ac:dyDescent="0.15">
      <c r="A216">
        <v>492</v>
      </c>
      <c r="B216">
        <v>1979.0420627993137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1979.5631175878714</v>
      </c>
    </row>
    <row r="219" spans="1:2" x14ac:dyDescent="0.15">
      <c r="A219">
        <v>495</v>
      </c>
      <c r="B219">
        <v>1979.8321159191214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1980.6717847570296</v>
      </c>
    </row>
    <row r="223" spans="1:2" x14ac:dyDescent="0.15">
      <c r="A223">
        <v>499</v>
      </c>
      <c r="B223">
        <v>1980.9622425287248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1981.5584509720777</v>
      </c>
    </row>
    <row r="226" spans="1:2" x14ac:dyDescent="0.15">
      <c r="A226">
        <v>502</v>
      </c>
      <c r="B226">
        <v>1981.8640223281795</v>
      </c>
    </row>
    <row r="227" spans="1:2" x14ac:dyDescent="0.15">
      <c r="A227">
        <v>503</v>
      </c>
      <c r="B227">
        <v>1982.1744554904908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1982.8095697143701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1983.4631367481363</v>
      </c>
    </row>
    <row r="232" spans="1:2" x14ac:dyDescent="0.15">
      <c r="A232">
        <v>508</v>
      </c>
      <c r="B232">
        <v>1983.7966424932592</v>
      </c>
    </row>
    <row r="233" spans="1:2" x14ac:dyDescent="0.15">
      <c r="A233">
        <v>509</v>
      </c>
      <c r="B233">
        <v>1984.1345277347175</v>
      </c>
    </row>
    <row r="234" spans="1:2" x14ac:dyDescent="0.15">
      <c r="A234">
        <v>510</v>
      </c>
      <c r="B234">
        <v>1984.4767180237718</v>
      </c>
    </row>
    <row r="235" spans="1:2" x14ac:dyDescent="0.15">
      <c r="A235">
        <v>511</v>
      </c>
      <c r="B235">
        <v>1984.8231404985256</v>
      </c>
    </row>
    <row r="236" spans="1:2" x14ac:dyDescent="0.15">
      <c r="A236">
        <v>512</v>
      </c>
      <c r="B236">
        <v>1985.1737238454837</v>
      </c>
    </row>
    <row r="237" spans="1:2" x14ac:dyDescent="0.15">
      <c r="A237">
        <v>513</v>
      </c>
      <c r="B237">
        <v>1985.5283982621525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1986.2497484323676</v>
      </c>
    </row>
    <row r="240" spans="1:2" x14ac:dyDescent="0.15">
      <c r="A240">
        <v>516</v>
      </c>
      <c r="B240">
        <v>1986.6162918134191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1987.3607945719596</v>
      </c>
    </row>
    <row r="243" spans="1:2" x14ac:dyDescent="0.15">
      <c r="A243">
        <v>519</v>
      </c>
      <c r="B243">
        <v>1987.7386297085914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1988.5051665119536</v>
      </c>
    </row>
    <row r="246" spans="1:2" x14ac:dyDescent="0.15">
      <c r="A246">
        <v>522</v>
      </c>
      <c r="B246">
        <v>1988.8937515055297</v>
      </c>
    </row>
    <row r="247" spans="1:2" x14ac:dyDescent="0.15">
      <c r="A247">
        <v>523</v>
      </c>
      <c r="B247">
        <v>1989.2858051109533</v>
      </c>
    </row>
    <row r="248" spans="1:2" x14ac:dyDescent="0.15">
      <c r="A248">
        <v>524</v>
      </c>
      <c r="B248">
        <v>1989.6812719486877</v>
      </c>
    </row>
    <row r="249" spans="1:2" x14ac:dyDescent="0.15">
      <c r="A249">
        <v>525</v>
      </c>
      <c r="B249">
        <v>1990.0800977726487</v>
      </c>
    </row>
    <row r="250" spans="1:2" x14ac:dyDescent="0.15">
      <c r="A250">
        <v>526</v>
      </c>
      <c r="B250">
        <v>1990.4822294438977</v>
      </c>
    </row>
    <row r="251" spans="1:2" x14ac:dyDescent="0.15">
      <c r="A251">
        <v>527</v>
      </c>
      <c r="B251">
        <v>1990.8876149050204</v>
      </c>
    </row>
    <row r="252" spans="1:2" x14ac:dyDescent="0.15">
      <c r="A252">
        <v>528</v>
      </c>
      <c r="B252">
        <v>1991.2962031551745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1992.1227891568415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1993.3854721613516</v>
      </c>
    </row>
    <row r="258" spans="1:2" x14ac:dyDescent="0.15">
      <c r="A258">
        <v>534</v>
      </c>
      <c r="B258">
        <v>1993.8122623110135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1994.6744194446196</v>
      </c>
    </row>
    <row r="261" spans="1:2" x14ac:dyDescent="0.15">
      <c r="A261">
        <v>537</v>
      </c>
      <c r="B261">
        <v>1995.1097005421248</v>
      </c>
    </row>
    <row r="262" spans="1:2" x14ac:dyDescent="0.15">
      <c r="A262">
        <v>538</v>
      </c>
      <c r="B262">
        <v>1995.5477274815348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1996.4318562766477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1997.3264885311462</v>
      </c>
    </row>
    <row r="267" spans="1:2" x14ac:dyDescent="0.15">
      <c r="A267">
        <v>543</v>
      </c>
      <c r="B267">
        <v>1997.7776476730621</v>
      </c>
    </row>
    <row r="268" spans="1:2" x14ac:dyDescent="0.15">
      <c r="A268">
        <v>544</v>
      </c>
      <c r="B268">
        <v>1998.2313192284635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1999.6070489107628</v>
      </c>
    </row>
    <row r="272" spans="1:2" x14ac:dyDescent="0.15">
      <c r="A272">
        <v>548</v>
      </c>
      <c r="B272">
        <v>2000.0704141044282</v>
      </c>
    </row>
    <row r="273" spans="1:2" x14ac:dyDescent="0.15">
      <c r="A273">
        <v>549</v>
      </c>
      <c r="B273">
        <v>2000.5361171004492</v>
      </c>
    </row>
    <row r="274" spans="1:2" x14ac:dyDescent="0.15">
      <c r="A274">
        <v>550</v>
      </c>
      <c r="B274">
        <v>2001.0041249632104</v>
      </c>
    </row>
    <row r="275" spans="1:2" x14ac:dyDescent="0.15">
      <c r="A275">
        <v>551</v>
      </c>
      <c r="B275">
        <v>2001.4744053860222</v>
      </c>
    </row>
    <row r="276" spans="1:2" x14ac:dyDescent="0.15">
      <c r="A276">
        <v>552</v>
      </c>
      <c r="B276">
        <v>2001.9469266775416</v>
      </c>
    </row>
    <row r="277" spans="1:2" x14ac:dyDescent="0.15">
      <c r="A277">
        <v>553</v>
      </c>
      <c r="B277">
        <v>2002.4216577485272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2003.3776278051532</v>
      </c>
    </row>
    <row r="280" spans="1:2" x14ac:dyDescent="0.15">
      <c r="A280">
        <v>556</v>
      </c>
      <c r="B280">
        <v>2003.8588075079795</v>
      </c>
    </row>
    <row r="281" spans="1:2" x14ac:dyDescent="0.15">
      <c r="A281">
        <v>557</v>
      </c>
      <c r="B281">
        <v>2004.3420784002947</v>
      </c>
    </row>
    <row r="282" spans="1:2" x14ac:dyDescent="0.15">
      <c r="A282">
        <v>558</v>
      </c>
      <c r="B282">
        <v>2004.8274122154755</v>
      </c>
    </row>
    <row r="283" spans="1:2" x14ac:dyDescent="0.15">
      <c r="A283">
        <v>559</v>
      </c>
      <c r="B283">
        <v>2005.3147812158984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2006.2955164000862</v>
      </c>
    </row>
    <row r="286" spans="1:2" x14ac:dyDescent="0.15">
      <c r="A286">
        <v>562</v>
      </c>
      <c r="B286">
        <v>2006.7888296541826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2008.2802446895803</v>
      </c>
    </row>
    <row r="290" spans="1:2" x14ac:dyDescent="0.15">
      <c r="A290">
        <v>566</v>
      </c>
      <c r="B290">
        <v>2008.7811254837222</v>
      </c>
    </row>
    <row r="291" spans="1:2" x14ac:dyDescent="0.15">
      <c r="A291">
        <v>567</v>
      </c>
      <c r="B291">
        <v>2009.2838373165746</v>
      </c>
    </row>
    <row r="292" spans="1:2" x14ac:dyDescent="0.15">
      <c r="A292">
        <v>568</v>
      </c>
      <c r="B292">
        <v>2009.7883567380165</v>
      </c>
    </row>
    <row r="293" spans="1:2" x14ac:dyDescent="0.15">
      <c r="A293">
        <v>569</v>
      </c>
      <c r="B293">
        <v>2010.2946607260478</v>
      </c>
    </row>
    <row r="294" spans="1:2" x14ac:dyDescent="0.15">
      <c r="A294">
        <v>570</v>
      </c>
      <c r="B294">
        <v>2010.8027266779347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2011.8240561069956</v>
      </c>
    </row>
    <row r="297" spans="1:2" x14ac:dyDescent="0.15">
      <c r="A297">
        <v>573</v>
      </c>
      <c r="B297">
        <v>2012.3372763981802</v>
      </c>
    </row>
    <row r="298" spans="1:2" x14ac:dyDescent="0.15">
      <c r="A298">
        <v>574</v>
      </c>
      <c r="B298">
        <v>2012.8521722649098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2013.8869085661267</v>
      </c>
    </row>
    <row r="301" spans="1:2" x14ac:dyDescent="0.15">
      <c r="A301">
        <v>577</v>
      </c>
      <c r="B301">
        <v>2014.4067088391917</v>
      </c>
    </row>
    <row r="302" spans="1:2" x14ac:dyDescent="0.15">
      <c r="A302">
        <v>578</v>
      </c>
      <c r="B302">
        <v>2014.9281043500368</v>
      </c>
    </row>
    <row r="303" spans="1:2" x14ac:dyDescent="0.15">
      <c r="A303">
        <v>579</v>
      </c>
      <c r="B303">
        <v>2015.4510759026925</v>
      </c>
    </row>
    <row r="304" spans="1:2" x14ac:dyDescent="0.15">
      <c r="A304">
        <v>580</v>
      </c>
      <c r="B304">
        <v>2015.9756046422349</v>
      </c>
    </row>
    <row r="305" spans="1:2" x14ac:dyDescent="0.15">
      <c r="A305">
        <v>581</v>
      </c>
      <c r="B305">
        <v>2016.5016720478952</v>
      </c>
    </row>
    <row r="306" spans="1:2" x14ac:dyDescent="0.15">
      <c r="A306">
        <v>582</v>
      </c>
      <c r="B306">
        <v>2017.0292599263155</v>
      </c>
    </row>
    <row r="307" spans="1:2" x14ac:dyDescent="0.15">
      <c r="A307">
        <v>583</v>
      </c>
      <c r="B307">
        <v>2017.5583504049555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2018.6209692382913</v>
      </c>
    </row>
    <row r="310" spans="1:2" x14ac:dyDescent="0.15">
      <c r="A310">
        <v>586</v>
      </c>
      <c r="B310">
        <v>2019.1544633946746</v>
      </c>
    </row>
    <row r="311" spans="1:2" x14ac:dyDescent="0.15">
      <c r="A311">
        <v>587</v>
      </c>
      <c r="B311">
        <v>2019.6893917424497</v>
      </c>
    </row>
    <row r="312" spans="1:2" x14ac:dyDescent="0.15">
      <c r="A312">
        <v>588</v>
      </c>
      <c r="B312">
        <v>2020.2257379192242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2021.3026197254408</v>
      </c>
    </row>
    <row r="315" spans="1:2" x14ac:dyDescent="0.15">
      <c r="A315">
        <v>591</v>
      </c>
      <c r="B315">
        <v>2021.8431240285104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2022.9281831337682</v>
      </c>
    </row>
    <row r="318" spans="1:2" x14ac:dyDescent="0.15">
      <c r="A318">
        <v>594</v>
      </c>
      <c r="B318">
        <v>2023.4727081994438</v>
      </c>
    </row>
    <row r="319" spans="1:2" x14ac:dyDescent="0.15">
      <c r="A319">
        <v>595</v>
      </c>
      <c r="B319">
        <v>2024.0185442062495</v>
      </c>
    </row>
    <row r="320" spans="1:2" x14ac:dyDescent="0.15">
      <c r="A320">
        <v>596</v>
      </c>
      <c r="B320">
        <v>2024.5656769135906</v>
      </c>
    </row>
    <row r="321" spans="1:2" x14ac:dyDescent="0.15">
      <c r="A321">
        <v>597</v>
      </c>
      <c r="B321">
        <v>2025.1140923230835</v>
      </c>
    </row>
    <row r="322" spans="1:2" x14ac:dyDescent="0.15">
      <c r="A322">
        <v>598</v>
      </c>
      <c r="B322">
        <v>2025.6637766738002</v>
      </c>
    </row>
    <row r="323" spans="1:2" x14ac:dyDescent="0.15">
      <c r="A323">
        <v>599</v>
      </c>
      <c r="B323">
        <v>2026.2147164376106</v>
      </c>
    </row>
    <row r="324" spans="1:2" x14ac:dyDescent="0.15">
      <c r="A324">
        <v>600</v>
      </c>
      <c r="B324">
        <v>2026.7668983146225</v>
      </c>
    </row>
    <row r="325" spans="1:2" x14ac:dyDescent="0.15">
      <c r="A325">
        <v>601</v>
      </c>
      <c r="B325">
        <v>2027.3203092287176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2028.9877886978204</v>
      </c>
    </row>
    <row r="329" spans="1:2" x14ac:dyDescent="0.15">
      <c r="A329">
        <v>605</v>
      </c>
      <c r="B329">
        <v>2029.5459893235127</v>
      </c>
    </row>
    <row r="330" spans="1:2" x14ac:dyDescent="0.15">
      <c r="A330">
        <v>606</v>
      </c>
      <c r="B330">
        <v>2030.1053568125037</v>
      </c>
    </row>
    <row r="331" spans="1:2" x14ac:dyDescent="0.15">
      <c r="A331">
        <v>607</v>
      </c>
      <c r="B331">
        <v>2030.6658793426564</v>
      </c>
    </row>
    <row r="332" spans="1:2" x14ac:dyDescent="0.15">
      <c r="A332">
        <v>608</v>
      </c>
      <c r="B332">
        <v>2031.2275452868575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2032.9192901791287</v>
      </c>
    </row>
    <row r="336" spans="1:2" x14ac:dyDescent="0.15">
      <c r="A336">
        <v>612</v>
      </c>
      <c r="B336">
        <v>2033.4854172782073</v>
      </c>
    </row>
    <row r="337" spans="1:2" x14ac:dyDescent="0.15">
      <c r="A337">
        <v>613</v>
      </c>
      <c r="B337">
        <v>2034.0526324515538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77DD1-D5CF-45EC-9102-07B0F2E63E9F}">
  <sheetPr codeName="ws_CpMid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4176.5923150780045</v>
      </c>
      <c r="D2" t="s">
        <v>53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4167.1037489620485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4161.5057159467115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4162.5355172039835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4168.9324604938765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4175.7956137265555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4182.5664722654465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4187.3549750169195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4193.7212530959805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4226.2422858633145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4283.6051221178905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4307.0441823656265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4418.4103878472115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4436.0433651972435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4484.5899476329805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4511.5093584007545</v>
      </c>
    </row>
    <row r="207" spans="1:2" x14ac:dyDescent="0.15">
      <c r="A207">
        <v>483</v>
      </c>
      <c r="B207">
        <v>4517.1244468111045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4597.9919227238815</v>
      </c>
    </row>
    <row r="221" spans="1:2" x14ac:dyDescent="0.15">
      <c r="A221">
        <v>497</v>
      </c>
      <c r="B221">
        <v>4604.8781166479675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4671.8438258887345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4767.9726558305365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5138.8466351934385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5173.9562635752545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4646.3992007934185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4458.7495777867325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4113.1720760271355</v>
      </c>
    </row>
    <row r="302" spans="1:2" x14ac:dyDescent="0.15">
      <c r="A302">
        <v>578</v>
      </c>
      <c r="B302">
        <v>4071.6586382314163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3993.2543090779386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3885.8473517588945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3820.1636580139266</v>
      </c>
    </row>
    <row r="310" spans="1:2" x14ac:dyDescent="0.15">
      <c r="A310">
        <v>586</v>
      </c>
      <c r="B310">
        <v>3788.9088491108623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3700.8643446777687</v>
      </c>
    </row>
    <row r="314" spans="1:2" x14ac:dyDescent="0.15">
      <c r="A314">
        <v>590</v>
      </c>
      <c r="B314">
        <v>3673.2706539292967</v>
      </c>
    </row>
    <row r="315" spans="1:2" x14ac:dyDescent="0.15">
      <c r="A315">
        <v>591</v>
      </c>
      <c r="B315">
        <v>3646.4862210576807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3595.2013025676065</v>
      </c>
    </row>
    <row r="318" spans="1:2" x14ac:dyDescent="0.15">
      <c r="A318">
        <v>594</v>
      </c>
      <c r="B318">
        <v>3570.6348080912485</v>
      </c>
    </row>
    <row r="319" spans="1:2" x14ac:dyDescent="0.15">
      <c r="A319">
        <v>595</v>
      </c>
      <c r="B319">
        <v>3546.7451365352163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3478.8654265697296</v>
      </c>
    </row>
    <row r="323" spans="1:2" x14ac:dyDescent="0.15">
      <c r="A323">
        <v>599</v>
      </c>
      <c r="B323">
        <v>3457.4193697572728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3396.3142486625757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3339.6564085861464</v>
      </c>
    </row>
    <row r="330" spans="1:2" x14ac:dyDescent="0.15">
      <c r="A330">
        <v>606</v>
      </c>
      <c r="B330">
        <v>3321.6784179320794</v>
      </c>
    </row>
    <row r="331" spans="1:2" x14ac:dyDescent="0.15">
      <c r="A331">
        <v>607</v>
      </c>
      <c r="B331">
        <v>3304.1285535744255</v>
      </c>
    </row>
    <row r="332" spans="1:2" x14ac:dyDescent="0.15">
      <c r="A332">
        <v>608</v>
      </c>
      <c r="B332">
        <v>3286.9924265965838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3253.9071825091637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3222.3204027945335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EB20-993E-4C88-8B3A-9D0AA38944FF}">
  <sheetPr codeName="ws_CpHigh"/>
  <dimension ref="A1:E337"/>
  <sheetViews>
    <sheetView workbookViewId="0">
      <pane ySplit="1" topLeftCell="A65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4145.4990259833339</v>
      </c>
      <c r="D2" t="s">
        <v>53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4142.2370086486935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4141.0852015276705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4142.0757559542135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4144.6951463872465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4170.6998120113985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4172.3578139375395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4181.6060263214995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4193.8666712391305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4205.7631231769055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4221.1932488653065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4235.3791304911965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4314.4205933394105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4342.7665385510145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4393.9540723458795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4432.0770311694905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4464.9627135348455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4506.4516560336415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4577.7362404400565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4647.0567998434235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4662.1792759157925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4702.0459321509325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4727.4849324966235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4791.8077827239495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5114.8970677329835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5576.9931992977745</v>
      </c>
    </row>
    <row r="302" spans="1:2" x14ac:dyDescent="0.15">
      <c r="A302">
        <v>578</v>
      </c>
      <c r="B302">
        <v>5605.3124321390505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5664.6699509877935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5761.2488610771725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6030.7686394117145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tm"/>
  <dimension ref="A1:BR59"/>
  <sheetViews>
    <sheetView tabSelected="1" topLeftCell="BE1" zoomScale="85" zoomScaleNormal="85" workbookViewId="0">
      <selection activeCell="BR2" sqref="BR2"/>
    </sheetView>
  </sheetViews>
  <sheetFormatPr defaultRowHeight="13.5" x14ac:dyDescent="0.15"/>
  <cols>
    <col min="1" max="1" width="23.75" customWidth="1"/>
    <col min="2" max="2" width="10.625" customWidth="1"/>
    <col min="3" max="3" width="12.75" customWidth="1"/>
    <col min="4" max="10" width="13.875" customWidth="1"/>
    <col min="11" max="12" width="15" customWidth="1"/>
    <col min="13" max="13" width="10.625" customWidth="1"/>
    <col min="14" max="14" width="12" customWidth="1"/>
    <col min="15" max="16" width="14.25" customWidth="1"/>
    <col min="17" max="17" width="10.625" customWidth="1"/>
    <col min="18" max="18" width="14.25" customWidth="1"/>
    <col min="19" max="19" width="25.5" bestFit="1" customWidth="1"/>
    <col min="20" max="20" width="14.25" customWidth="1"/>
    <col min="21" max="21" width="15.75" customWidth="1"/>
    <col min="22" max="23" width="13.125" customWidth="1"/>
    <col min="24" max="24" width="32.125" customWidth="1"/>
    <col min="25" max="25" width="9.75" customWidth="1"/>
    <col min="26" max="26" width="32.125" customWidth="1"/>
    <col min="27" max="27" width="10.5" customWidth="1"/>
    <col min="28" max="28" width="20" customWidth="1"/>
    <col min="29" max="31" width="10.625" customWidth="1"/>
    <col min="32" max="32" width="20.625" customWidth="1"/>
    <col min="33" max="33" width="27.25" customWidth="1"/>
    <col min="34" max="38" width="20" customWidth="1"/>
    <col min="39" max="39" width="21" customWidth="1"/>
    <col min="40" max="41" width="20" customWidth="1"/>
    <col min="42" max="42" width="15.875" customWidth="1"/>
    <col min="43" max="43" width="16.5" customWidth="1"/>
    <col min="44" max="44" width="11.625" customWidth="1"/>
    <col min="45" max="45" width="18.125" customWidth="1"/>
    <col min="46" max="46" width="19.375" customWidth="1"/>
    <col min="47" max="47" width="18.125" customWidth="1"/>
    <col min="48" max="48" width="13" customWidth="1"/>
    <col min="49" max="49" width="19" customWidth="1"/>
    <col min="50" max="50" width="18.125" customWidth="1"/>
    <col min="51" max="51" width="13.75" customWidth="1"/>
    <col min="52" max="52" width="16.75" customWidth="1"/>
    <col min="53" max="53" width="12.875" bestFit="1" customWidth="1"/>
    <col min="54" max="54" width="20.625" bestFit="1" customWidth="1"/>
    <col min="55" max="55" width="13.875" customWidth="1"/>
    <col min="56" max="56" width="15.625" customWidth="1"/>
    <col min="57" max="57" width="13.875" customWidth="1"/>
    <col min="58" max="58" width="12.625" customWidth="1"/>
    <col min="59" max="60" width="9.125" bestFit="1" customWidth="1"/>
    <col min="61" max="61" width="12.875" bestFit="1" customWidth="1"/>
    <col min="62" max="62" width="9.125" bestFit="1" customWidth="1"/>
    <col min="63" max="63" width="11.5" customWidth="1"/>
    <col min="64" max="64" width="12.75" bestFit="1" customWidth="1"/>
    <col min="65" max="65" width="12.875" bestFit="1" customWidth="1"/>
    <col min="66" max="67" width="12.75" bestFit="1" customWidth="1"/>
    <col min="68" max="68" width="15.375" bestFit="1" customWidth="1"/>
    <col min="69" max="69" width="12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55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144</v>
      </c>
      <c r="S1" s="13" t="s">
        <v>56</v>
      </c>
      <c r="T1" s="3" t="s">
        <v>16</v>
      </c>
      <c r="U1" s="3" t="s">
        <v>17</v>
      </c>
      <c r="V1" s="4" t="s">
        <v>18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82</v>
      </c>
      <c r="AB1" s="4" t="s">
        <v>23</v>
      </c>
      <c r="AC1" s="11" t="s">
        <v>24</v>
      </c>
      <c r="AD1" s="11" t="s">
        <v>57</v>
      </c>
      <c r="AE1" s="11" t="s">
        <v>25</v>
      </c>
      <c r="AF1" s="11" t="s">
        <v>79</v>
      </c>
      <c r="AG1" s="6" t="s">
        <v>58</v>
      </c>
      <c r="AH1" s="6" t="s">
        <v>26</v>
      </c>
      <c r="AI1" s="6" t="s">
        <v>27</v>
      </c>
      <c r="AJ1" s="5" t="s">
        <v>59</v>
      </c>
      <c r="AK1" s="5" t="s">
        <v>28</v>
      </c>
      <c r="AL1" s="5" t="s">
        <v>29</v>
      </c>
      <c r="AM1" s="5" t="s">
        <v>60</v>
      </c>
      <c r="AN1" s="5" t="s">
        <v>80</v>
      </c>
      <c r="AO1" s="7" t="s">
        <v>30</v>
      </c>
      <c r="AP1" s="3" t="s">
        <v>31</v>
      </c>
      <c r="AQ1" s="3" t="s">
        <v>32</v>
      </c>
      <c r="AR1" s="3" t="s">
        <v>33</v>
      </c>
      <c r="AS1" s="3" t="s">
        <v>61</v>
      </c>
      <c r="AT1" s="3" t="s">
        <v>62</v>
      </c>
      <c r="AU1" s="3" t="s">
        <v>63</v>
      </c>
      <c r="AV1" s="3" t="s">
        <v>64</v>
      </c>
      <c r="AW1" s="3" t="s">
        <v>65</v>
      </c>
      <c r="AX1" s="3" t="s">
        <v>66</v>
      </c>
      <c r="AY1" s="3" t="s">
        <v>81</v>
      </c>
      <c r="AZ1" s="1" t="s">
        <v>34</v>
      </c>
      <c r="BA1" t="s">
        <v>35</v>
      </c>
      <c r="BB1" t="s">
        <v>67</v>
      </c>
      <c r="BC1" s="18" t="s">
        <v>68</v>
      </c>
      <c r="BD1" s="18" t="s">
        <v>69</v>
      </c>
      <c r="BE1" t="s">
        <v>70</v>
      </c>
      <c r="BF1" s="17" t="s">
        <v>71</v>
      </c>
      <c r="BG1" t="s">
        <v>72</v>
      </c>
      <c r="BH1" t="s">
        <v>36</v>
      </c>
      <c r="BI1" t="s">
        <v>73</v>
      </c>
      <c r="BJ1" t="s">
        <v>74</v>
      </c>
      <c r="BK1" t="s">
        <v>75</v>
      </c>
      <c r="BL1" t="s">
        <v>37</v>
      </c>
      <c r="BM1" t="s">
        <v>76</v>
      </c>
      <c r="BN1" t="s">
        <v>77</v>
      </c>
      <c r="BO1" t="s">
        <v>78</v>
      </c>
      <c r="BP1" t="s">
        <v>38</v>
      </c>
      <c r="BQ1" t="s">
        <v>143</v>
      </c>
      <c r="BR1" t="s">
        <v>145</v>
      </c>
    </row>
    <row r="2" spans="1:70" x14ac:dyDescent="0.15">
      <c r="A2" s="25" t="s">
        <v>86</v>
      </c>
      <c r="B2" s="26">
        <v>14927148.904999999</v>
      </c>
      <c r="C2" s="26" cm="1">
        <f t="array" ref="C2">TsatFromP(テーブル2[[#This Row],[P]])</f>
        <v>614.9156661127455</v>
      </c>
      <c r="D2" s="26">
        <f t="array" ref="D2">RhoGFromP(テーブル2[[#This Row],[P]])</f>
        <v>95.99129627600891</v>
      </c>
      <c r="E2" s="26">
        <f t="array" ref="E2">RhoFFromP(テーブル2[[#This Row],[P]])</f>
        <v>604.83147460894611</v>
      </c>
      <c r="F2" s="26">
        <f t="array" ref="F2">HgFromP(テーブル2[[#This Row],[P]])</f>
        <v>2612762.6286267578</v>
      </c>
      <c r="G2" s="26">
        <f t="array" ref="G2">HfFromP(テーブル2[[#This Row],[P]])</f>
        <v>1607339.4945123668</v>
      </c>
      <c r="H2" s="26">
        <f t="array" ref="H2">MuGFromP(テーブル2[[#This Row],[P]])</f>
        <v>2.2671477363907453E-5</v>
      </c>
      <c r="I2" s="26">
        <f t="array" ref="I2">MuFFromP(テーブル2[[#This Row],[P]])</f>
        <v>6.9572022522881486E-5</v>
      </c>
      <c r="J2" s="26">
        <f t="array" ref="J2">KfFromP(テーブル2[[#This Row],[P]])</f>
        <v>0.47825678197067412</v>
      </c>
      <c r="K2" s="26">
        <f t="array" ref="K2">CpFFromP(テーブル2[[#This Row],[P]])</f>
        <v>8454.9052671850641</v>
      </c>
      <c r="L2" s="26">
        <f t="array" ref="L2">SigmaFromP(テーブル2[[#This Row],[P]])</f>
        <v>5.2373024455701312E-3</v>
      </c>
      <c r="M2" s="27">
        <v>229</v>
      </c>
      <c r="N2" s="26">
        <v>3507.9720000000002</v>
      </c>
      <c r="O2" s="28">
        <v>1.0848891429240124E-4</v>
      </c>
      <c r="P2" s="28">
        <v>3.3674103335298272E-2</v>
      </c>
      <c r="Q2" s="26">
        <v>1.2886925387400553E-2</v>
      </c>
      <c r="R2" s="26">
        <v>1.778</v>
      </c>
      <c r="S2" s="29">
        <v>2952672.6789062503</v>
      </c>
      <c r="T2" s="26">
        <v>579.81666666666661</v>
      </c>
      <c r="U2" s="30">
        <f>+T2+BG2*S2*テーブル2[[#This Row],[Pw]]*R2/(N2*O2*K2)</f>
        <v>615.76579345584639</v>
      </c>
      <c r="V2" s="26">
        <v>0.03</v>
      </c>
      <c r="W2" s="28">
        <f t="shared" ref="W2:W12" si="0">+N2*P2/I2</f>
        <v>1697921.1950677731</v>
      </c>
      <c r="X2" s="26">
        <v>1.5808189466610945E-2</v>
      </c>
      <c r="Y2" s="26">
        <f t="shared" ref="Y2:Y15" si="1">IF(X2&gt;0,1/X2^0.5,1)</f>
        <v>7.9535118739752901</v>
      </c>
      <c r="Z2" s="26">
        <f t="shared" ref="Z2:Z12" si="2">IF(X2&gt;0,1.14-2*LOG((0.72*L2*E2)/(X2*P2*N2^2)+9.35/(W2*X2^0.5)),0)</f>
        <v>7.953511887862148</v>
      </c>
      <c r="AA2" s="26">
        <f t="shared" ref="AA2:AA15" si="3">+Y2-Z2</f>
        <v>-1.3886857885836434E-8</v>
      </c>
      <c r="AB2" s="26">
        <f t="shared" ref="AB2:AB15" si="4">32/X2*L2*V2*E2/N2^2</f>
        <v>1.5632156766116078E-5</v>
      </c>
      <c r="AC2" s="26">
        <v>646.44549461459803</v>
      </c>
      <c r="AD2" s="26">
        <f t="shared" ref="AD2:AD12" si="5">+P2/2*AI2/I2*E2</f>
        <v>37738.41071644445</v>
      </c>
      <c r="AE2" s="26">
        <f>+gettm2(AD2,AC2,AK2,AL2,テーブル2[[#This Row],[Fcorr]])</f>
        <v>615.76579394157511</v>
      </c>
      <c r="AF2" s="31">
        <f t="shared" ref="AF2:AF15" si="6">+AE2-U2</f>
        <v>4.8572871946817031E-7</v>
      </c>
      <c r="AG2" s="26">
        <v>1.569269507039687E-5</v>
      </c>
      <c r="AH2" s="26">
        <f t="shared" ref="AH2:AH15" si="7">+X2*N2^2/(8*E2)</f>
        <v>40.20406799084099</v>
      </c>
      <c r="AI2" s="26">
        <f t="shared" ref="AI2:AI15" si="8">+(AH2/E2)^0.5</f>
        <v>0.25782071459805578</v>
      </c>
      <c r="AJ2" s="26">
        <f t="shared" ref="AJ2:AJ15" si="9">+AG2*AI2/I2*E2</f>
        <v>35.173460502734699</v>
      </c>
      <c r="AK2" s="26">
        <f t="array" ref="AK2">+S2*テーブル2[[#This Row],[F_form]]/(E2*CpFromTP((テーブル2[[#This Row],[Tin]]+テーブル2[[#This Row],[Tf]])/2,テーブル2[[#This Row],[P]])*AI2)</f>
        <v>1.9245751369385167</v>
      </c>
      <c r="AL2" s="26">
        <f t="shared" ref="AL2:AL15" si="10">+K2*I2/J2</f>
        <v>1.2299352185945529</v>
      </c>
      <c r="AM2" s="26">
        <f t="shared" ref="AM2:AM15" si="11">+gettyp(AC2,AJ2,AK2,AL2)</f>
        <v>614.91566610730945</v>
      </c>
      <c r="AN2" s="26">
        <f t="shared" ref="AN2:AN15" si="12">+C2-AM2</f>
        <v>5.4360498324967921E-9</v>
      </c>
      <c r="AO2" s="26">
        <f t="shared" ref="AO2:AO15" si="13">+AG2-AB2</f>
        <v>6.0538304280791978E-8</v>
      </c>
      <c r="AP2" s="26">
        <v>3.1679907862540633</v>
      </c>
      <c r="AQ2" s="26">
        <f t="shared" ref="AQ2:AQ15" si="14">2*PI()*L2*(D2+E2)/(D2*E2*AP2^2)</f>
        <v>3.9578712988618998E-5</v>
      </c>
      <c r="AR2" s="26">
        <f t="shared" ref="AR2:AR15" si="15">+AO2+AB2/2</f>
        <v>7.8766166873388311E-6</v>
      </c>
      <c r="AS2" s="26">
        <f t="shared" ref="AS2:AS15" si="16">+AR2*AI2/I2*E2</f>
        <v>17.654575246920082</v>
      </c>
      <c r="AT2" s="26">
        <f t="shared" ref="AT2:AT15" si="17">+getublp(AS2)</f>
        <v>11.304974852880378</v>
      </c>
      <c r="AU2" s="26">
        <f t="shared" ref="AU2:AU15" si="18">+AT2*AI2</f>
        <v>2.9146566950826696</v>
      </c>
      <c r="AV2" s="26">
        <f t="shared" ref="AV2:AV15" si="19">+AP2-AU2</f>
        <v>0.25333409117139372</v>
      </c>
      <c r="AW2" s="26">
        <f t="shared" ref="AW2:AW15" si="20">2/3*AB2/(L2/(9.8*(E2-D2)))^0.5</f>
        <v>1.0168983703586362E-2</v>
      </c>
      <c r="AX2" s="26">
        <f t="shared" ref="AX2:AX15" si="21">+(2*AQ2*9.8*(E2-D2)/(E2*AW2))^0.5</f>
        <v>0.25333406997400326</v>
      </c>
      <c r="AY2" s="26">
        <f t="shared" ref="AY2:AY15" si="22">+AV2-AX2</f>
        <v>2.1197390454030796E-8</v>
      </c>
      <c r="AZ2" s="26">
        <f t="shared" ref="AZ2:AZ15" si="23">+F2-G2</f>
        <v>1005423.1341143909</v>
      </c>
      <c r="BA2" s="26">
        <f t="shared" ref="BA2:BA15" si="24">+AQ2/AP2</f>
        <v>1.2493316950400027E-5</v>
      </c>
      <c r="BB2" s="29">
        <f t="shared" ref="BB2:BB15" si="25">+E2*AO2*AZ2/BA2</f>
        <v>2946698.8317937232</v>
      </c>
      <c r="BC2" s="29">
        <f t="shared" ref="BC2:BC15" si="26">BB2-S2</f>
        <v>-5973.8471125271171</v>
      </c>
      <c r="BD2" s="32">
        <f t="shared" ref="BD2:BD15" si="27">+(BB2-S2)/S2*100</f>
        <v>-0.20231999148446048</v>
      </c>
      <c r="BE2" s="29">
        <v>2915712.5985881896</v>
      </c>
      <c r="BF2" s="26">
        <f>テーブル2[[#This Row],[q_P]]/テーブル2[[#This Row],[q_M]]</f>
        <v>1.0106273276798741</v>
      </c>
      <c r="BG2" s="26">
        <v>0.6543279479376316</v>
      </c>
      <c r="BH2" s="26">
        <v>4.1827591863522147E-2</v>
      </c>
      <c r="BI2" s="26">
        <v>4.5999999999999999E-2</v>
      </c>
      <c r="BJ2" s="26">
        <v>5625</v>
      </c>
      <c r="BK2" s="26">
        <f>1+テーブル2[[#This Row],[A_corr]]*EXP(-テーブル2[[#This Row],[(Tsub-40)^2]]/テーブル2[[#This Row],[σ_corr]])</f>
        <v>1.0458039901580181</v>
      </c>
      <c r="BL2" s="26">
        <f>テーブル2[[#This Row],[Ts]]-テーブル2[[#This Row],[Tin]]</f>
        <v>35.098999446078892</v>
      </c>
      <c r="BM2" s="26">
        <f>テーブル2[[#This Row],[q_P]]*0.000001</f>
        <v>2.9466988317937228</v>
      </c>
      <c r="BN2" s="26">
        <f>テーブル2[[#This Row],[Tsub]]</f>
        <v>35.098999446078892</v>
      </c>
      <c r="BO2" s="26">
        <f>テーブル2[[#This Row],[Fcorr]]</f>
        <v>1.0458039901580181</v>
      </c>
      <c r="BP2" s="26">
        <f>(テーブル2[[#This Row],[Tsub]]-40)^2</f>
        <v>24.019806429535006</v>
      </c>
      <c r="BQ2" s="27">
        <v>1.009375478841255</v>
      </c>
      <c r="BR2" s="33">
        <v>2.4380000000000002</v>
      </c>
    </row>
    <row r="3" spans="1:70" x14ac:dyDescent="0.15">
      <c r="A3" s="9" t="s">
        <v>87</v>
      </c>
      <c r="B3">
        <v>14582411.055</v>
      </c>
      <c r="C3" s="21" cm="1">
        <f t="array" ref="C3">TsatFromP(テーブル2[[#This Row],[P]])</f>
        <v>613.05026988781367</v>
      </c>
      <c r="D3">
        <f t="array" ref="D3">RhoGFromP(テーブル2[[#This Row],[P]])</f>
        <v>92.580958140603215</v>
      </c>
      <c r="E3">
        <f t="array" ref="E3">RhoFFromP(テーブル2[[#This Row],[P]])</f>
        <v>610.99184656446221</v>
      </c>
      <c r="F3">
        <f t="array" ref="F3">HgFromP(テーブル2[[#This Row],[P]])</f>
        <v>2622345.5985878608</v>
      </c>
      <c r="G3">
        <f t="array" ref="G3">HfFromP(テーブル2[[#This Row],[P]])</f>
        <v>1593812.5192969192</v>
      </c>
      <c r="H3">
        <f t="array" ref="H3">MuGFromP(テーブル2[[#This Row],[P]])</f>
        <v>2.2466336042427335E-5</v>
      </c>
      <c r="I3">
        <f t="array" ref="I3">MuFFromP(テーブル2[[#This Row],[P]])</f>
        <v>7.0373614625891007E-5</v>
      </c>
      <c r="J3">
        <f t="array" ref="J3">KfFromP(テーブル2[[#This Row],[P]])</f>
        <v>0.48213977909987105</v>
      </c>
      <c r="K3">
        <f t="array" ref="K3">CpFFromP(テーブル2[[#This Row],[P]])</f>
        <v>8194.8014383951322</v>
      </c>
      <c r="L3">
        <f t="array" ref="L3">SigmaFromP(テーブル2[[#This Row],[P]])</f>
        <v>5.6080351609815058E-3</v>
      </c>
      <c r="M3">
        <v>230</v>
      </c>
      <c r="N3">
        <v>3444.24</v>
      </c>
      <c r="O3" s="8">
        <v>1.0848891429240124E-4</v>
      </c>
      <c r="P3" s="8">
        <v>3.3674103335298272E-2</v>
      </c>
      <c r="Q3">
        <v>1.2886925387400553E-2</v>
      </c>
      <c r="R3">
        <v>1.778</v>
      </c>
      <c r="S3" s="15">
        <v>3140856.15234375</v>
      </c>
      <c r="T3">
        <v>570.37222222222226</v>
      </c>
      <c r="U3" s="12">
        <f>+T3+BG3*S3*テーブル2[[#This Row],[Pw]]*R3/(N3*O3*K3)</f>
        <v>610.55630963622741</v>
      </c>
      <c r="V3">
        <v>0.03</v>
      </c>
      <c r="W3" s="8">
        <f t="shared" si="0"/>
        <v>1648084.9291049081</v>
      </c>
      <c r="X3">
        <v>1.611558393814511E-2</v>
      </c>
      <c r="Y3">
        <f t="shared" si="1"/>
        <v>7.87729258572387</v>
      </c>
      <c r="Z3">
        <f t="shared" si="2"/>
        <v>7.8772925931407354</v>
      </c>
      <c r="AA3">
        <f t="shared" si="3"/>
        <v>-7.4168653441120114E-9</v>
      </c>
      <c r="AB3">
        <f t="shared" si="4"/>
        <v>1.7206182179050892E-5</v>
      </c>
      <c r="AC3">
        <v>648.82301618532028</v>
      </c>
      <c r="AD3">
        <f t="shared" si="5"/>
        <v>36985.170242801796</v>
      </c>
      <c r="AE3">
        <f>+gettm2(AD3,AC3,AK3,AL3,テーブル2[[#This Row],[Fcorr]])</f>
        <v>610.55630963622718</v>
      </c>
      <c r="AF3" s="14">
        <f t="shared" si="6"/>
        <v>0</v>
      </c>
      <c r="AG3">
        <v>1.7272892981211345E-5</v>
      </c>
      <c r="AH3">
        <f t="shared" si="7"/>
        <v>39.111768800003595</v>
      </c>
      <c r="AI3">
        <f t="shared" si="8"/>
        <v>0.25300902971444011</v>
      </c>
      <c r="AJ3">
        <f t="shared" si="9"/>
        <v>37.942562635432935</v>
      </c>
      <c r="AK3">
        <f t="array" ref="AK3">+S3*テーブル2[[#This Row],[F_form]]/(E3*CpFromTP((テーブル2[[#This Row],[Tin]]+テーブル2[[#This Row],[Tf]])/2,テーブル2[[#This Row],[P]])*AI3)</f>
        <v>2.1968737660755506</v>
      </c>
      <c r="AL3">
        <f t="shared" si="10"/>
        <v>1.1961215883036658</v>
      </c>
      <c r="AM3">
        <f t="shared" si="11"/>
        <v>613.0502698720187</v>
      </c>
      <c r="AN3">
        <f t="shared" si="12"/>
        <v>1.5794967112015001E-8</v>
      </c>
      <c r="AO3">
        <f t="shared" si="13"/>
        <v>6.6710802160453177E-8</v>
      </c>
      <c r="AP3">
        <v>3.2106178701851285</v>
      </c>
      <c r="AQ3">
        <f t="shared" si="14"/>
        <v>4.2517264745016132E-5</v>
      </c>
      <c r="AR3">
        <f t="shared" si="15"/>
        <v>8.6698018916858991E-6</v>
      </c>
      <c r="AS3">
        <f t="shared" si="16"/>
        <v>19.044551579744557</v>
      </c>
      <c r="AT3">
        <f t="shared" si="17"/>
        <v>11.683905271762413</v>
      </c>
      <c r="AU3">
        <f t="shared" si="18"/>
        <v>2.9561335360840397</v>
      </c>
      <c r="AV3">
        <f t="shared" si="19"/>
        <v>0.25448433410108873</v>
      </c>
      <c r="AW3">
        <f t="shared" si="20"/>
        <v>1.0917871766046394E-2</v>
      </c>
      <c r="AX3">
        <f t="shared" si="21"/>
        <v>0.25448433243420449</v>
      </c>
      <c r="AY3">
        <f t="shared" si="22"/>
        <v>1.6668842417466578E-9</v>
      </c>
      <c r="AZ3">
        <f t="shared" si="23"/>
        <v>1028533.0792909416</v>
      </c>
      <c r="BA3">
        <f t="shared" si="24"/>
        <v>1.3242704820105088E-5</v>
      </c>
      <c r="BB3" s="15">
        <f t="shared" si="25"/>
        <v>3165724.6856122804</v>
      </c>
      <c r="BC3" s="20">
        <f t="shared" si="26"/>
        <v>24868.533268530387</v>
      </c>
      <c r="BD3" s="19">
        <f t="shared" si="27"/>
        <v>0.79177561984088796</v>
      </c>
      <c r="BE3" s="15">
        <v>3184415.5243404349</v>
      </c>
      <c r="BF3" s="16">
        <f>テーブル2[[#This Row],[q_P]]/テーブル2[[#This Row],[q_M]]</f>
        <v>0.9941305276948661</v>
      </c>
      <c r="BG3">
        <v>0.6543279479376316</v>
      </c>
      <c r="BH3">
        <v>3.0903005549072472E-2</v>
      </c>
      <c r="BI3">
        <v>4.5999999999999999E-2</v>
      </c>
      <c r="BJ3">
        <v>5625</v>
      </c>
      <c r="BK3" s="21">
        <f>1+テーブル2[[#This Row],[A_corr]]*EXP(-テーブル2[[#This Row],[(Tsub-40)^2]]/テーブル2[[#This Row],[σ_corr]])</f>
        <v>1.0459413868483352</v>
      </c>
      <c r="BL3">
        <f>テーブル2[[#This Row],[Ts]]-テーブル2[[#This Row],[Tin]]</f>
        <v>42.678047665591407</v>
      </c>
      <c r="BM3">
        <f>テーブル2[[#This Row],[q_P]]*0.000001</f>
        <v>3.1657246856122803</v>
      </c>
      <c r="BN3">
        <f>テーブル2[[#This Row],[Tsub]]</f>
        <v>42.678047665591407</v>
      </c>
      <c r="BO3">
        <f>テーブル2[[#This Row],[Fcorr]]</f>
        <v>1.0459413868483352</v>
      </c>
      <c r="BP3">
        <f>(テーブル2[[#This Row],[Tsub]]-40)^2</f>
        <v>7.1719392991795852</v>
      </c>
      <c r="BQ3" s="10">
        <v>1.0111623444865137</v>
      </c>
      <c r="BR3" s="33">
        <v>2.4380000000000002</v>
      </c>
    </row>
    <row r="4" spans="1:70" x14ac:dyDescent="0.15">
      <c r="A4" s="9" t="s">
        <v>88</v>
      </c>
      <c r="B4">
        <v>16650838.154999999</v>
      </c>
      <c r="C4" s="21" cm="1">
        <f t="array" ref="C4">TsatFromP(テーブル2[[#This Row],[P]])</f>
        <v>623.7467472920838</v>
      </c>
      <c r="D4">
        <f t="array" ref="D4">RhoGFromP(テーブル2[[#This Row],[P]])</f>
        <v>115.08174830522883</v>
      </c>
      <c r="E4">
        <f t="array" ref="E4">RhoFFromP(テーブル2[[#This Row],[P]])</f>
        <v>572.29121245744955</v>
      </c>
      <c r="F4">
        <f t="array" ref="F4">HgFromP(テーブル2[[#This Row],[P]])</f>
        <v>2559557.8321399409</v>
      </c>
      <c r="G4">
        <f t="array" ref="G4">HfFromP(テーブル2[[#This Row],[P]])</f>
        <v>1675797.4223693286</v>
      </c>
      <c r="H4">
        <f t="array" ref="H4">MuGFromP(テーブル2[[#This Row],[P]])</f>
        <v>2.3829582904311094E-5</v>
      </c>
      <c r="I4">
        <f t="array" ref="I4">MuFFromP(テーブル2[[#This Row],[P]])</f>
        <v>6.5509940250288218E-5</v>
      </c>
      <c r="J4">
        <f t="array" ref="J4">KfFromP(テーブル2[[#This Row],[P]])</f>
        <v>0.45915472043015876</v>
      </c>
      <c r="K4">
        <f t="array" ref="K4">CpFFromP(テーブル2[[#This Row],[P]])</f>
        <v>10285.252806144354</v>
      </c>
      <c r="L4">
        <f t="array" ref="L4">SigmaFromP(テーブル2[[#This Row],[P]])</f>
        <v>3.5437208597502243E-3</v>
      </c>
      <c r="M4" s="22">
        <v>231</v>
      </c>
      <c r="N4">
        <v>3437.46</v>
      </c>
      <c r="O4" s="8">
        <v>1.0848891429240124E-4</v>
      </c>
      <c r="P4" s="8">
        <v>3.3674103335298272E-2</v>
      </c>
      <c r="Q4">
        <v>1.2886925387400553E-2</v>
      </c>
      <c r="R4">
        <v>1.778</v>
      </c>
      <c r="S4" s="15">
        <v>3594887.1485937499</v>
      </c>
      <c r="T4">
        <v>575.92777777777769</v>
      </c>
      <c r="U4" s="12">
        <f>+T4+BG4*S4*テーブル2[[#This Row],[Pw]]*R4/(N4*O4*K4)</f>
        <v>612.64506119197858</v>
      </c>
      <c r="V4">
        <v>0.03</v>
      </c>
      <c r="W4" s="8">
        <f t="shared" si="0"/>
        <v>1766959.0722981179</v>
      </c>
      <c r="X4">
        <v>1.4827406621256983E-2</v>
      </c>
      <c r="Y4">
        <f t="shared" si="1"/>
        <v>8.212349073386271</v>
      </c>
      <c r="Z4">
        <f t="shared" si="2"/>
        <v>8.2123490768499092</v>
      </c>
      <c r="AA4">
        <f t="shared" si="3"/>
        <v>-3.4636382650887754E-9</v>
      </c>
      <c r="AB4">
        <f t="shared" si="4"/>
        <v>1.1112385813588112E-5</v>
      </c>
      <c r="AC4">
        <v>667.15550084547442</v>
      </c>
      <c r="AD4">
        <f t="shared" si="5"/>
        <v>38035.059485906088</v>
      </c>
      <c r="AE4">
        <f>+gettm2(AD4,AC4,AK4,AL4,テーブル2[[#This Row],[Fcorr]])</f>
        <v>612.6450618940911</v>
      </c>
      <c r="AF4" s="14">
        <f t="shared" si="6"/>
        <v>7.0211251568252919E-7</v>
      </c>
      <c r="AG4">
        <v>1.1192437582359479E-5</v>
      </c>
      <c r="AH4">
        <f t="shared" si="7"/>
        <v>38.267795080516358</v>
      </c>
      <c r="AI4">
        <f t="shared" si="8"/>
        <v>0.25858788923415976</v>
      </c>
      <c r="AJ4">
        <f t="shared" si="9"/>
        <v>25.283822704855577</v>
      </c>
      <c r="AK4">
        <f t="array" ref="AK4">+S4*テーブル2[[#This Row],[F_form]]/(E4*CpFromTP((テーブル2[[#This Row],[Tin]]+テーブル2[[#This Row],[Tf]])/2,テーブル2[[#This Row],[P]])*AI4)</f>
        <v>2.5484817168831957</v>
      </c>
      <c r="AL4">
        <f t="shared" si="10"/>
        <v>1.4674493516224545</v>
      </c>
      <c r="AM4">
        <f t="shared" si="11"/>
        <v>623.74674728988577</v>
      </c>
      <c r="AN4">
        <f t="shared" si="12"/>
        <v>2.1980213205097243E-9</v>
      </c>
      <c r="AO4">
        <f t="shared" si="13"/>
        <v>8.0051768771367322E-8</v>
      </c>
      <c r="AP4">
        <v>2.7417881672843007</v>
      </c>
      <c r="AQ4">
        <f t="shared" si="14"/>
        <v>3.0912953003968077E-5</v>
      </c>
      <c r="AR4">
        <f t="shared" si="15"/>
        <v>5.6362446755654232E-6</v>
      </c>
      <c r="AS4">
        <f t="shared" si="16"/>
        <v>12.732330205065189</v>
      </c>
      <c r="AT4">
        <f t="shared" si="17"/>
        <v>9.6707222206710686</v>
      </c>
      <c r="AU4">
        <f t="shared" si="18"/>
        <v>2.5007316464132177</v>
      </c>
      <c r="AV4">
        <f t="shared" si="19"/>
        <v>0.24105652087108309</v>
      </c>
      <c r="AW4">
        <f t="shared" si="20"/>
        <v>8.3302290581558792E-3</v>
      </c>
      <c r="AX4">
        <f t="shared" si="21"/>
        <v>0.24105651739425404</v>
      </c>
      <c r="AY4">
        <f t="shared" si="22"/>
        <v>3.4768290468889518E-9</v>
      </c>
      <c r="AZ4">
        <f t="shared" si="23"/>
        <v>883760.40977061237</v>
      </c>
      <c r="BA4">
        <f t="shared" si="24"/>
        <v>1.1274741562032083E-5</v>
      </c>
      <c r="BB4" s="15">
        <f t="shared" si="25"/>
        <v>3591004.5561525184</v>
      </c>
      <c r="BC4" s="20">
        <f t="shared" si="26"/>
        <v>-3882.592441231478</v>
      </c>
      <c r="BD4" s="19">
        <f t="shared" si="27"/>
        <v>-0.10800318009287922</v>
      </c>
      <c r="BE4" s="15">
        <v>3144395.9396539307</v>
      </c>
      <c r="BF4" s="16">
        <f>テーブル2[[#This Row],[q_P]]/テーブル2[[#This Row],[q_M]]</f>
        <v>1.1420331997209425</v>
      </c>
      <c r="BG4">
        <v>0.6543279479376316</v>
      </c>
      <c r="BH4">
        <v>-6.5763840908347693E-2</v>
      </c>
      <c r="BI4">
        <v>4.5999999999999999E-2</v>
      </c>
      <c r="BJ4">
        <v>5625</v>
      </c>
      <c r="BK4" s="21">
        <f>1+テーブル2[[#This Row],[A_corr]]*EXP(-テーブル2[[#This Row],[(Tsub-40)^2]]/テーブル2[[#This Row],[σ_corr]])</f>
        <v>1.0455027481817014</v>
      </c>
      <c r="BL4">
        <f>テーブル2[[#This Row],[Ts]]-テーブル2[[#This Row],[Tin]]</f>
        <v>47.818969514306104</v>
      </c>
      <c r="BM4">
        <f>テーブル2[[#This Row],[q_P]]*0.000001</f>
        <v>3.5910045561525181</v>
      </c>
      <c r="BN4">
        <f>テーブル2[[#This Row],[Tsub]]</f>
        <v>47.818969514306104</v>
      </c>
      <c r="BO4">
        <f>テーブル2[[#This Row],[Fcorr]]</f>
        <v>1.0455027481817014</v>
      </c>
      <c r="BP4">
        <f>(テーブル2[[#This Row],[Tsub]]-40)^2</f>
        <v>61.136284265648236</v>
      </c>
      <c r="BQ4" s="10">
        <v>1.0083257790681535</v>
      </c>
      <c r="BR4" s="33">
        <v>2.4380000000000002</v>
      </c>
    </row>
    <row r="5" spans="1:70" x14ac:dyDescent="0.15">
      <c r="A5" s="9" t="s">
        <v>89</v>
      </c>
      <c r="B5">
        <v>16650838.154999999</v>
      </c>
      <c r="C5" s="21" cm="1">
        <f t="array" ref="C5">TsatFromP(テーブル2[[#This Row],[P]])</f>
        <v>623.7467472920838</v>
      </c>
      <c r="D5">
        <f t="array" ref="D5">RhoGFromP(テーブル2[[#This Row],[P]])</f>
        <v>115.08174830522883</v>
      </c>
      <c r="E5">
        <f t="array" ref="E5">RhoFFromP(テーブル2[[#This Row],[P]])</f>
        <v>572.29121245744955</v>
      </c>
      <c r="F5">
        <f t="array" ref="F5">HgFromP(テーブル2[[#This Row],[P]])</f>
        <v>2559557.8321399409</v>
      </c>
      <c r="G5">
        <f t="array" ref="G5">HfFromP(テーブル2[[#This Row],[P]])</f>
        <v>1675797.4223693286</v>
      </c>
      <c r="H5">
        <f t="array" ref="H5">MuGFromP(テーブル2[[#This Row],[P]])</f>
        <v>2.3829582904311094E-5</v>
      </c>
      <c r="I5">
        <f t="array" ref="I5">MuFFromP(テーブル2[[#This Row],[P]])</f>
        <v>6.5509940250288218E-5</v>
      </c>
      <c r="J5">
        <f t="array" ref="J5">KfFromP(テーブル2[[#This Row],[P]])</f>
        <v>0.45915472043015876</v>
      </c>
      <c r="K5">
        <f t="array" ref="K5">CpFFromP(テーブル2[[#This Row],[P]])</f>
        <v>10285.252806144354</v>
      </c>
      <c r="L5">
        <f t="array" ref="L5">SigmaFromP(テーブル2[[#This Row],[P]])</f>
        <v>3.5437208597502243E-3</v>
      </c>
      <c r="M5">
        <v>232</v>
      </c>
      <c r="N5">
        <v>2798.7840000000001</v>
      </c>
      <c r="O5" s="8">
        <v>1.0848891429240124E-4</v>
      </c>
      <c r="P5" s="8">
        <v>3.3674103335298272E-2</v>
      </c>
      <c r="Q5">
        <v>1.2886925387400553E-2</v>
      </c>
      <c r="R5">
        <v>1.778</v>
      </c>
      <c r="S5" s="15">
        <v>3382832.34765625</v>
      </c>
      <c r="T5">
        <v>565.92777777777769</v>
      </c>
      <c r="U5" s="12">
        <f>+T5+BG5*S5*テーブル2[[#This Row],[Pw]]*R5/(N5*O5*K5)</f>
        <v>608.36373723233248</v>
      </c>
      <c r="V5">
        <v>0.03</v>
      </c>
      <c r="W5" s="8">
        <f t="shared" si="0"/>
        <v>1438660.1677409529</v>
      </c>
      <c r="X5">
        <v>1.5879996994288045E-2</v>
      </c>
      <c r="Y5">
        <f t="shared" si="1"/>
        <v>7.935509064364906</v>
      </c>
      <c r="Z5">
        <f t="shared" si="2"/>
        <v>7.9355090834102988</v>
      </c>
      <c r="AA5">
        <f t="shared" si="3"/>
        <v>-1.9045392818384244E-8</v>
      </c>
      <c r="AB5">
        <f t="shared" si="4"/>
        <v>1.5651596188145608E-5</v>
      </c>
      <c r="AC5">
        <v>677.60032529556884</v>
      </c>
      <c r="AD5">
        <f t="shared" si="5"/>
        <v>32048.55391700126</v>
      </c>
      <c r="AE5">
        <f>+gettm2(AD5,AC5,AK5,AL5,テーブル2[[#This Row],[Fcorr]])</f>
        <v>608.36373804207267</v>
      </c>
      <c r="AF5" s="14">
        <f t="shared" si="6"/>
        <v>8.0974018601409625E-7</v>
      </c>
      <c r="AG5">
        <v>1.5749618275695179E-5</v>
      </c>
      <c r="AH5">
        <f t="shared" si="7"/>
        <v>27.169529424232472</v>
      </c>
      <c r="AI5">
        <f t="shared" si="8"/>
        <v>0.21788760218648817</v>
      </c>
      <c r="AJ5">
        <f t="shared" si="9"/>
        <v>29.978674440409382</v>
      </c>
      <c r="AK5">
        <f t="array" ref="AK5">+S5*テーブル2[[#This Row],[F_form]]/(E5*CpFromTP((テーブル2[[#This Row],[Tin]]+テーブル2[[#This Row],[Tf]])/2,テーブル2[[#This Row],[P]])*AI5)</f>
        <v>3.0023474748537833</v>
      </c>
      <c r="AL5">
        <f t="shared" si="10"/>
        <v>1.4674493516224545</v>
      </c>
      <c r="AM5">
        <f t="shared" si="11"/>
        <v>623.74674728714399</v>
      </c>
      <c r="AN5">
        <f t="shared" si="12"/>
        <v>4.9398067858419381E-9</v>
      </c>
      <c r="AO5">
        <f t="shared" si="13"/>
        <v>9.8022087549570991E-8</v>
      </c>
      <c r="AP5">
        <v>2.5132645970725251</v>
      </c>
      <c r="AQ5">
        <f t="shared" si="14"/>
        <v>3.6790175710353831E-5</v>
      </c>
      <c r="AR5">
        <f t="shared" si="15"/>
        <v>7.9238201816223749E-6</v>
      </c>
      <c r="AS5">
        <f t="shared" si="16"/>
        <v>15.082627489187042</v>
      </c>
      <c r="AT5">
        <f t="shared" si="17"/>
        <v>10.517717920429266</v>
      </c>
      <c r="AU5">
        <f t="shared" si="18"/>
        <v>2.2916803381561897</v>
      </c>
      <c r="AV5">
        <f t="shared" si="19"/>
        <v>0.22158425891633549</v>
      </c>
      <c r="AW5">
        <f t="shared" si="20"/>
        <v>1.1732978278488434E-2</v>
      </c>
      <c r="AX5">
        <f t="shared" si="21"/>
        <v>0.22158425642546195</v>
      </c>
      <c r="AY5">
        <f t="shared" si="22"/>
        <v>2.4908735352102696E-9</v>
      </c>
      <c r="AZ5">
        <f t="shared" si="23"/>
        <v>883760.40977061237</v>
      </c>
      <c r="BA5">
        <f t="shared" si="24"/>
        <v>1.4638401286202568E-5</v>
      </c>
      <c r="BB5" s="15">
        <f t="shared" si="25"/>
        <v>3386740.479616547</v>
      </c>
      <c r="BC5" s="20">
        <f t="shared" si="26"/>
        <v>3908.1319602970034</v>
      </c>
      <c r="BD5" s="19">
        <f t="shared" si="27"/>
        <v>0.11552839628616832</v>
      </c>
      <c r="BE5" s="15">
        <v>2955732.1832746952</v>
      </c>
      <c r="BF5" s="16">
        <f>テーブル2[[#This Row],[q_P]]/テーブル2[[#This Row],[q_M]]</f>
        <v>1.1458211602460993</v>
      </c>
      <c r="BG5">
        <v>0.6543279479376316</v>
      </c>
      <c r="BH5">
        <v>-9.2078770611555866E-2</v>
      </c>
      <c r="BI5">
        <v>4.5999999999999999E-2</v>
      </c>
      <c r="BJ5">
        <v>5625</v>
      </c>
      <c r="BK5" s="21">
        <f>1+テーブル2[[#This Row],[A_corr]]*EXP(-テーブル2[[#This Row],[(Tsub-40)^2]]/テーブル2[[#This Row],[σ_corr]])</f>
        <v>1.0434753523757512</v>
      </c>
      <c r="BL5">
        <f>テーブル2[[#This Row],[Ts]]-テーブル2[[#This Row],[Tin]]</f>
        <v>57.818969514306104</v>
      </c>
      <c r="BM5">
        <f>テーブル2[[#This Row],[q_P]]*0.000001</f>
        <v>3.386740479616547</v>
      </c>
      <c r="BN5">
        <f>テーブル2[[#This Row],[Tsub]]</f>
        <v>57.818969514306104</v>
      </c>
      <c r="BO5">
        <f>テーブル2[[#This Row],[Fcorr]]</f>
        <v>1.0434753523757512</v>
      </c>
      <c r="BP5">
        <f>(テーブル2[[#This Row],[Tsub]]-40)^2</f>
        <v>317.5156745517703</v>
      </c>
      <c r="BQ5" s="10">
        <v>1.008775394691833</v>
      </c>
      <c r="BR5" s="33">
        <v>2.4380000000000002</v>
      </c>
    </row>
    <row r="6" spans="1:70" x14ac:dyDescent="0.15">
      <c r="A6" s="9" t="s">
        <v>90</v>
      </c>
      <c r="B6">
        <v>14582411.055</v>
      </c>
      <c r="C6" s="21" cm="1">
        <f t="array" ref="C6">TsatFromP(テーブル2[[#This Row],[P]])</f>
        <v>613.05026988781367</v>
      </c>
      <c r="D6">
        <f t="array" ref="D6">RhoGFromP(テーブル2[[#This Row],[P]])</f>
        <v>92.580958140603215</v>
      </c>
      <c r="E6">
        <f t="array" ref="E6">RhoFFromP(テーブル2[[#This Row],[P]])</f>
        <v>610.99184656446221</v>
      </c>
      <c r="F6">
        <f t="array" ref="F6">HgFromP(テーブル2[[#This Row],[P]])</f>
        <v>2622345.5985878608</v>
      </c>
      <c r="G6">
        <f t="array" ref="G6">HfFromP(テーブル2[[#This Row],[P]])</f>
        <v>1593812.5192969192</v>
      </c>
      <c r="H6">
        <f t="array" ref="H6">MuGFromP(テーブル2[[#This Row],[P]])</f>
        <v>2.2466336042427335E-5</v>
      </c>
      <c r="I6">
        <f t="array" ref="I6">MuFFromP(テーブル2[[#This Row],[P]])</f>
        <v>7.0373614625891007E-5</v>
      </c>
      <c r="J6">
        <f t="array" ref="J6">KfFromP(テーブル2[[#This Row],[P]])</f>
        <v>0.48213977909987105</v>
      </c>
      <c r="K6">
        <f t="array" ref="K6">CpFFromP(テーブル2[[#This Row],[P]])</f>
        <v>8194.8014383951322</v>
      </c>
      <c r="L6">
        <f t="array" ref="L6">SigmaFromP(テーブル2[[#This Row],[P]])</f>
        <v>5.6080351609815058E-3</v>
      </c>
      <c r="M6">
        <v>242</v>
      </c>
      <c r="N6">
        <v>2740.4760000000001</v>
      </c>
      <c r="O6" s="8">
        <v>1.0848891429240124E-4</v>
      </c>
      <c r="P6" s="8">
        <v>3.3674103335298272E-2</v>
      </c>
      <c r="Q6">
        <v>1.2886925387400553E-2</v>
      </c>
      <c r="R6">
        <v>1.778</v>
      </c>
      <c r="S6" s="15">
        <v>3464611.77734375</v>
      </c>
      <c r="T6">
        <v>534.53888888888889</v>
      </c>
      <c r="U6" s="12">
        <f>+T6+BG6*S6*テーブル2[[#This Row],[Pw]]*R6/(N6*O6*K6)</f>
        <v>590.2482327861685</v>
      </c>
      <c r="V6">
        <v>0.03</v>
      </c>
      <c r="W6" s="8">
        <f t="shared" si="0"/>
        <v>1311330.5676067008</v>
      </c>
      <c r="X6">
        <v>1.7469075208911455E-2</v>
      </c>
      <c r="Y6">
        <f t="shared" si="1"/>
        <v>7.5659774524761705</v>
      </c>
      <c r="Z6">
        <f t="shared" si="2"/>
        <v>7.5659774627363792</v>
      </c>
      <c r="AA6">
        <f t="shared" si="3"/>
        <v>-1.0260208682666416E-8</v>
      </c>
      <c r="AB6">
        <f t="shared" si="4"/>
        <v>2.5072373860597526E-5</v>
      </c>
      <c r="AC6">
        <v>669.62213153288462</v>
      </c>
      <c r="AD6">
        <f t="shared" si="5"/>
        <v>30638.828312541253</v>
      </c>
      <c r="AE6">
        <f>+gettm2(AD6,AC6,AK6,AL6,テーブル2[[#This Row],[Fcorr]])</f>
        <v>590.24823350699307</v>
      </c>
      <c r="AF6" s="14">
        <f t="shared" si="6"/>
        <v>7.2082457336364314E-7</v>
      </c>
      <c r="AG6">
        <v>2.5174164190811565E-5</v>
      </c>
      <c r="AH6">
        <f t="shared" si="7"/>
        <v>26.840865689841085</v>
      </c>
      <c r="AI6">
        <f t="shared" si="8"/>
        <v>0.20959482333198357</v>
      </c>
      <c r="AJ6">
        <f t="shared" si="9"/>
        <v>45.810092513762115</v>
      </c>
      <c r="AK6">
        <f t="array" ref="AK6">+S6*テーブル2[[#This Row],[F_form]]/(E6*CpFromTP((テーブル2[[#This Row],[Tin]]+テーブル2[[#This Row],[Tf]])/2,テーブル2[[#This Row],[P]])*AI6)</f>
        <v>3.3765062506962074</v>
      </c>
      <c r="AL6">
        <f t="shared" si="10"/>
        <v>1.1961215883036658</v>
      </c>
      <c r="AM6">
        <f t="shared" si="11"/>
        <v>613.05026979152262</v>
      </c>
      <c r="AN6">
        <f t="shared" si="12"/>
        <v>9.6291046247642953E-8</v>
      </c>
      <c r="AO6">
        <f t="shared" si="13"/>
        <v>1.0179033021403834E-7</v>
      </c>
      <c r="AP6">
        <v>2.8814463629383278</v>
      </c>
      <c r="AQ6">
        <f t="shared" si="14"/>
        <v>5.2786330806211308E-5</v>
      </c>
      <c r="AR6">
        <f t="shared" si="15"/>
        <v>1.2637977260512801E-5</v>
      </c>
      <c r="AS6">
        <f t="shared" si="16"/>
        <v>22.997661535163335</v>
      </c>
      <c r="AT6">
        <f t="shared" si="17"/>
        <v>12.626962691879799</v>
      </c>
      <c r="AU6">
        <f t="shared" si="18"/>
        <v>2.6465460146240942</v>
      </c>
      <c r="AV6">
        <f t="shared" si="19"/>
        <v>0.23490034831423356</v>
      </c>
      <c r="AW6">
        <f t="shared" si="20"/>
        <v>1.5909221454929227E-2</v>
      </c>
      <c r="AX6">
        <f t="shared" si="21"/>
        <v>0.23490034765919121</v>
      </c>
      <c r="AY6">
        <f t="shared" si="22"/>
        <v>6.5504235369218122E-10</v>
      </c>
      <c r="AZ6">
        <f t="shared" si="23"/>
        <v>1028533.0792909416</v>
      </c>
      <c r="BA6">
        <f t="shared" si="24"/>
        <v>1.8319386918027842E-5</v>
      </c>
      <c r="BB6" s="15">
        <f t="shared" si="25"/>
        <v>3491799.2436299911</v>
      </c>
      <c r="BC6" s="20">
        <f t="shared" si="26"/>
        <v>27187.466286241077</v>
      </c>
      <c r="BD6" s="19">
        <f t="shared" si="27"/>
        <v>0.78471898248539618</v>
      </c>
      <c r="BE6" s="15">
        <v>3264454.6937134438</v>
      </c>
      <c r="BF6" s="16">
        <f>テーブル2[[#This Row],[q_P]]/テーブル2[[#This Row],[q_M]]</f>
        <v>1.0696424276784597</v>
      </c>
      <c r="BG6">
        <v>0.6543279479376316</v>
      </c>
      <c r="BH6">
        <v>-9.4205149215638898E-2</v>
      </c>
      <c r="BI6">
        <v>4.5999999999999999E-2</v>
      </c>
      <c r="BJ6">
        <v>5625</v>
      </c>
      <c r="BK6" s="21">
        <f>1+テーブル2[[#This Row],[A_corr]]*EXP(-テーブル2[[#This Row],[(Tsub-40)^2]]/テーブル2[[#This Row],[σ_corr]])</f>
        <v>1.0353385511684958</v>
      </c>
      <c r="BL6">
        <f>テーブル2[[#This Row],[Ts]]-テーブル2[[#This Row],[Tin]]</f>
        <v>78.511380998924778</v>
      </c>
      <c r="BM6">
        <f>テーブル2[[#This Row],[q_P]]*0.000001</f>
        <v>3.4917992436299907</v>
      </c>
      <c r="BN6">
        <f>テーブル2[[#This Row],[Tsub]]</f>
        <v>78.511380998924778</v>
      </c>
      <c r="BO6">
        <f>テーブル2[[#This Row],[Fcorr]]</f>
        <v>1.0353385511684958</v>
      </c>
      <c r="BP6">
        <f>(テーブル2[[#This Row],[Tsub]]-40)^2</f>
        <v>1483.1264664443445</v>
      </c>
      <c r="BQ6" s="10">
        <v>1.0122802440309793</v>
      </c>
      <c r="BR6" s="33">
        <v>2.4380000000000002</v>
      </c>
    </row>
    <row r="7" spans="1:70" x14ac:dyDescent="0.15">
      <c r="A7" s="9" t="s">
        <v>91</v>
      </c>
      <c r="B7">
        <v>14582411.055</v>
      </c>
      <c r="C7" s="21" cm="1">
        <f t="array" ref="C7">TsatFromP(テーブル2[[#This Row],[P]])</f>
        <v>613.05026988781367</v>
      </c>
      <c r="D7">
        <f t="array" ref="D7">RhoGFromP(テーブル2[[#This Row],[P]])</f>
        <v>92.580958140603215</v>
      </c>
      <c r="E7">
        <f t="array" ref="E7">RhoFFromP(テーブル2[[#This Row],[P]])</f>
        <v>610.99184656446221</v>
      </c>
      <c r="F7">
        <f t="array" ref="F7">HgFromP(テーブル2[[#This Row],[P]])</f>
        <v>2622345.5985878608</v>
      </c>
      <c r="G7">
        <f t="array" ref="G7">HfFromP(テーブル2[[#This Row],[P]])</f>
        <v>1593812.5192969192</v>
      </c>
      <c r="H7">
        <f t="array" ref="H7">MuGFromP(テーブル2[[#This Row],[P]])</f>
        <v>2.2466336042427335E-5</v>
      </c>
      <c r="I7">
        <f t="array" ref="I7">MuFFromP(テーブル2[[#This Row],[P]])</f>
        <v>7.0373614625891007E-5</v>
      </c>
      <c r="J7">
        <f t="array" ref="J7">KfFromP(テーブル2[[#This Row],[P]])</f>
        <v>0.48213977909987105</v>
      </c>
      <c r="K7">
        <f t="array" ref="K7">CpFFromP(テーブル2[[#This Row],[P]])</f>
        <v>8194.8014383951322</v>
      </c>
      <c r="L7">
        <f t="array" ref="L7">SigmaFromP(テーブル2[[#This Row],[P]])</f>
        <v>5.6080351609815058E-3</v>
      </c>
      <c r="M7" s="22">
        <v>243</v>
      </c>
      <c r="N7">
        <v>2759.4600000000005</v>
      </c>
      <c r="O7" s="8">
        <v>1.0848891429240124E-4</v>
      </c>
      <c r="P7" s="8">
        <v>3.3674103335298272E-2</v>
      </c>
      <c r="Q7">
        <v>1.2886925387400553E-2</v>
      </c>
      <c r="R7">
        <v>1.778</v>
      </c>
      <c r="S7" s="15">
        <v>3320478.8054687497</v>
      </c>
      <c r="T7">
        <v>542.87222222222226</v>
      </c>
      <c r="U7" s="12">
        <f>+T7+BG7*S7*テーブル2[[#This Row],[Pw]]*R7/(N7*O7*K7)</f>
        <v>595.89666078490268</v>
      </c>
      <c r="V7">
        <v>0.03</v>
      </c>
      <c r="W7" s="8">
        <f t="shared" si="0"/>
        <v>1320414.5002868068</v>
      </c>
      <c r="X7">
        <v>1.7425744469040605E-2</v>
      </c>
      <c r="Y7">
        <f t="shared" si="1"/>
        <v>7.5753783665553183</v>
      </c>
      <c r="Z7">
        <f t="shared" si="2"/>
        <v>7.5753783759301827</v>
      </c>
      <c r="AA7">
        <f t="shared" si="3"/>
        <v>-9.3748644403035541E-9</v>
      </c>
      <c r="AB7">
        <f t="shared" si="4"/>
        <v>2.4790074292142728E-5</v>
      </c>
      <c r="AC7">
        <v>665.47836853143951</v>
      </c>
      <c r="AD7">
        <f t="shared" si="5"/>
        <v>30812.785908224163</v>
      </c>
      <c r="AE7">
        <f>+gettm2(AD7,AC7,AK7,AL7,テーブル2[[#This Row],[Fcorr]])</f>
        <v>595.89666078490256</v>
      </c>
      <c r="AF7" s="14">
        <f t="shared" si="6"/>
        <v>0</v>
      </c>
      <c r="AG7">
        <v>2.488605897673233E-5</v>
      </c>
      <c r="AH7">
        <f t="shared" si="7"/>
        <v>27.146518860214883</v>
      </c>
      <c r="AI7">
        <f t="shared" si="8"/>
        <v>0.21078483657800223</v>
      </c>
      <c r="AJ7">
        <f t="shared" si="9"/>
        <v>45.542938424477654</v>
      </c>
      <c r="AK7">
        <f t="array" ref="AK7">+S7*テーブル2[[#This Row],[F_form]]/(E7*CpFromTP((テーブル2[[#This Row],[Tin]]+テーブル2[[#This Row],[Tf]])/2,テーブル2[[#This Row],[P]])*AI7)</f>
        <v>3.1319179802402095</v>
      </c>
      <c r="AL7">
        <f t="shared" si="10"/>
        <v>1.1961215883036658</v>
      </c>
      <c r="AM7">
        <f t="shared" si="11"/>
        <v>613.05026982437153</v>
      </c>
      <c r="AN7">
        <f t="shared" si="12"/>
        <v>6.3442143982683774E-8</v>
      </c>
      <c r="AO7">
        <f t="shared" si="13"/>
        <v>9.5984684589602205E-8</v>
      </c>
      <c r="AP7">
        <v>2.8906908272299798</v>
      </c>
      <c r="AQ7">
        <f t="shared" si="14"/>
        <v>5.2449248015827397E-5</v>
      </c>
      <c r="AR7">
        <f t="shared" si="15"/>
        <v>1.2491021830660966E-5</v>
      </c>
      <c r="AS7">
        <f t="shared" si="16"/>
        <v>22.859297995897265</v>
      </c>
      <c r="AT7">
        <f t="shared" si="17"/>
        <v>12.596789745271245</v>
      </c>
      <c r="AU7">
        <f t="shared" si="18"/>
        <v>2.6552122678644539</v>
      </c>
      <c r="AV7">
        <f t="shared" si="19"/>
        <v>0.23547855936552597</v>
      </c>
      <c r="AW7">
        <f t="shared" si="20"/>
        <v>1.5730093368528267E-2</v>
      </c>
      <c r="AX7">
        <f t="shared" si="21"/>
        <v>0.23547855836944329</v>
      </c>
      <c r="AY7">
        <f t="shared" si="22"/>
        <v>9.9608268855355675E-10</v>
      </c>
      <c r="AZ7">
        <f t="shared" si="23"/>
        <v>1028533.0792909416</v>
      </c>
      <c r="BA7">
        <f t="shared" si="24"/>
        <v>1.8144191527423628E-5</v>
      </c>
      <c r="BB7" s="15">
        <f t="shared" si="25"/>
        <v>3324436.1730009066</v>
      </c>
      <c r="BC7" s="20">
        <f t="shared" si="26"/>
        <v>3957.3675321568735</v>
      </c>
      <c r="BD7" s="19">
        <f t="shared" si="27"/>
        <v>0.11918062918032132</v>
      </c>
      <c r="BE7" s="15">
        <v>3144395.9396539307</v>
      </c>
      <c r="BF7" s="16">
        <f>テーブル2[[#This Row],[q_P]]/テーブル2[[#This Row],[q_M]]</f>
        <v>1.0572574945402045</v>
      </c>
      <c r="BG7">
        <v>0.6543279479376316</v>
      </c>
      <c r="BH7">
        <v>-6.2186969406098552E-2</v>
      </c>
      <c r="BI7">
        <v>4.5999999999999999E-2</v>
      </c>
      <c r="BJ7">
        <v>5625</v>
      </c>
      <c r="BK7" s="21">
        <f>1+テーブル2[[#This Row],[A_corr]]*EXP(-テーブル2[[#This Row],[(Tsub-40)^2]]/テーブル2[[#This Row],[σ_corr]])</f>
        <v>1.0391240194146243</v>
      </c>
      <c r="BL7">
        <f>テーブル2[[#This Row],[Ts]]-テーブル2[[#This Row],[Tin]]</f>
        <v>70.178047665591407</v>
      </c>
      <c r="BM7">
        <f>テーブル2[[#This Row],[q_P]]*0.000001</f>
        <v>3.3244361730009064</v>
      </c>
      <c r="BN7">
        <f>テーブル2[[#This Row],[Tsub]]</f>
        <v>70.178047665591407</v>
      </c>
      <c r="BO7">
        <f>テーブル2[[#This Row],[Fcorr]]</f>
        <v>1.0391240194146243</v>
      </c>
      <c r="BP7">
        <f>(テーブル2[[#This Row],[Tsub]]-40)^2</f>
        <v>910.71456090670699</v>
      </c>
      <c r="BQ7" s="10">
        <v>1.010907982927949</v>
      </c>
      <c r="BR7" s="33">
        <v>2.4380000000000002</v>
      </c>
    </row>
    <row r="8" spans="1:70" x14ac:dyDescent="0.15">
      <c r="A8" s="9" t="s">
        <v>92</v>
      </c>
      <c r="B8">
        <v>14582411.055</v>
      </c>
      <c r="C8" s="21" cm="1">
        <f t="array" ref="C8">TsatFromP(テーブル2[[#This Row],[P]])</f>
        <v>613.05026988781367</v>
      </c>
      <c r="D8">
        <f t="array" ref="D8">RhoGFromP(テーブル2[[#This Row],[P]])</f>
        <v>92.580958140603215</v>
      </c>
      <c r="E8">
        <f t="array" ref="E8">RhoFFromP(テーブル2[[#This Row],[P]])</f>
        <v>610.99184656446221</v>
      </c>
      <c r="F8">
        <f t="array" ref="F8">HgFromP(テーブル2[[#This Row],[P]])</f>
        <v>2622345.5985878608</v>
      </c>
      <c r="G8">
        <f t="array" ref="G8">HfFromP(テーブル2[[#This Row],[P]])</f>
        <v>1593812.5192969192</v>
      </c>
      <c r="H8">
        <f t="array" ref="H8">MuGFromP(テーブル2[[#This Row],[P]])</f>
        <v>2.2466336042427335E-5</v>
      </c>
      <c r="I8">
        <f t="array" ref="I8">MuFFromP(テーブル2[[#This Row],[P]])</f>
        <v>7.0373614625891007E-5</v>
      </c>
      <c r="J8">
        <f t="array" ref="J8">KfFromP(テーブル2[[#This Row],[P]])</f>
        <v>0.48213977909987105</v>
      </c>
      <c r="K8">
        <f t="array" ref="K8">CpFFromP(テーブル2[[#This Row],[P]])</f>
        <v>8194.8014383951322</v>
      </c>
      <c r="L8">
        <f t="array" ref="L8">SigmaFromP(テーブル2[[#This Row],[P]])</f>
        <v>5.6080351609815058E-3</v>
      </c>
      <c r="M8">
        <v>244</v>
      </c>
      <c r="N8">
        <v>2747.2559999999999</v>
      </c>
      <c r="O8" s="8">
        <v>1.0848891429240124E-4</v>
      </c>
      <c r="P8" s="8">
        <v>3.3674103335298272E-2</v>
      </c>
      <c r="Q8">
        <v>1.2886925387400553E-2</v>
      </c>
      <c r="R8">
        <v>1.778</v>
      </c>
      <c r="S8" s="15">
        <v>3014251.89453125</v>
      </c>
      <c r="T8">
        <v>556.20555555555552</v>
      </c>
      <c r="U8" s="12">
        <f>+T8+BG8*S8*テーブル2[[#This Row],[Pw]]*R8/(N8*O8*K8)</f>
        <v>604.55370784224885</v>
      </c>
      <c r="V8">
        <v>0.03</v>
      </c>
      <c r="W8" s="8">
        <f t="shared" si="0"/>
        <v>1314574.8292781671</v>
      </c>
      <c r="X8">
        <v>1.74535471697236E-2</v>
      </c>
      <c r="Y8">
        <f t="shared" si="1"/>
        <v>7.5693423465558336</v>
      </c>
      <c r="Z8">
        <f t="shared" si="2"/>
        <v>7.5693423565747304</v>
      </c>
      <c r="AA8">
        <f t="shared" si="3"/>
        <v>-1.001889682328283E-8</v>
      </c>
      <c r="AB8">
        <f t="shared" si="4"/>
        <v>2.4970969865607584E-5</v>
      </c>
      <c r="AC8">
        <v>658.39879213033043</v>
      </c>
      <c r="AD8">
        <f t="shared" si="5"/>
        <v>30700.975514163954</v>
      </c>
      <c r="AE8">
        <f>+gettm2(AD8,AC8,AK8,AL8,テーブル2[[#This Row],[Fcorr]])</f>
        <v>604.55370845177868</v>
      </c>
      <c r="AF8" s="14">
        <f t="shared" si="6"/>
        <v>6.0952982039452763E-7</v>
      </c>
      <c r="AG8">
        <v>2.5057795986845143E-5</v>
      </c>
      <c r="AH8">
        <f t="shared" si="7"/>
        <v>26.94986309861563</v>
      </c>
      <c r="AI8">
        <f t="shared" si="8"/>
        <v>0.21001996138268883</v>
      </c>
      <c r="AJ8">
        <f t="shared" si="9"/>
        <v>45.690824986252565</v>
      </c>
      <c r="AK8">
        <f t="array" ref="AK8">+S8*テーブル2[[#This Row],[F_form]]/(E8*CpFromTP((テーブル2[[#This Row],[Tin]]+テーブル2[[#This Row],[Tf]])/2,テーブル2[[#This Row],[P]])*AI8)</f>
        <v>2.7076915760489526</v>
      </c>
      <c r="AL8">
        <f t="shared" si="10"/>
        <v>1.1961215883036658</v>
      </c>
      <c r="AM8">
        <f t="shared" si="11"/>
        <v>613.05026985751601</v>
      </c>
      <c r="AN8">
        <f t="shared" si="12"/>
        <v>3.0297655939648394E-8</v>
      </c>
      <c r="AO8">
        <f t="shared" si="13"/>
        <v>8.6826121237558809E-8</v>
      </c>
      <c r="AP8">
        <v>2.8837595855477822</v>
      </c>
      <c r="AQ8">
        <f t="shared" si="14"/>
        <v>5.2701679117277092E-5</v>
      </c>
      <c r="AR8">
        <f t="shared" si="15"/>
        <v>1.2572311054041351E-5</v>
      </c>
      <c r="AS8">
        <f t="shared" si="16"/>
        <v>22.924572629791594</v>
      </c>
      <c r="AT8">
        <f t="shared" si="17"/>
        <v>12.611046879329439</v>
      </c>
      <c r="AU8">
        <f t="shared" si="18"/>
        <v>2.6485715785920472</v>
      </c>
      <c r="AV8">
        <f t="shared" si="19"/>
        <v>0.23518800695573505</v>
      </c>
      <c r="AW8">
        <f t="shared" si="20"/>
        <v>1.5844877383574863E-2</v>
      </c>
      <c r="AX8">
        <f t="shared" si="21"/>
        <v>0.23518800621693123</v>
      </c>
      <c r="AY8">
        <f t="shared" si="22"/>
        <v>7.3880382367441655E-10</v>
      </c>
      <c r="AZ8">
        <f t="shared" si="23"/>
        <v>1028533.0792909416</v>
      </c>
      <c r="BA8">
        <f t="shared" si="24"/>
        <v>1.8275337299751423E-5</v>
      </c>
      <c r="BB8" s="15">
        <f t="shared" si="25"/>
        <v>2985648.5051003126</v>
      </c>
      <c r="BC8" s="20">
        <f t="shared" si="26"/>
        <v>-28603.389430937357</v>
      </c>
      <c r="BD8" s="19">
        <f t="shared" si="27"/>
        <v>-0.94893825837291235</v>
      </c>
      <c r="BE8" s="15">
        <v>2898561.3480082601</v>
      </c>
      <c r="BF8" s="16">
        <f>テーブル2[[#This Row],[q_P]]/テーブル2[[#This Row],[q_M]]</f>
        <v>1.0300449590800949</v>
      </c>
      <c r="BG8">
        <v>0.6543279479376316</v>
      </c>
      <c r="BH8">
        <v>-1.0917306192882562E-2</v>
      </c>
      <c r="BI8">
        <v>4.5999999999999999E-2</v>
      </c>
      <c r="BJ8">
        <v>5625</v>
      </c>
      <c r="BK8" s="21">
        <f>1+テーブル2[[#This Row],[A_corr]]*EXP(-テーブル2[[#This Row],[(Tsub-40)^2]]/テーブル2[[#This Row],[σ_corr]])</f>
        <v>1.0437371540263765</v>
      </c>
      <c r="BL8">
        <f>テーブル2[[#This Row],[Ts]]-テーブル2[[#This Row],[Tin]]</f>
        <v>56.84471433225815</v>
      </c>
      <c r="BM8">
        <f>テーブル2[[#This Row],[q_P]]*0.000001</f>
        <v>2.9856485051003125</v>
      </c>
      <c r="BN8">
        <f>テーブル2[[#This Row],[Tsub]]</f>
        <v>56.84471433225815</v>
      </c>
      <c r="BO8">
        <f>テーブル2[[#This Row],[Fcorr]]</f>
        <v>1.0437371540263765</v>
      </c>
      <c r="BP8">
        <f>(テーブル2[[#This Row],[Tsub]]-40)^2</f>
        <v>283.74440093538311</v>
      </c>
      <c r="BQ8" s="10">
        <v>1.0093125793401099</v>
      </c>
      <c r="BR8" s="33">
        <v>2.4380000000000002</v>
      </c>
    </row>
    <row r="9" spans="1:70" x14ac:dyDescent="0.15">
      <c r="A9" s="9" t="s">
        <v>93</v>
      </c>
      <c r="B9">
        <v>14582411.055</v>
      </c>
      <c r="C9" s="21" cm="1">
        <f t="array" ref="C9">TsatFromP(テーブル2[[#This Row],[P]])</f>
        <v>613.05026988781367</v>
      </c>
      <c r="D9">
        <f t="array" ref="D9">RhoGFromP(テーブル2[[#This Row],[P]])</f>
        <v>92.580958140603215</v>
      </c>
      <c r="E9">
        <f t="array" ref="E9">RhoFFromP(テーブル2[[#This Row],[P]])</f>
        <v>610.99184656446221</v>
      </c>
      <c r="F9">
        <f t="array" ref="F9">HgFromP(テーブル2[[#This Row],[P]])</f>
        <v>2622345.5985878608</v>
      </c>
      <c r="G9">
        <f t="array" ref="G9">HfFromP(テーブル2[[#This Row],[P]])</f>
        <v>1593812.5192969192</v>
      </c>
      <c r="H9">
        <f t="array" ref="H9">MuGFromP(テーブル2[[#This Row],[P]])</f>
        <v>2.2466336042427335E-5</v>
      </c>
      <c r="I9">
        <f t="array" ref="I9">MuFFromP(テーブル2[[#This Row],[P]])</f>
        <v>7.0373614625891007E-5</v>
      </c>
      <c r="J9">
        <f t="array" ref="J9">KfFromP(テーブル2[[#This Row],[P]])</f>
        <v>0.48213977909987105</v>
      </c>
      <c r="K9">
        <f t="array" ref="K9">CpFFromP(テーブル2[[#This Row],[P]])</f>
        <v>8194.8014383951322</v>
      </c>
      <c r="L9">
        <f t="array" ref="L9">SigmaFromP(テーブル2[[#This Row],[P]])</f>
        <v>5.6080351609815058E-3</v>
      </c>
      <c r="M9" s="22">
        <v>245</v>
      </c>
      <c r="N9">
        <v>3425.2559999999999</v>
      </c>
      <c r="O9" s="8">
        <v>1.0848891429240124E-4</v>
      </c>
      <c r="P9" s="8">
        <v>3.3674103335298272E-2</v>
      </c>
      <c r="Q9">
        <v>1.2886925387400553E-2</v>
      </c>
      <c r="R9">
        <v>1.778</v>
      </c>
      <c r="S9" s="15">
        <v>3520046.97265625</v>
      </c>
      <c r="T9">
        <v>558.15</v>
      </c>
      <c r="U9" s="12">
        <f>+T9+BG9*S9*テーブル2[[#This Row],[Pw]]*R9/(N9*O9*K9)</f>
        <v>603.43505426742433</v>
      </c>
      <c r="V9">
        <v>0.03</v>
      </c>
      <c r="W9" s="8">
        <f t="shared" si="0"/>
        <v>1639000.9964248026</v>
      </c>
      <c r="X9">
        <v>1.6146425868859934E-2</v>
      </c>
      <c r="Y9">
        <f t="shared" si="1"/>
        <v>7.869765624568112</v>
      </c>
      <c r="Z9">
        <f t="shared" si="2"/>
        <v>7.8697656326742891</v>
      </c>
      <c r="AA9">
        <f t="shared" si="3"/>
        <v>-8.1061770629275998E-9</v>
      </c>
      <c r="AB9">
        <f t="shared" si="4"/>
        <v>1.7364204871684689E-5</v>
      </c>
      <c r="AC9">
        <v>655.92228718585079</v>
      </c>
      <c r="AD9">
        <f t="shared" si="5"/>
        <v>36816.494106426726</v>
      </c>
      <c r="AE9">
        <f>+gettm2(AD9,AC9,AK9,AL9,テーブル2[[#This Row],[Fcorr]])</f>
        <v>603.43505426742422</v>
      </c>
      <c r="AF9" s="14">
        <f t="shared" si="6"/>
        <v>0</v>
      </c>
      <c r="AG9">
        <v>1.7438489673330494E-5</v>
      </c>
      <c r="AH9">
        <f t="shared" si="7"/>
        <v>38.755832719709737</v>
      </c>
      <c r="AI9">
        <f t="shared" si="8"/>
        <v>0.25185514600050629</v>
      </c>
      <c r="AJ9">
        <f t="shared" si="9"/>
        <v>38.131619772643823</v>
      </c>
      <c r="AK9">
        <f t="array" ref="AK9">+S9*テーブル2[[#This Row],[F_form]]/(E9*CpFromTP((テーブル2[[#This Row],[Tin]]+テーブル2[[#This Row],[Tf]])/2,テーブル2[[#This Row],[P]])*AI9)</f>
        <v>2.6308461852177754</v>
      </c>
      <c r="AL9">
        <f t="shared" si="10"/>
        <v>1.1961215883036658</v>
      </c>
      <c r="AM9">
        <f t="shared" si="11"/>
        <v>613.05026985618247</v>
      </c>
      <c r="AN9">
        <f t="shared" si="12"/>
        <v>3.163120254612295E-8</v>
      </c>
      <c r="AO9">
        <f t="shared" si="13"/>
        <v>7.4284801645804706E-8</v>
      </c>
      <c r="AP9">
        <v>3.2033109951357375</v>
      </c>
      <c r="AQ9">
        <f t="shared" si="14"/>
        <v>4.2711452986243606E-5</v>
      </c>
      <c r="AR9">
        <f t="shared" si="15"/>
        <v>8.7563872374881492E-6</v>
      </c>
      <c r="AS9">
        <f t="shared" si="16"/>
        <v>19.147026776783935</v>
      </c>
      <c r="AT9">
        <f t="shared" si="17"/>
        <v>11.710737219373268</v>
      </c>
      <c r="AU9">
        <f t="shared" si="18"/>
        <v>2.9494094321588173</v>
      </c>
      <c r="AV9">
        <f t="shared" si="19"/>
        <v>0.25390156297692013</v>
      </c>
      <c r="AW9">
        <f t="shared" si="20"/>
        <v>1.1018142208167004E-2</v>
      </c>
      <c r="AX9">
        <f t="shared" si="21"/>
        <v>0.25390156149924514</v>
      </c>
      <c r="AY9">
        <f t="shared" si="22"/>
        <v>1.4776749823752766E-9</v>
      </c>
      <c r="AZ9">
        <f t="shared" si="23"/>
        <v>1028533.0792909416</v>
      </c>
      <c r="BA9">
        <f t="shared" si="24"/>
        <v>1.3333533038503415E-5</v>
      </c>
      <c r="BB9" s="15">
        <f t="shared" si="25"/>
        <v>3501131.358763021</v>
      </c>
      <c r="BC9" s="20">
        <f t="shared" si="26"/>
        <v>-18915.613893229049</v>
      </c>
      <c r="BD9" s="19">
        <f t="shared" si="27"/>
        <v>-0.53736822378126403</v>
      </c>
      <c r="BE9" s="15">
        <v>3338776.7795598097</v>
      </c>
      <c r="BF9" s="16">
        <f>テーブル2[[#This Row],[q_P]]/テーブル2[[#This Row],[q_M]]</f>
        <v>1.0486269642813966</v>
      </c>
      <c r="BG9">
        <v>0.6543279479376316</v>
      </c>
      <c r="BH9">
        <v>-2.6417471996425666E-2</v>
      </c>
      <c r="BI9">
        <v>4.5999999999999999E-2</v>
      </c>
      <c r="BJ9">
        <v>5625</v>
      </c>
      <c r="BK9" s="21">
        <f>1+テーブル2[[#This Row],[A_corr]]*EXP(-テーブル2[[#This Row],[(Tsub-40)^2]]/テーブル2[[#This Row],[σ_corr]])</f>
        <v>1.0442197500160584</v>
      </c>
      <c r="BL9">
        <f>テーブル2[[#This Row],[Ts]]-テーブル2[[#This Row],[Tin]]</f>
        <v>54.900269887813693</v>
      </c>
      <c r="BM9">
        <f>テーブル2[[#This Row],[q_P]]*0.000001</f>
        <v>3.5011313587630206</v>
      </c>
      <c r="BN9">
        <f>テーブル2[[#This Row],[Tsub]]</f>
        <v>54.900269887813693</v>
      </c>
      <c r="BO9">
        <f>テーブル2[[#This Row],[Fcorr]]</f>
        <v>1.0442197500160584</v>
      </c>
      <c r="BP9">
        <f>(テーブル2[[#This Row],[Tsub]]-40)^2</f>
        <v>222.01804272968747</v>
      </c>
      <c r="BQ9" s="10">
        <v>1.0133757595321473</v>
      </c>
      <c r="BR9" s="33">
        <v>2.4380000000000002</v>
      </c>
    </row>
    <row r="10" spans="1:70" x14ac:dyDescent="0.15">
      <c r="A10" s="9" t="s">
        <v>94</v>
      </c>
      <c r="B10">
        <v>14410042.129999999</v>
      </c>
      <c r="C10" s="21" cm="1">
        <f t="array" ref="C10">TsatFromP(テーブル2[[#This Row],[P]])</f>
        <v>612.10417526659455</v>
      </c>
      <c r="D10">
        <f t="array" ref="D10">RhoGFromP(テーブル2[[#This Row],[P]])</f>
        <v>90.918182000549308</v>
      </c>
      <c r="E10">
        <f t="array" ref="E10">RhoFFromP(テーブル2[[#This Row],[P]])</f>
        <v>614.04047527067326</v>
      </c>
      <c r="F10">
        <f t="array" ref="F10">HgFromP(テーブル2[[#This Row],[P]])</f>
        <v>2627022.5861350344</v>
      </c>
      <c r="G10">
        <f t="array" ref="G10">HfFromP(テーブル2[[#This Row],[P]])</f>
        <v>1587051.743777507</v>
      </c>
      <c r="H10">
        <f t="array" ref="H10">MuGFromP(テーブル2[[#This Row],[P]])</f>
        <v>2.2366390223892932E-5</v>
      </c>
      <c r="I10">
        <f t="array" ref="I10">MuFFromP(テーブル2[[#This Row],[P]])</f>
        <v>7.0774633188978175E-5</v>
      </c>
      <c r="J10">
        <f t="array" ref="J10">KfFromP(テーブル2[[#This Row],[P]])</f>
        <v>0.4840864465582857</v>
      </c>
      <c r="K10">
        <f t="array" ref="K10">CpFFromP(テーブル2[[#This Row],[P]])</f>
        <v>8073.7157051809381</v>
      </c>
      <c r="L10">
        <f t="array" ref="L10">SigmaFromP(テーブル2[[#This Row],[P]])</f>
        <v>5.7975807482611623E-3</v>
      </c>
      <c r="M10">
        <v>246</v>
      </c>
      <c r="N10">
        <v>4145.2920000000004</v>
      </c>
      <c r="O10" s="8">
        <v>1.0848891429240124E-4</v>
      </c>
      <c r="P10" s="8">
        <v>3.3674103335298272E-2</v>
      </c>
      <c r="Q10">
        <v>1.2886925387400553E-2</v>
      </c>
      <c r="R10">
        <v>1.778</v>
      </c>
      <c r="S10" s="15">
        <v>3551175.20703125</v>
      </c>
      <c r="T10">
        <v>570.65</v>
      </c>
      <c r="U10" s="12">
        <f>+T10+BG10*S10*テーブル2[[#This Row],[Pw]]*R10/(N10*O10*K10)</f>
        <v>608.9661110486594</v>
      </c>
      <c r="V10">
        <v>0.03</v>
      </c>
      <c r="W10" s="8">
        <f t="shared" si="0"/>
        <v>1972302.5733000003</v>
      </c>
      <c r="X10">
        <v>1.5224273344868313E-2</v>
      </c>
      <c r="Y10">
        <f t="shared" si="1"/>
        <v>8.104602394294032</v>
      </c>
      <c r="Z10">
        <f t="shared" si="2"/>
        <v>8.1046023970739274</v>
      </c>
      <c r="AA10">
        <f t="shared" si="3"/>
        <v>-2.7798954249647068E-9</v>
      </c>
      <c r="AB10">
        <f t="shared" si="4"/>
        <v>1.3063760474261146E-5</v>
      </c>
      <c r="AC10">
        <v>645.89781886294543</v>
      </c>
      <c r="AD10">
        <f t="shared" si="5"/>
        <v>43019.646624305176</v>
      </c>
      <c r="AE10">
        <f>+gettm2(AD10,AC10,AK10,AL10,テーブル2[[#This Row],[Fcorr]])</f>
        <v>608.9661110486594</v>
      </c>
      <c r="AF10" s="14">
        <f t="shared" si="6"/>
        <v>0</v>
      </c>
      <c r="AG10">
        <v>1.3121477794443165E-5</v>
      </c>
      <c r="AH10">
        <f t="shared" si="7"/>
        <v>53.25493307704626</v>
      </c>
      <c r="AI10">
        <f t="shared" si="8"/>
        <v>0.29449737092387218</v>
      </c>
      <c r="AJ10">
        <f t="shared" si="9"/>
        <v>33.526139198718028</v>
      </c>
      <c r="AK10">
        <f t="array" ref="AK10">+S10*テーブル2[[#This Row],[F_form]]/(E10*CpFromTP((テーブル2[[#This Row],[Tin]]+テーブル2[[#This Row],[Tf]])/2,テーブル2[[#This Row],[P]])*AI10)</f>
        <v>2.1335917656786441</v>
      </c>
      <c r="AL10">
        <f t="shared" si="10"/>
        <v>1.1803971616409898</v>
      </c>
      <c r="AM10">
        <f t="shared" si="11"/>
        <v>612.10417525663343</v>
      </c>
      <c r="AN10">
        <f t="shared" si="12"/>
        <v>9.9611270343302749E-9</v>
      </c>
      <c r="AO10">
        <f t="shared" si="13"/>
        <v>5.7717320182019369E-8</v>
      </c>
      <c r="AP10">
        <v>3.5335183977468478</v>
      </c>
      <c r="AQ10">
        <f t="shared" si="14"/>
        <v>3.6840699439746362E-5</v>
      </c>
      <c r="AR10">
        <f t="shared" si="15"/>
        <v>6.5895975573125923E-6</v>
      </c>
      <c r="AS10">
        <f t="shared" si="16"/>
        <v>16.836805154946312</v>
      </c>
      <c r="AT10">
        <f t="shared" si="17"/>
        <v>11.067836365878724</v>
      </c>
      <c r="AU10">
        <f t="shared" si="18"/>
        <v>3.2594487115669084</v>
      </c>
      <c r="AV10">
        <f t="shared" si="19"/>
        <v>0.27406968617993943</v>
      </c>
      <c r="AW10">
        <f t="shared" si="20"/>
        <v>8.1897038757112045E-3</v>
      </c>
      <c r="AX10">
        <f t="shared" si="21"/>
        <v>0.27406967467134413</v>
      </c>
      <c r="AY10">
        <f t="shared" si="22"/>
        <v>1.1508595298970192E-8</v>
      </c>
      <c r="AZ10">
        <f t="shared" si="23"/>
        <v>1039970.8423575275</v>
      </c>
      <c r="BA10">
        <f t="shared" si="24"/>
        <v>1.0426066965786249E-5</v>
      </c>
      <c r="BB10" s="15">
        <f t="shared" si="25"/>
        <v>3535117.1535902843</v>
      </c>
      <c r="BC10" s="20">
        <f t="shared" si="26"/>
        <v>-16058.053440965712</v>
      </c>
      <c r="BD10" s="19">
        <f t="shared" si="27"/>
        <v>-0.45218983870948171</v>
      </c>
      <c r="BE10" s="15">
        <v>3475986.7841992537</v>
      </c>
      <c r="BF10" s="16">
        <f>テーブル2[[#This Row],[q_P]]/テーブル2[[#This Row],[q_M]]</f>
        <v>1.0170111030513174</v>
      </c>
      <c r="BG10">
        <v>0.6543279479376316</v>
      </c>
      <c r="BH10">
        <v>1.1901062589217967E-2</v>
      </c>
      <c r="BI10">
        <v>4.5999999999999999E-2</v>
      </c>
      <c r="BJ10">
        <v>5625</v>
      </c>
      <c r="BK10" s="21">
        <f>1+テーブル2[[#This Row],[A_corr]]*EXP(-テーブル2[[#This Row],[(Tsub-40)^2]]/テーブル2[[#This Row],[σ_corr]])</f>
        <v>1.0459827103109833</v>
      </c>
      <c r="BL10">
        <f>テーブル2[[#This Row],[Ts]]-テーブル2[[#This Row],[Tin]]</f>
        <v>41.454175266594575</v>
      </c>
      <c r="BM10">
        <f>テーブル2[[#This Row],[q_P]]*0.000001</f>
        <v>3.5351171535902841</v>
      </c>
      <c r="BN10">
        <f>テーブル2[[#This Row],[Tsub]]</f>
        <v>41.454175266594575</v>
      </c>
      <c r="BO10">
        <f>テーブル2[[#This Row],[Fcorr]]</f>
        <v>1.0459827103109833</v>
      </c>
      <c r="BP10">
        <f>(テーブル2[[#This Row],[Tsub]]-40)^2</f>
        <v>2.1146257059754037</v>
      </c>
      <c r="BQ10" s="10">
        <v>1.0118388059150161</v>
      </c>
      <c r="BR10" s="33">
        <v>2.4380000000000002</v>
      </c>
    </row>
    <row r="11" spans="1:70" x14ac:dyDescent="0.15">
      <c r="A11" s="9" t="s">
        <v>95</v>
      </c>
      <c r="B11">
        <v>14651358.625</v>
      </c>
      <c r="C11" s="21" cm="1">
        <f t="array" ref="C11">TsatFromP(テーブル2[[#This Row],[P]])</f>
        <v>613.42618183469449</v>
      </c>
      <c r="D11">
        <f t="array" ref="D11">RhoGFromP(テーブル2[[#This Row],[P]])</f>
        <v>93.253820227631977</v>
      </c>
      <c r="E11">
        <f t="array" ref="E11">RhoFFromP(テーブル2[[#This Row],[P]])</f>
        <v>609.76672565409854</v>
      </c>
      <c r="F11">
        <f t="array" ref="F11">HgFromP(テーブル2[[#This Row],[P]])</f>
        <v>2620453.7584548215</v>
      </c>
      <c r="G11">
        <f t="array" ref="G11">HfFromP(テーブル2[[#This Row],[P]])</f>
        <v>1596516.9820091785</v>
      </c>
      <c r="H11">
        <f t="array" ref="H11">MuGFromP(テーブル2[[#This Row],[P]])</f>
        <v>2.2506791326882159E-5</v>
      </c>
      <c r="I11">
        <f t="array" ref="I11">MuFFromP(テーブル2[[#This Row],[P]])</f>
        <v>7.0213280572698186E-5</v>
      </c>
      <c r="J11">
        <f t="array" ref="J11">KfFromP(テーブル2[[#This Row],[P]])</f>
        <v>0.48136205369642565</v>
      </c>
      <c r="K11">
        <f t="array" ref="K11">CpFFromP(テーブル2[[#This Row],[P]])</f>
        <v>8244.8394584875186</v>
      </c>
      <c r="L11">
        <f t="array" ref="L11">SigmaFromP(テーブル2[[#This Row],[P]])</f>
        <v>5.5330018798425981E-3</v>
      </c>
      <c r="M11" s="22">
        <v>247</v>
      </c>
      <c r="N11">
        <v>4160.2079999999996</v>
      </c>
      <c r="O11" s="8">
        <v>1.0848891429240124E-4</v>
      </c>
      <c r="P11" s="8">
        <v>3.3674103335298272E-2</v>
      </c>
      <c r="Q11">
        <v>1.2886925387400553E-2</v>
      </c>
      <c r="R11">
        <v>1.778</v>
      </c>
      <c r="S11" s="15">
        <v>3333306.69921875</v>
      </c>
      <c r="T11">
        <v>578.15</v>
      </c>
      <c r="U11" s="12">
        <f>+T11+BG11*S11*テーブル2[[#This Row],[Pw]]*R11/(N11*O11*K11)</f>
        <v>613.24263110809682</v>
      </c>
      <c r="V11">
        <v>0.03</v>
      </c>
      <c r="W11" s="8">
        <f t="shared" si="0"/>
        <v>1995224.734490013</v>
      </c>
      <c r="X11">
        <v>1.5075909561577233E-2</v>
      </c>
      <c r="Y11">
        <f t="shared" si="1"/>
        <v>8.1443839286639292</v>
      </c>
      <c r="Z11">
        <f t="shared" si="2"/>
        <v>8.1443839473008612</v>
      </c>
      <c r="AA11">
        <f t="shared" si="3"/>
        <v>-1.8636931997662032E-8</v>
      </c>
      <c r="AB11">
        <f t="shared" si="4"/>
        <v>1.2413154456919507E-5</v>
      </c>
      <c r="AC11">
        <v>643.875910848084</v>
      </c>
      <c r="AD11">
        <f t="shared" si="5"/>
        <v>43307.049130616753</v>
      </c>
      <c r="AE11">
        <f>+gettm2(AD11,AC11,AK11,AL11,テーブル2[[#This Row],[Fcorr]])</f>
        <v>613.24263110809682</v>
      </c>
      <c r="AF11" s="14">
        <f t="shared" si="6"/>
        <v>0</v>
      </c>
      <c r="AG11">
        <v>1.2467922090625813E-5</v>
      </c>
      <c r="AH11">
        <f t="shared" si="7"/>
        <v>53.48843663272055</v>
      </c>
      <c r="AI11">
        <f t="shared" si="8"/>
        <v>0.29617479150034609</v>
      </c>
      <c r="AJ11">
        <f t="shared" si="9"/>
        <v>32.069089362771088</v>
      </c>
      <c r="AK11">
        <f t="array" ref="AK11">+S11*テーブル2[[#This Row],[F_form]]/(E11*CpFromTP((テーブル2[[#This Row],[Tin]]+テーブル2[[#This Row],[Tf]])/2,テーブル2[[#This Row],[P]])*AI11)</f>
        <v>1.9128197394835786</v>
      </c>
      <c r="AL11">
        <f t="shared" si="10"/>
        <v>1.2026233096901375</v>
      </c>
      <c r="AM11">
        <f t="shared" si="11"/>
        <v>613.42618181660885</v>
      </c>
      <c r="AN11">
        <f t="shared" si="12"/>
        <v>1.8085643205267843E-8</v>
      </c>
      <c r="AO11">
        <f t="shared" si="13"/>
        <v>5.4767633706306572E-8</v>
      </c>
      <c r="AP11">
        <v>3.4846833642206918</v>
      </c>
      <c r="AQ11">
        <f t="shared" si="14"/>
        <v>3.5395797819890592E-5</v>
      </c>
      <c r="AR11">
        <f t="shared" si="15"/>
        <v>6.2613448621660599E-6</v>
      </c>
      <c r="AS11">
        <f t="shared" si="16"/>
        <v>16.104979358741907</v>
      </c>
      <c r="AT11">
        <f t="shared" si="17"/>
        <v>10.845642505573272</v>
      </c>
      <c r="AU11">
        <f t="shared" si="18"/>
        <v>3.2122059077754548</v>
      </c>
      <c r="AV11">
        <f t="shared" si="19"/>
        <v>0.27247745644523702</v>
      </c>
      <c r="AW11">
        <f t="shared" si="20"/>
        <v>7.9152405481282447E-3</v>
      </c>
      <c r="AX11">
        <f t="shared" si="21"/>
        <v>0.27247744442481331</v>
      </c>
      <c r="AY11">
        <f t="shared" si="22"/>
        <v>1.2020423711955885E-8</v>
      </c>
      <c r="AZ11">
        <f t="shared" si="23"/>
        <v>1023936.776445643</v>
      </c>
      <c r="BA11">
        <f t="shared" si="24"/>
        <v>1.0157536315442663E-5</v>
      </c>
      <c r="BB11" s="15">
        <f t="shared" si="25"/>
        <v>3366452.2350945263</v>
      </c>
      <c r="BC11" s="20">
        <f t="shared" si="26"/>
        <v>33145.535875776317</v>
      </c>
      <c r="BD11" s="19">
        <f t="shared" si="27"/>
        <v>0.99437402155477828</v>
      </c>
      <c r="BE11" s="15">
        <v>3121527.6055473564</v>
      </c>
      <c r="BF11" s="16">
        <f>テーブル2[[#This Row],[q_P]]/テーブル2[[#This Row],[q_M]]</f>
        <v>1.0784630669650037</v>
      </c>
      <c r="BG11">
        <v>0.6543279479376316</v>
      </c>
      <c r="BH11">
        <v>1.6591548793667185E-2</v>
      </c>
      <c r="BI11">
        <v>4.5999999999999999E-2</v>
      </c>
      <c r="BJ11">
        <v>5625</v>
      </c>
      <c r="BK11" s="21">
        <f>1+テーブル2[[#This Row],[A_corr]]*EXP(-テーブル2[[#This Row],[(Tsub-40)^2]]/テーブル2[[#This Row],[σ_corr]])</f>
        <v>1.045817878798351</v>
      </c>
      <c r="BL11">
        <f>テーブル2[[#This Row],[Ts]]-テーブル2[[#This Row],[Tin]]</f>
        <v>35.276181834694512</v>
      </c>
      <c r="BM11">
        <f>テーブル2[[#This Row],[q_P]]*0.000001</f>
        <v>3.3664522350945263</v>
      </c>
      <c r="BN11">
        <f>テーブル2[[#This Row],[Tsub]]</f>
        <v>35.276181834694512</v>
      </c>
      <c r="BO11">
        <f>テーブル2[[#This Row],[Fcorr]]</f>
        <v>1.045817878798351</v>
      </c>
      <c r="BP11">
        <f>(テーブル2[[#This Row],[Tsub]]-40)^2</f>
        <v>22.314458058870105</v>
      </c>
      <c r="BQ11" s="10">
        <v>1.0092777566811608</v>
      </c>
      <c r="BR11" s="33">
        <v>2.4380000000000002</v>
      </c>
    </row>
    <row r="12" spans="1:70" x14ac:dyDescent="0.15">
      <c r="A12" s="9" t="s">
        <v>96</v>
      </c>
      <c r="B12">
        <v>14444515.914999999</v>
      </c>
      <c r="C12" s="21" cm="1">
        <f t="array" ref="C12">TsatFromP(テーブル2[[#This Row],[P]])</f>
        <v>612.29412141213845</v>
      </c>
      <c r="D12">
        <f t="array" ref="D12">RhoGFromP(テーブル2[[#This Row],[P]])</f>
        <v>91.248555698911844</v>
      </c>
      <c r="E12">
        <f t="array" ref="E12">RhoFFromP(テーブル2[[#This Row],[P]])</f>
        <v>613.43232402419449</v>
      </c>
      <c r="F12">
        <f t="array" ref="F12">HgFromP(テーブル2[[#This Row],[P]])</f>
        <v>2626093.1345668421</v>
      </c>
      <c r="G12">
        <f t="array" ref="G12">HfFromP(テーブル2[[#This Row],[P]])</f>
        <v>1588403.9289842495</v>
      </c>
      <c r="H12">
        <f t="array" ref="H12">MuGFromP(テーブル2[[#This Row],[P]])</f>
        <v>2.2386245793773059E-5</v>
      </c>
      <c r="I12">
        <f t="array" ref="I12">MuFFromP(テーブル2[[#This Row],[P]])</f>
        <v>7.0694401850615891E-5</v>
      </c>
      <c r="J12">
        <f t="array" ref="J12">KfFromP(テーブル2[[#This Row],[P]])</f>
        <v>0.48369684775438243</v>
      </c>
      <c r="K12">
        <f t="array" ref="K12">CpFFromP(テーブル2[[#This Row],[P]])</f>
        <v>8097.4885849811244</v>
      </c>
      <c r="L12">
        <f t="array" ref="L12">SigmaFromP(テーブル2[[#This Row],[P]])</f>
        <v>5.7594462826100956E-3</v>
      </c>
      <c r="M12">
        <v>248</v>
      </c>
      <c r="N12">
        <v>4122.24</v>
      </c>
      <c r="O12" s="8">
        <v>1.0848891429240124E-4</v>
      </c>
      <c r="P12" s="8">
        <v>3.3674103335298272E-2</v>
      </c>
      <c r="Q12">
        <v>1.2886925387400553E-2</v>
      </c>
      <c r="R12">
        <v>1.778</v>
      </c>
      <c r="S12" s="15">
        <v>2663557.9685937501</v>
      </c>
      <c r="T12">
        <v>589.53888888888889</v>
      </c>
      <c r="U12" s="12">
        <f>+T12+BG12*S12*テーブル2[[#This Row],[Pw]]*R12/(N12*O12*K12)</f>
        <v>618.3537439761252</v>
      </c>
      <c r="V12">
        <v>0.03</v>
      </c>
      <c r="W12" s="8">
        <f t="shared" si="0"/>
        <v>1963560.5097306669</v>
      </c>
      <c r="X12">
        <v>1.5234230343649385E-2</v>
      </c>
      <c r="Y12">
        <f t="shared" si="1"/>
        <v>8.1019534023692454</v>
      </c>
      <c r="Z12">
        <f t="shared" si="2"/>
        <v>8.1019534051569337</v>
      </c>
      <c r="AA12">
        <f t="shared" si="3"/>
        <v>-2.7876883024191557E-9</v>
      </c>
      <c r="AB12">
        <f t="shared" si="4"/>
        <v>1.3101817863397777E-5</v>
      </c>
      <c r="AC12">
        <v>634.58785149768914</v>
      </c>
      <c r="AD12">
        <f t="shared" si="5"/>
        <v>42842.968934338925</v>
      </c>
      <c r="AE12">
        <f>+gettm2(AD12,AC12,AK12,AL12,テーブル2[[#This Row],[Fcorr]])</f>
        <v>618.35374433709478</v>
      </c>
      <c r="AF12" s="14">
        <f t="shared" si="6"/>
        <v>3.6096957956033293E-7</v>
      </c>
      <c r="AG12">
        <v>1.3145921306097949E-5</v>
      </c>
      <c r="AH12">
        <f t="shared" si="7"/>
        <v>52.750966401694079</v>
      </c>
      <c r="AI12">
        <f t="shared" si="8"/>
        <v>0.29324585475279519</v>
      </c>
      <c r="AJ12">
        <f t="shared" si="9"/>
        <v>33.450648560553859</v>
      </c>
      <c r="AK12">
        <f t="array" ref="AK12">+S12*テーブル2[[#This Row],[F_form]]/(E12*CpFromTP((テーブル2[[#This Row],[Tin]]+テーブル2[[#This Row],[Tf]])/2,テーブル2[[#This Row],[P]])*AI12)</f>
        <v>1.4056742739923587</v>
      </c>
      <c r="AL12">
        <f t="shared" si="10"/>
        <v>1.1834832388614511</v>
      </c>
      <c r="AM12">
        <f t="shared" si="11"/>
        <v>612.29412140445766</v>
      </c>
      <c r="AN12">
        <f t="shared" si="12"/>
        <v>7.6807964433101006E-9</v>
      </c>
      <c r="AO12">
        <f t="shared" si="13"/>
        <v>4.4103442700172386E-8</v>
      </c>
      <c r="AP12">
        <v>3.5141839618043158</v>
      </c>
      <c r="AQ12">
        <f t="shared" si="14"/>
        <v>3.6890237191238114E-5</v>
      </c>
      <c r="AR12">
        <f t="shared" si="15"/>
        <v>6.5950123743990607E-6</v>
      </c>
      <c r="AS12">
        <f t="shared" si="16"/>
        <v>16.781436314105616</v>
      </c>
      <c r="AT12">
        <f t="shared" si="17"/>
        <v>11.051366470820208</v>
      </c>
      <c r="AU12">
        <f t="shared" si="18"/>
        <v>3.2407674069220533</v>
      </c>
      <c r="AV12">
        <f t="shared" si="19"/>
        <v>0.27341655488226246</v>
      </c>
      <c r="AW12">
        <f t="shared" si="20"/>
        <v>8.2333135405710349E-3</v>
      </c>
      <c r="AX12">
        <f t="shared" si="21"/>
        <v>0.2734165429343911</v>
      </c>
      <c r="AY12">
        <f t="shared" si="22"/>
        <v>1.1947871358941597E-8</v>
      </c>
      <c r="AZ12">
        <f t="shared" si="23"/>
        <v>1037689.2055825926</v>
      </c>
      <c r="BA12">
        <f t="shared" si="24"/>
        <v>1.0497525909912031E-5</v>
      </c>
      <c r="BB12" s="15">
        <f t="shared" si="25"/>
        <v>2674357.6870255158</v>
      </c>
      <c r="BC12" s="20">
        <f t="shared" si="26"/>
        <v>10799.718431765679</v>
      </c>
      <c r="BD12" s="19">
        <f t="shared" si="27"/>
        <v>0.40546211342520511</v>
      </c>
      <c r="BE12" s="15">
        <v>2755634.2598421718</v>
      </c>
      <c r="BF12" s="16">
        <f>テーブル2[[#This Row],[q_P]]/テーブル2[[#This Row],[q_M]]</f>
        <v>0.97050531197078704</v>
      </c>
      <c r="BG12">
        <v>0.6543279479376316</v>
      </c>
      <c r="BH12">
        <v>6.9505391417700374E-2</v>
      </c>
      <c r="BI12">
        <v>4.5999999999999999E-2</v>
      </c>
      <c r="BJ12">
        <v>5625</v>
      </c>
      <c r="BK12" s="21">
        <f>1+テーブル2[[#This Row],[A_corr]]*EXP(-テーブル2[[#This Row],[(Tsub-40)^2]]/テーブル2[[#This Row],[σ_corr]])</f>
        <v>1.0436312433547148</v>
      </c>
      <c r="BL12">
        <f>テーブル2[[#This Row],[Ts]]-テーブル2[[#This Row],[Tin]]</f>
        <v>22.75523252324956</v>
      </c>
      <c r="BM12">
        <f>テーブル2[[#This Row],[q_P]]*0.000001</f>
        <v>2.6743576870255157</v>
      </c>
      <c r="BN12">
        <f>テーブル2[[#This Row],[Tsub]]</f>
        <v>22.75523252324956</v>
      </c>
      <c r="BO12">
        <f>テーブル2[[#This Row],[Fcorr]]</f>
        <v>1.0436312433547148</v>
      </c>
      <c r="BP12">
        <f>(テーブル2[[#This Row],[Tsub]]-40)^2</f>
        <v>297.38200532718975</v>
      </c>
      <c r="BQ12" s="10">
        <v>0.99834772292061991</v>
      </c>
      <c r="BR12" s="33">
        <v>2.4380000000000002</v>
      </c>
    </row>
    <row r="13" spans="1:70" x14ac:dyDescent="0.15">
      <c r="A13" s="9" t="s">
        <v>97</v>
      </c>
      <c r="B13">
        <v>16581890.584999999</v>
      </c>
      <c r="C13" s="21" cm="1">
        <f t="array" ref="C13">TsatFromP(テーブル2[[#This Row],[P]])</f>
        <v>623.40834329200698</v>
      </c>
      <c r="D13">
        <f t="array" ref="D13">RhoGFromP(テーブル2[[#This Row],[P]])</f>
        <v>114.24072089270538</v>
      </c>
      <c r="E13">
        <f t="array" ref="E13">RhoFFromP(テーブル2[[#This Row],[P]])</f>
        <v>573.66553119769708</v>
      </c>
      <c r="F13">
        <f t="array" ref="F13">HgFromP(テーブル2[[#This Row],[P]])</f>
        <v>2561880.926064556</v>
      </c>
      <c r="G13">
        <f t="array" ref="G13">HfFromP(テーブル2[[#This Row],[P]])</f>
        <v>1673008.4528857057</v>
      </c>
      <c r="H13">
        <f t="array" ref="H13">MuGFromP(テーブル2[[#This Row],[P]])</f>
        <v>2.3778054068935119E-5</v>
      </c>
      <c r="I13">
        <f t="array" ref="I13">MuFFromP(テーブル2[[#This Row],[P]])</f>
        <v>6.5676255486798709E-5</v>
      </c>
      <c r="J13">
        <f t="array" ref="J13">KfFromP(テーブル2[[#This Row],[P]])</f>
        <v>0.4599028461125329</v>
      </c>
      <c r="K13">
        <f t="array" ref="K13">CpFFromP(テーブル2[[#This Row],[P]])</f>
        <v>10188.161618072991</v>
      </c>
      <c r="L13">
        <f t="array" ref="L13">SigmaFromP(テーブル2[[#This Row],[P]])</f>
        <v>3.6065031383353337E-3</v>
      </c>
      <c r="M13">
        <v>252</v>
      </c>
      <c r="N13">
        <v>4191.3959999999997</v>
      </c>
      <c r="O13" s="8">
        <v>1.0848891429240124E-4</v>
      </c>
      <c r="P13" s="8">
        <v>3.3674103335298272E-2</v>
      </c>
      <c r="Q13">
        <v>1.2886925387400553E-2</v>
      </c>
      <c r="R13">
        <v>1.9303999999999999</v>
      </c>
      <c r="S13" s="15">
        <v>3344237.79296875</v>
      </c>
      <c r="T13">
        <v>577.59444444444443</v>
      </c>
      <c r="U13" s="12">
        <f>+T13+BG13*S13*テーブル2[[#This Row],[Pw]]*R13/(N13*O13*K13)</f>
        <v>613.28032424809169</v>
      </c>
      <c r="V13">
        <v>0.03</v>
      </c>
      <c r="W13" s="8">
        <f t="shared" ref="W13:W37" si="28">+N13*P13/I13</f>
        <v>2149049.1651358847</v>
      </c>
      <c r="X13">
        <v>1.3952667981821924E-2</v>
      </c>
      <c r="Y13">
        <f t="shared" si="1"/>
        <v>8.4658656102023055</v>
      </c>
      <c r="Z13">
        <f t="shared" ref="Z13:Z37" si="29">IF(X13&gt;0,1.14-2*LOG((0.72*L13*E13)/(X13*P13*N13^2)+9.35/(W13*X13^0.5)),0)</f>
        <v>8.4658656247936932</v>
      </c>
      <c r="AA13">
        <f t="shared" si="3"/>
        <v>-1.4591387653695165E-8</v>
      </c>
      <c r="AB13">
        <f t="shared" si="4"/>
        <v>8.1029219269965852E-6</v>
      </c>
      <c r="AC13">
        <v>660.60773459337793</v>
      </c>
      <c r="AD13">
        <f t="shared" ref="AD13:AD37" si="30">+P13/2*AI13/I13*E13</f>
        <v>44874.538167118364</v>
      </c>
      <c r="AE13">
        <f>+gettm2(AD13,AC13,AK13,AL13,テーブル2[[#This Row],[Fcorr]])</f>
        <v>613.28032424809169</v>
      </c>
      <c r="AF13" s="14">
        <f t="shared" si="6"/>
        <v>0</v>
      </c>
      <c r="AG13">
        <v>8.1616113008328738E-6</v>
      </c>
      <c r="AH13">
        <f t="shared" si="7"/>
        <v>53.410409294249938</v>
      </c>
      <c r="AI13">
        <f t="shared" si="8"/>
        <v>0.30512906274941193</v>
      </c>
      <c r="AJ13">
        <f t="shared" si="9"/>
        <v>21.752533938475857</v>
      </c>
      <c r="AK13">
        <f t="array" ref="AK13">+S13*テーブル2[[#This Row],[F_form]]/(E13*CpFromTP((テーブル2[[#This Row],[Tin]]+テーブル2[[#This Row],[Tf]])/2,テーブル2[[#This Row],[P]])*AI13)</f>
        <v>2.3065291733933244</v>
      </c>
      <c r="AL13">
        <f t="shared" si="10"/>
        <v>1.4549166438635874</v>
      </c>
      <c r="AM13">
        <f t="shared" si="11"/>
        <v>623.40834328196445</v>
      </c>
      <c r="AN13">
        <f t="shared" si="12"/>
        <v>1.0042526810138952E-8</v>
      </c>
      <c r="AO13">
        <f t="shared" si="13"/>
        <v>5.8689373836288606E-8</v>
      </c>
      <c r="AP13">
        <v>2.9848640273618883</v>
      </c>
      <c r="AQ13">
        <f t="shared" si="14"/>
        <v>2.669725712944707E-5</v>
      </c>
      <c r="AR13">
        <f t="shared" si="15"/>
        <v>4.1101503373345812E-6</v>
      </c>
      <c r="AS13">
        <f t="shared" si="16"/>
        <v>10.954477174866778</v>
      </c>
      <c r="AT13">
        <f t="shared" si="17"/>
        <v>8.918741235566003</v>
      </c>
      <c r="AU13">
        <f t="shared" si="18"/>
        <v>2.7213671541127864</v>
      </c>
      <c r="AV13">
        <f t="shared" si="19"/>
        <v>0.26349687324910187</v>
      </c>
      <c r="AW13">
        <f t="shared" si="20"/>
        <v>6.0356979568173619E-3</v>
      </c>
      <c r="AX13">
        <f t="shared" si="21"/>
        <v>0.26349686532352545</v>
      </c>
      <c r="AY13">
        <f t="shared" si="22"/>
        <v>7.9255764173780108E-9</v>
      </c>
      <c r="AZ13">
        <f t="shared" si="23"/>
        <v>888872.47317885025</v>
      </c>
      <c r="BA13">
        <f t="shared" si="24"/>
        <v>8.944212159990049E-6</v>
      </c>
      <c r="BB13" s="15">
        <f t="shared" si="25"/>
        <v>3345920.3381312629</v>
      </c>
      <c r="BC13" s="20">
        <f t="shared" si="26"/>
        <v>1682.5451625129208</v>
      </c>
      <c r="BD13" s="19">
        <f t="shared" si="27"/>
        <v>5.0311768082116258E-2</v>
      </c>
      <c r="BE13" s="15">
        <v>3001513.8415608276</v>
      </c>
      <c r="BF13" s="16">
        <f>テーブル2[[#This Row],[q_P]]/テーブル2[[#This Row],[q_M]]</f>
        <v>1.1147442639782528</v>
      </c>
      <c r="BG13">
        <v>0.760494</v>
      </c>
      <c r="BH13">
        <v>-5.8276004235210725E-2</v>
      </c>
      <c r="BI13">
        <v>4.5999999999999999E-2</v>
      </c>
      <c r="BJ13">
        <v>5625</v>
      </c>
      <c r="BK13" s="21">
        <f>1+テーブル2[[#This Row],[A_corr]]*EXP(-テーブル2[[#This Row],[(Tsub-40)^2]]/テーブル2[[#This Row],[σ_corr]])</f>
        <v>1.0457244083640593</v>
      </c>
      <c r="BL13">
        <f>テーブル2[[#This Row],[Ts]]-テーブル2[[#This Row],[Tin]]</f>
        <v>45.813898847562541</v>
      </c>
      <c r="BM13">
        <f>テーブル2[[#This Row],[q_P]]*0.000001</f>
        <v>3.3459203381312626</v>
      </c>
      <c r="BN13">
        <f>テーブル2[[#This Row],[Tsub]]</f>
        <v>45.813898847562541</v>
      </c>
      <c r="BO13">
        <f>テーブル2[[#This Row],[Fcorr]]</f>
        <v>1.0457244083640593</v>
      </c>
      <c r="BP13">
        <f>(テーブル2[[#This Row],[Tsub]]-40)^2</f>
        <v>33.801419809689044</v>
      </c>
      <c r="BQ13" s="10">
        <v>1.0094311531373998</v>
      </c>
      <c r="BR13" s="33">
        <v>2.4380000000000002</v>
      </c>
    </row>
    <row r="14" spans="1:70" x14ac:dyDescent="0.15">
      <c r="A14" s="9" t="s">
        <v>98</v>
      </c>
      <c r="B14">
        <v>16616364.369999999</v>
      </c>
      <c r="C14" s="21" cm="1">
        <f t="array" ref="C14">TsatFromP(テーブル2[[#This Row],[P]])</f>
        <v>623.57769163346586</v>
      </c>
      <c r="D14">
        <f t="array" ref="D14">RhoGFromP(テーブル2[[#This Row],[P]])</f>
        <v>114.66029599737462</v>
      </c>
      <c r="E14">
        <f t="array" ref="E14">RhoFFromP(テーブル2[[#This Row],[P]])</f>
        <v>572.97931530121309</v>
      </c>
      <c r="F14">
        <f t="array" ref="F14">HgFromP(テーブル2[[#This Row],[P]])</f>
        <v>2560721.691284928</v>
      </c>
      <c r="G14">
        <f t="array" ref="G14">HfFromP(テーブル2[[#This Row],[P]])</f>
        <v>1674402.1546774118</v>
      </c>
      <c r="H14">
        <f t="array" ref="H14">MuGFromP(テーブル2[[#This Row],[P]])</f>
        <v>2.3803753768346773E-5</v>
      </c>
      <c r="I14">
        <f t="array" ref="I14">MuFFromP(テーブル2[[#This Row],[P]])</f>
        <v>6.559315938668894E-5</v>
      </c>
      <c r="J14">
        <f t="array" ref="J14">KfFromP(テーブル2[[#This Row],[P]])</f>
        <v>0.45952852946905182</v>
      </c>
      <c r="K14">
        <f t="array" ref="K14">CpFFromP(テーブル2[[#This Row],[P]])</f>
        <v>10236.374668774288</v>
      </c>
      <c r="L14">
        <f t="array" ref="L14">SigmaFromP(テーブル2[[#This Row],[P]])</f>
        <v>3.575061404803361E-3</v>
      </c>
      <c r="M14" s="22">
        <v>253</v>
      </c>
      <c r="N14">
        <v>4161.5640000000003</v>
      </c>
      <c r="O14" s="8">
        <v>1.0848891429240124E-4</v>
      </c>
      <c r="P14" s="8">
        <v>3.3674103335298272E-2</v>
      </c>
      <c r="Q14">
        <v>1.2886925387400553E-2</v>
      </c>
      <c r="R14">
        <v>1.9303999999999999</v>
      </c>
      <c r="S14" s="15">
        <v>2950995.87890625</v>
      </c>
      <c r="T14">
        <v>589.81666666666661</v>
      </c>
      <c r="U14" s="12">
        <f>+T14+BG14*S14*テーブル2[[#This Row],[Pw]]*R14/(N14*O14*K14)</f>
        <v>621.38267230702422</v>
      </c>
      <c r="V14">
        <v>0.03</v>
      </c>
      <c r="W14" s="8">
        <f t="shared" si="28"/>
        <v>2136456.5677697137</v>
      </c>
      <c r="X14">
        <v>1.3963748912751459E-2</v>
      </c>
      <c r="Y14">
        <f t="shared" si="1"/>
        <v>8.4625059003306067</v>
      </c>
      <c r="Z14">
        <f t="shared" si="29"/>
        <v>8.4625059157986122</v>
      </c>
      <c r="AA14">
        <f t="shared" si="3"/>
        <v>-1.5468005543084473E-8</v>
      </c>
      <c r="AB14">
        <f t="shared" si="4"/>
        <v>8.1316465961717523E-6</v>
      </c>
      <c r="AC14">
        <v>653.18223271860688</v>
      </c>
      <c r="AD14">
        <f t="shared" si="30"/>
        <v>44629.30202274608</v>
      </c>
      <c r="AE14">
        <f>+gettm2(AD14,AC14,AK14,AL14,テーブル2[[#This Row],[Fcorr]])</f>
        <v>621.38267286314158</v>
      </c>
      <c r="AF14" s="14">
        <f t="shared" si="6"/>
        <v>5.5611735660932027E-7</v>
      </c>
      <c r="AG14">
        <v>8.1844426143548845E-6</v>
      </c>
      <c r="AH14">
        <f t="shared" si="7"/>
        <v>52.757748815396518</v>
      </c>
      <c r="AI14">
        <f t="shared" si="8"/>
        <v>0.3034405772394384</v>
      </c>
      <c r="AJ14">
        <f t="shared" si="9"/>
        <v>21.694175948019623</v>
      </c>
      <c r="AK14">
        <f t="array" ref="AK14">+S14*テーブル2[[#This Row],[F_form]]/(E14*CpFromTP((テーブル2[[#This Row],[Tin]]+テーブル2[[#This Row],[Tf]])/2,テーブル2[[#This Row],[P]])*AI14)</f>
        <v>1.8317121059255073</v>
      </c>
      <c r="AL14">
        <f t="shared" si="10"/>
        <v>1.4611413919535472</v>
      </c>
      <c r="AM14">
        <f t="shared" si="11"/>
        <v>623.57769162637419</v>
      </c>
      <c r="AN14">
        <f t="shared" si="12"/>
        <v>7.0916712502366863E-9</v>
      </c>
      <c r="AO14">
        <f t="shared" si="13"/>
        <v>5.2796018183132233E-8</v>
      </c>
      <c r="AP14">
        <v>2.9638979535495409</v>
      </c>
      <c r="AQ14">
        <f t="shared" si="14"/>
        <v>2.6763675997040728E-5</v>
      </c>
      <c r="AR14">
        <f t="shared" si="15"/>
        <v>4.1186193162690084E-6</v>
      </c>
      <c r="AS14">
        <f t="shared" si="16"/>
        <v>10.91706012494229</v>
      </c>
      <c r="AT14">
        <f t="shared" si="17"/>
        <v>8.9016335737155057</v>
      </c>
      <c r="AU14">
        <f t="shared" si="18"/>
        <v>2.7011168299821979</v>
      </c>
      <c r="AV14">
        <f t="shared" si="19"/>
        <v>0.26278112356734296</v>
      </c>
      <c r="AW14">
        <f t="shared" si="20"/>
        <v>6.0763455276189567E-3</v>
      </c>
      <c r="AX14">
        <f t="shared" si="21"/>
        <v>0.26278111710733398</v>
      </c>
      <c r="AY14">
        <f t="shared" si="22"/>
        <v>6.4600089721977838E-9</v>
      </c>
      <c r="AZ14">
        <f t="shared" si="23"/>
        <v>886319.53660751623</v>
      </c>
      <c r="BA14">
        <f t="shared" si="24"/>
        <v>9.0298911826531549E-6</v>
      </c>
      <c r="BB14" s="15">
        <f t="shared" si="25"/>
        <v>2969257.8917488283</v>
      </c>
      <c r="BC14" s="20">
        <f t="shared" si="26"/>
        <v>18262.012842578348</v>
      </c>
      <c r="BD14" s="19">
        <f t="shared" si="27"/>
        <v>0.61884237023560107</v>
      </c>
      <c r="BE14" s="15">
        <v>2619411.5769735198</v>
      </c>
      <c r="BF14" s="16">
        <f>テーブル2[[#This Row],[q_P]]/テーブル2[[#This Row],[q_M]]</f>
        <v>1.1335591236790374</v>
      </c>
      <c r="BG14">
        <v>0.760494</v>
      </c>
      <c r="BH14">
        <v>-1.9712135043268779E-3</v>
      </c>
      <c r="BI14">
        <v>4.5999999999999999E-2</v>
      </c>
      <c r="BJ14">
        <v>5625</v>
      </c>
      <c r="BK14" s="21">
        <f>1+テーブル2[[#This Row],[A_corr]]*EXP(-テーブル2[[#This Row],[(Tsub-40)^2]]/テーブル2[[#This Row],[σ_corr]])</f>
        <v>1.0456827803984645</v>
      </c>
      <c r="BL14">
        <f>テーブル2[[#This Row],[Ts]]-テーブル2[[#This Row],[Tin]]</f>
        <v>33.761024966799255</v>
      </c>
      <c r="BM14">
        <f>テーブル2[[#This Row],[q_P]]*0.000001</f>
        <v>2.9692578917488284</v>
      </c>
      <c r="BN14">
        <f>テーブル2[[#This Row],[Tsub]]</f>
        <v>33.761024966799255</v>
      </c>
      <c r="BO14">
        <f>テーブル2[[#This Row],[Fcorr]]</f>
        <v>1.0456827803984645</v>
      </c>
      <c r="BP14">
        <f>(テーブル2[[#This Row],[Tsub]]-40)^2</f>
        <v>38.924809464902239</v>
      </c>
      <c r="BQ14" s="10">
        <v>1.0011983657133301</v>
      </c>
      <c r="BR14" s="33">
        <v>2.4380000000000002</v>
      </c>
    </row>
    <row r="15" spans="1:70" x14ac:dyDescent="0.15">
      <c r="A15" s="9" t="s">
        <v>99</v>
      </c>
      <c r="B15">
        <v>16650838.154999999</v>
      </c>
      <c r="C15" s="21" cm="1">
        <f t="array" ref="C15">TsatFromP(テーブル2[[#This Row],[P]])</f>
        <v>623.7467472920838</v>
      </c>
      <c r="D15">
        <f t="array" ref="D15">RhoGFromP(テーブル2[[#This Row],[P]])</f>
        <v>115.08174830522883</v>
      </c>
      <c r="E15">
        <f t="array" ref="E15">RhoFFromP(テーブル2[[#This Row],[P]])</f>
        <v>572.29121245744955</v>
      </c>
      <c r="F15">
        <f t="array" ref="F15">HgFromP(テーブル2[[#This Row],[P]])</f>
        <v>2559557.8321399409</v>
      </c>
      <c r="G15">
        <f t="array" ref="G15">HfFromP(テーブル2[[#This Row],[P]])</f>
        <v>1675797.4223693286</v>
      </c>
      <c r="H15">
        <f t="array" ref="H15">MuGFromP(テーブル2[[#This Row],[P]])</f>
        <v>2.3829582904311094E-5</v>
      </c>
      <c r="I15">
        <f t="array" ref="I15">MuFFromP(テーブル2[[#This Row],[P]])</f>
        <v>6.5509940250288218E-5</v>
      </c>
      <c r="J15">
        <f t="array" ref="J15">KfFromP(テーブル2[[#This Row],[P]])</f>
        <v>0.45915472043015876</v>
      </c>
      <c r="K15">
        <f t="array" ref="K15">CpFFromP(テーブル2[[#This Row],[P]])</f>
        <v>10285.252806144354</v>
      </c>
      <c r="L15">
        <f t="array" ref="L15">SigmaFromP(テーブル2[[#This Row],[P]])</f>
        <v>3.5437208597502243E-3</v>
      </c>
      <c r="M15">
        <v>254</v>
      </c>
      <c r="N15">
        <v>4131.732</v>
      </c>
      <c r="O15" s="8">
        <v>1.0848891429240124E-4</v>
      </c>
      <c r="P15" s="8">
        <v>3.3674103335298272E-2</v>
      </c>
      <c r="Q15">
        <v>1.2886925387400553E-2</v>
      </c>
      <c r="R15">
        <v>1.778</v>
      </c>
      <c r="S15" s="15">
        <v>3009318.84765625</v>
      </c>
      <c r="T15">
        <v>601.48333333333335</v>
      </c>
      <c r="U15" s="12">
        <f>+T15+BG15*S15*テーブル2[[#This Row],[Pw]]*R15/(N15*O15*K15)</f>
        <v>627.0549976590404</v>
      </c>
      <c r="V15">
        <v>0.03</v>
      </c>
      <c r="W15" s="8">
        <f t="shared" si="28"/>
        <v>2123836.013133083</v>
      </c>
      <c r="X15">
        <v>1.3974962066725397E-2</v>
      </c>
      <c r="Y15">
        <f t="shared" si="1"/>
        <v>8.4591101693275306</v>
      </c>
      <c r="Z15">
        <f t="shared" si="29"/>
        <v>8.4591101857217321</v>
      </c>
      <c r="AA15">
        <f t="shared" si="3"/>
        <v>-1.6394201551861443E-8</v>
      </c>
      <c r="AB15">
        <f t="shared" si="4"/>
        <v>8.1608029244634802E-6</v>
      </c>
      <c r="AC15">
        <v>646.74844782253956</v>
      </c>
      <c r="AD15">
        <f t="shared" si="30"/>
        <v>44383.475831181611</v>
      </c>
      <c r="AE15">
        <f>+gettm2(AD15,AC15,AK15,AL15,テーブル2[[#This Row],[Fcorr]])</f>
        <v>627.0549976590404</v>
      </c>
      <c r="AF15" s="14">
        <f t="shared" si="6"/>
        <v>0</v>
      </c>
      <c r="AG15">
        <v>8.2150406435770135E-6</v>
      </c>
      <c r="AH15">
        <f t="shared" si="7"/>
        <v>52.108414711899705</v>
      </c>
      <c r="AI15">
        <f t="shared" si="8"/>
        <v>0.30174868889881501</v>
      </c>
      <c r="AJ15">
        <f t="shared" si="9"/>
        <v>21.655338776262354</v>
      </c>
      <c r="AK15">
        <f t="array" ref="AK15">+S15*テーブル2[[#This Row],[F_form]]/(E15*CpFromTP((テーブル2[[#This Row],[Tin]]+テーブル2[[#This Row],[Tf]])/2,テーブル2[[#This Row],[P]])*AI15)</f>
        <v>1.4196849125139275</v>
      </c>
      <c r="AL15">
        <f t="shared" si="10"/>
        <v>1.4674493516224545</v>
      </c>
      <c r="AM15">
        <f t="shared" si="11"/>
        <v>623.74674728758225</v>
      </c>
      <c r="AN15">
        <f t="shared" si="12"/>
        <v>4.5015440264251083E-9</v>
      </c>
      <c r="AO15">
        <f t="shared" si="13"/>
        <v>5.4237719113533304E-8</v>
      </c>
      <c r="AP15">
        <v>2.9454236702513423</v>
      </c>
      <c r="AQ15">
        <f t="shared" si="14"/>
        <v>2.6786300958366326E-5</v>
      </c>
      <c r="AR15">
        <f t="shared" si="15"/>
        <v>4.1346391813452734E-6</v>
      </c>
      <c r="AS15">
        <f t="shared" si="16"/>
        <v>10.899156324886238</v>
      </c>
      <c r="AT15">
        <f t="shared" si="17"/>
        <v>8.8934269242643627</v>
      </c>
      <c r="AU15">
        <f t="shared" si="18"/>
        <v>2.6835799142141923</v>
      </c>
      <c r="AV15">
        <f t="shared" si="19"/>
        <v>0.26184375603715004</v>
      </c>
      <c r="AW15">
        <f t="shared" si="20"/>
        <v>6.1176203562084966E-3</v>
      </c>
      <c r="AX15">
        <f t="shared" si="21"/>
        <v>0.26184375096430168</v>
      </c>
      <c r="AY15">
        <f t="shared" si="22"/>
        <v>5.0728483635964494E-9</v>
      </c>
      <c r="AZ15">
        <f t="shared" si="23"/>
        <v>883760.40977061237</v>
      </c>
      <c r="BA15">
        <f t="shared" si="24"/>
        <v>9.0942098513388288E-6</v>
      </c>
      <c r="BB15" s="15">
        <f t="shared" si="25"/>
        <v>3016393.9838039144</v>
      </c>
      <c r="BC15" s="20">
        <f t="shared" si="26"/>
        <v>7075.1361476643942</v>
      </c>
      <c r="BD15" s="19">
        <f t="shared" si="27"/>
        <v>0.23510756107398617</v>
      </c>
      <c r="BE15" s="15">
        <v>2687029.2575224498</v>
      </c>
      <c r="BF15" s="16">
        <f>テーブル2[[#This Row],[q_P]]/テーブル2[[#This Row],[q_M]]</f>
        <v>1.1225757871297435</v>
      </c>
      <c r="BG15">
        <v>0.6543279479376316</v>
      </c>
      <c r="BH15">
        <v>4.5215393920802538E-2</v>
      </c>
      <c r="BI15">
        <v>4.5999999999999999E-2</v>
      </c>
      <c r="BJ15">
        <v>5625</v>
      </c>
      <c r="BK15" s="21">
        <f>1+テーブル2[[#This Row],[A_corr]]*EXP(-テーブル2[[#This Row],[(Tsub-40)^2]]/テーブル2[[#This Row],[σ_corr]])</f>
        <v>1.0434979978402203</v>
      </c>
      <c r="BL15">
        <f>テーブル2[[#This Row],[Ts]]-テーブル2[[#This Row],[Tin]]</f>
        <v>22.263413958750448</v>
      </c>
      <c r="BM15">
        <f>テーブル2[[#This Row],[q_P]]*0.000001</f>
        <v>3.0163939838039142</v>
      </c>
      <c r="BN15">
        <f>テーブル2[[#This Row],[Tsub]]</f>
        <v>22.263413958750448</v>
      </c>
      <c r="BO15">
        <f>テーブル2[[#This Row],[Fcorr]]</f>
        <v>1.0434979978402203</v>
      </c>
      <c r="BP15">
        <f>(テーブル2[[#This Row],[Tsub]]-40)^2</f>
        <v>314.58648439864845</v>
      </c>
      <c r="BQ15" s="10">
        <v>0.98980218515242047</v>
      </c>
      <c r="BR15" s="33">
        <v>2.4380000000000002</v>
      </c>
    </row>
    <row r="16" spans="1:70" x14ac:dyDescent="0.15">
      <c r="A16" s="9" t="s">
        <v>100</v>
      </c>
      <c r="B16">
        <v>14582411.055</v>
      </c>
      <c r="C16" s="21" cm="1">
        <f t="array" ref="C16">TsatFromP(テーブル2[[#This Row],[P]])</f>
        <v>613.05026988781367</v>
      </c>
      <c r="D16">
        <f t="array" ref="D16">RhoGFromP(テーブル2[[#This Row],[P]])</f>
        <v>92.580958140603215</v>
      </c>
      <c r="E16">
        <f t="array" ref="E16">RhoFFromP(テーブル2[[#This Row],[P]])</f>
        <v>610.99184656446221</v>
      </c>
      <c r="F16">
        <f t="array" ref="F16">HgFromP(テーブル2[[#This Row],[P]])</f>
        <v>2622345.5985878608</v>
      </c>
      <c r="G16">
        <f t="array" ref="G16">HfFromP(テーブル2[[#This Row],[P]])</f>
        <v>1593812.5192969192</v>
      </c>
      <c r="H16">
        <f t="array" ref="H16">MuGFromP(テーブル2[[#This Row],[P]])</f>
        <v>2.2466336042427335E-5</v>
      </c>
      <c r="I16">
        <f t="array" ref="I16">MuFFromP(テーブル2[[#This Row],[P]])</f>
        <v>7.0373614625891007E-5</v>
      </c>
      <c r="J16">
        <f t="array" ref="J16">KfFromP(テーブル2[[#This Row],[P]])</f>
        <v>0.48213977909987105</v>
      </c>
      <c r="K16">
        <f t="array" ref="K16">CpFFromP(テーブル2[[#This Row],[P]])</f>
        <v>8194.8014383951322</v>
      </c>
      <c r="L16">
        <f t="array" ref="L16">SigmaFromP(テーブル2[[#This Row],[P]])</f>
        <v>5.6080351609815058E-3</v>
      </c>
      <c r="M16">
        <v>268</v>
      </c>
      <c r="N16">
        <v>2709.288</v>
      </c>
      <c r="O16" s="8">
        <v>8.7843467213758383E-5</v>
      </c>
      <c r="P16" s="8">
        <v>2.9843873572041598E-2</v>
      </c>
      <c r="Q16">
        <v>1.1773735336561952E-2</v>
      </c>
      <c r="R16">
        <v>4.2545000000000002</v>
      </c>
      <c r="S16" s="15">
        <v>668421.484375</v>
      </c>
      <c r="T16">
        <v>587.81666666666661</v>
      </c>
      <c r="U16" s="12">
        <f>+T16+BG16*S16*テーブル2[[#This Row],[Pw]]*R16/(N16*O16*K16)</f>
        <v>631.33287451271224</v>
      </c>
      <c r="V16">
        <v>0.03</v>
      </c>
      <c r="W16" s="8">
        <f t="shared" si="28"/>
        <v>1148948.3519083303</v>
      </c>
      <c r="X16">
        <v>1.7947228785031476E-2</v>
      </c>
      <c r="Y16">
        <f t="shared" ref="Y16:Y40" si="31">IF(X16&gt;0,1/X16^0.5,1)</f>
        <v>7.46450993592223</v>
      </c>
      <c r="Z16">
        <f t="shared" si="29"/>
        <v>7.464509945170315</v>
      </c>
      <c r="AA16">
        <f t="shared" ref="AA16:AA40" si="32">+Y16-Z16</f>
        <v>-9.2480849644971386E-9</v>
      </c>
      <c r="AB16">
        <f t="shared" ref="AB16:AB40" si="33">32/X16*L16*V16*E16/N16^2</f>
        <v>2.4969487573206528E-5</v>
      </c>
      <c r="AC16">
        <v>624.6766948456368</v>
      </c>
      <c r="AD16">
        <f t="shared" si="30"/>
        <v>27209.729032503245</v>
      </c>
      <c r="AE16">
        <f>+gettm2(AD16,AC16,AK16,AL16,テーブル2[[#This Row],[Fcorr]])</f>
        <v>631.3328747703988</v>
      </c>
      <c r="AF16" s="14">
        <f t="shared" ref="AF16:AF40" si="34">+AE16-U16</f>
        <v>2.5768656541913515E-7</v>
      </c>
      <c r="AG16">
        <v>2.4989123761397571E-5</v>
      </c>
      <c r="AH16">
        <f t="shared" ref="AH16:AH40" si="35">+X16*N16^2/(8*E16)</f>
        <v>26.951462954326068</v>
      </c>
      <c r="AI16">
        <f t="shared" ref="AI16:AI40" si="36">+(AH16/E16)^0.5</f>
        <v>0.21002619511840076</v>
      </c>
      <c r="AJ16">
        <f t="shared" ref="AJ16:AJ40" si="37">+AG16*AI16/I16*E16</f>
        <v>45.566959306804321</v>
      </c>
      <c r="AK16">
        <f t="array" ref="AK16">+S16*テーブル2[[#This Row],[F_form]]/(E16*CpFromTP((テーブル2[[#This Row],[Tin]]+テーブル2[[#This Row],[Tf]])/2,テーブル2[[#This Row],[P]])*AI16)</f>
        <v>0.69447763843689148</v>
      </c>
      <c r="AL16">
        <f t="shared" ref="AL16:AL40" si="38">+K16*I16/J16</f>
        <v>1.1961215883036658</v>
      </c>
      <c r="AM16">
        <f t="shared" ref="AM16:AM40" si="39">+gettyp(AC16,AJ16,AK16,AL16)</f>
        <v>613.05026987715962</v>
      </c>
      <c r="AN16">
        <f t="shared" ref="AN16:AN40" si="40">+C16-AM16</f>
        <v>1.0654048310243525E-8</v>
      </c>
      <c r="AO16">
        <f t="shared" ref="AO16:AO40" si="41">+AG16-AB16</f>
        <v>1.9636188191043383E-8</v>
      </c>
      <c r="AP16">
        <v>2.8786077905397032</v>
      </c>
      <c r="AQ16">
        <f t="shared" ref="AQ16:AQ40" si="42">2*PI()*L16*(D16+E16)/(D16*E16*AP16^2)</f>
        <v>5.289048650195415E-5</v>
      </c>
      <c r="AR16">
        <f t="shared" ref="AR16:AR40" si="43">+AO16+AB16/2</f>
        <v>1.2504379974794307E-5</v>
      </c>
      <c r="AS16">
        <f t="shared" ref="AS16:AS40" si="44">+AR16*AI16/I16*E16</f>
        <v>22.80138266986615</v>
      </c>
      <c r="AT16">
        <f t="shared" ref="AT16:AT40" si="45">+getublp(AS16)</f>
        <v>12.584105887684197</v>
      </c>
      <c r="AU16">
        <f t="shared" ref="AU16:AU40" si="46">+AT16*AI16</f>
        <v>2.6429918785573769</v>
      </c>
      <c r="AV16">
        <f t="shared" ref="AV16:AV40" si="47">+AP16-AU16</f>
        <v>0.23561591198232623</v>
      </c>
      <c r="AW16">
        <f t="shared" ref="AW16:AW40" si="48">2/3*AB16/(L16/(9.8*(E16-D16)))^0.5</f>
        <v>1.5843936821735748E-2</v>
      </c>
      <c r="AX16">
        <f t="shared" ref="AX16:AX40" si="49">+(2*AQ16*9.8*(E16-D16)/(E16*AW16))^0.5</f>
        <v>0.23561591141705601</v>
      </c>
      <c r="AY16">
        <f t="shared" ref="AY16:AY40" si="50">+AV16-AX16</f>
        <v>5.6527021952135215E-10</v>
      </c>
      <c r="AZ16">
        <f t="shared" ref="AZ16:AZ40" si="51">+F16-G16</f>
        <v>1028533.0792909416</v>
      </c>
      <c r="BA16">
        <f t="shared" ref="BA16:BA40" si="52">+AQ16/AP16</f>
        <v>1.8373634183779457E-5</v>
      </c>
      <c r="BB16" s="15">
        <f t="shared" ref="BB16:BB40" si="53">+E16*AO16*AZ16/BA16</f>
        <v>671607.90454016102</v>
      </c>
      <c r="BC16" s="20">
        <f t="shared" ref="BC16:BC40" si="54">BB16-S16</f>
        <v>3186.4201651610201</v>
      </c>
      <c r="BD16" s="19">
        <f t="shared" ref="BD16:BD40" si="55">+(BB16-S16)/S16*100</f>
        <v>0.47670822073297753</v>
      </c>
      <c r="BE16" s="15">
        <v>934294.72739999997</v>
      </c>
      <c r="BF16" s="16">
        <f>テーブル2[[#This Row],[q_P]]/テーブル2[[#This Row],[q_M]]</f>
        <v>0.71883944631598595</v>
      </c>
      <c r="BG16">
        <v>1</v>
      </c>
      <c r="BH16">
        <v>0.10800429032202953</v>
      </c>
      <c r="BI16">
        <v>4.5999999999999999E-2</v>
      </c>
      <c r="BJ16">
        <v>5625</v>
      </c>
      <c r="BK16" s="21">
        <f>1+テーブル2[[#This Row],[A_corr]]*EXP(-テーブル2[[#This Row],[(Tsub-40)^2]]/テーブル2[[#This Row],[σ_corr]])</f>
        <v>1.0442509826912505</v>
      </c>
      <c r="BL16">
        <f>テーブル2[[#This Row],[Ts]]-テーブル2[[#This Row],[Tin]]</f>
        <v>25.233603221147064</v>
      </c>
      <c r="BM16">
        <f>テーブル2[[#This Row],[q_P]]*0.000001</f>
        <v>0.67160790454016095</v>
      </c>
      <c r="BN16">
        <f>テーブル2[[#This Row],[Tsub]]</f>
        <v>25.233603221147064</v>
      </c>
      <c r="BO16">
        <f>テーブル2[[#This Row],[Fcorr]]</f>
        <v>1.0442509826912505</v>
      </c>
      <c r="BP16">
        <f>(テーブル2[[#This Row],[Tsub]]-40)^2</f>
        <v>218.04647383051838</v>
      </c>
      <c r="BQ16" s="10">
        <v>0.97789546367813707</v>
      </c>
      <c r="BR16" s="33">
        <v>4.2670000000000003</v>
      </c>
    </row>
    <row r="17" spans="1:70" x14ac:dyDescent="0.15">
      <c r="A17" s="9" t="s">
        <v>101</v>
      </c>
      <c r="B17">
        <v>16547416.799999999</v>
      </c>
      <c r="C17" s="21" cm="1">
        <f t="array" ref="C17">TsatFromP(テーブル2[[#This Row],[P]])</f>
        <v>623.23870133313642</v>
      </c>
      <c r="D17">
        <f t="array" ref="D17">RhoGFromP(テーブル2[[#This Row],[P]])</f>
        <v>113.82300371015133</v>
      </c>
      <c r="E17">
        <f t="array" ref="E17">RhoFFromP(テーブル2[[#This Row],[P]])</f>
        <v>574.34988711113044</v>
      </c>
      <c r="F17">
        <f t="array" ref="F17">HgFromP(テーブル2[[#This Row],[P]])</f>
        <v>2563035.5779140079</v>
      </c>
      <c r="G17">
        <f t="array" ref="G17">HfFromP(テーブル2[[#This Row],[P]])</f>
        <v>1671616.2807993235</v>
      </c>
      <c r="H17">
        <f t="array" ref="H17">MuGFromP(テーブル2[[#This Row],[P]])</f>
        <v>2.3752482411014488E-5</v>
      </c>
      <c r="I17">
        <f t="array" ref="I17">MuFFromP(テーブル2[[#This Row],[P]])</f>
        <v>6.5759231557403181E-5</v>
      </c>
      <c r="J17">
        <f t="array" ref="J17">KfFromP(テーブル2[[#This Row],[P]])</f>
        <v>0.46027765484939753</v>
      </c>
      <c r="K17">
        <f t="array" ref="K17">CpFFromP(テーブル2[[#This Row],[P]])</f>
        <v>10140.600460117175</v>
      </c>
      <c r="L17">
        <f t="array" ref="L17">SigmaFromP(テーブル2[[#This Row],[P]])</f>
        <v>3.6380461586323874E-3</v>
      </c>
      <c r="M17" s="22">
        <v>269</v>
      </c>
      <c r="N17">
        <v>2737.7640000000001</v>
      </c>
      <c r="O17" s="8">
        <v>8.7843467213758383E-5</v>
      </c>
      <c r="P17" s="8">
        <v>2.9843873572041598E-2</v>
      </c>
      <c r="Q17">
        <v>1.1773735336561952E-2</v>
      </c>
      <c r="R17">
        <v>4.2545000000000002</v>
      </c>
      <c r="S17" s="15">
        <v>955010.77454375022</v>
      </c>
      <c r="T17">
        <v>588.87222222222226</v>
      </c>
      <c r="U17" s="12">
        <f>+T17+BG17*S17*テーブル2[[#This Row],[Pw]]*R17/(N17*O17*K17)</f>
        <v>638.59356415800437</v>
      </c>
      <c r="V17">
        <v>0.03</v>
      </c>
      <c r="W17" s="8">
        <f t="shared" si="28"/>
        <v>1242494.4871012333</v>
      </c>
      <c r="X17">
        <v>1.6437499229920417E-2</v>
      </c>
      <c r="Y17">
        <f t="shared" si="31"/>
        <v>7.7997759423759687</v>
      </c>
      <c r="Z17">
        <f t="shared" si="29"/>
        <v>7.7997759564197757</v>
      </c>
      <c r="AA17">
        <f t="shared" si="32"/>
        <v>-1.4043807006203224E-8</v>
      </c>
      <c r="AB17">
        <f t="shared" si="33"/>
        <v>1.6281267644159479E-5</v>
      </c>
      <c r="AC17">
        <v>640.34658614454941</v>
      </c>
      <c r="AD17">
        <f t="shared" si="30"/>
        <v>28160.30498526575</v>
      </c>
      <c r="AE17">
        <f>+gettm2(AD17,AC17,AK17,AL17,テーブル2[[#This Row],[Fcorr]])</f>
        <v>638.59356457992499</v>
      </c>
      <c r="AF17" s="14">
        <f t="shared" si="34"/>
        <v>4.2192061755486066E-7</v>
      </c>
      <c r="AG17">
        <v>1.6309275365511767E-5</v>
      </c>
      <c r="AH17">
        <f t="shared" si="35"/>
        <v>26.813977177784075</v>
      </c>
      <c r="AI17">
        <f t="shared" si="36"/>
        <v>0.21606894314552855</v>
      </c>
      <c r="AJ17">
        <f t="shared" si="37"/>
        <v>30.778455569638329</v>
      </c>
      <c r="AK17">
        <f t="array" ref="AK17">+S17*テーブル2[[#This Row],[F_form]]/(E17*CpFromTP((テーブル2[[#This Row],[Tin]]+テーブル2[[#This Row],[Tf]])/2,テーブル2[[#This Row],[P]])*AI17)</f>
        <v>0.95814258747102898</v>
      </c>
      <c r="AL17">
        <f t="shared" si="38"/>
        <v>1.4487735538805233</v>
      </c>
      <c r="AM17">
        <f t="shared" si="39"/>
        <v>623.23870131168451</v>
      </c>
      <c r="AN17">
        <f t="shared" si="40"/>
        <v>2.1451910470204893E-8</v>
      </c>
      <c r="AO17">
        <f t="shared" si="41"/>
        <v>2.8007721352288562E-8</v>
      </c>
      <c r="AP17">
        <v>2.5182413985573286</v>
      </c>
      <c r="AQ17">
        <f t="shared" si="42"/>
        <v>3.7944106723492499E-5</v>
      </c>
      <c r="AR17">
        <f t="shared" si="43"/>
        <v>8.1686415434320279E-6</v>
      </c>
      <c r="AS17">
        <f t="shared" si="44"/>
        <v>15.415655519587537</v>
      </c>
      <c r="AT17">
        <f t="shared" si="45"/>
        <v>10.626917926103483</v>
      </c>
      <c r="AU17">
        <f t="shared" si="46"/>
        <v>2.2961469251874513</v>
      </c>
      <c r="AV17">
        <f t="shared" si="47"/>
        <v>0.22209447336987731</v>
      </c>
      <c r="AW17">
        <f t="shared" si="48"/>
        <v>1.2089362096043598E-2</v>
      </c>
      <c r="AX17">
        <f t="shared" si="49"/>
        <v>0.22209446389611892</v>
      </c>
      <c r="AY17">
        <f t="shared" si="50"/>
        <v>9.4737583888893084E-9</v>
      </c>
      <c r="AZ17">
        <f t="shared" si="51"/>
        <v>891419.29711468448</v>
      </c>
      <c r="BA17">
        <f t="shared" si="52"/>
        <v>1.5067700318655009E-5</v>
      </c>
      <c r="BB17" s="15">
        <f t="shared" si="53"/>
        <v>951676.56378213875</v>
      </c>
      <c r="BC17" s="20">
        <f t="shared" si="54"/>
        <v>-3334.2107616114663</v>
      </c>
      <c r="BD17" s="19">
        <f t="shared" si="55"/>
        <v>-0.34912807797423673</v>
      </c>
      <c r="BE17" s="15">
        <v>982919.73179999983</v>
      </c>
      <c r="BF17" s="16">
        <f>テーブル2[[#This Row],[q_P]]/テーブル2[[#This Row],[q_M]]</f>
        <v>0.96821391716224259</v>
      </c>
      <c r="BG17">
        <v>1</v>
      </c>
      <c r="BH17">
        <v>2.9461923127596282E-2</v>
      </c>
      <c r="BI17">
        <v>4.5999999999999999E-2</v>
      </c>
      <c r="BJ17">
        <v>5625</v>
      </c>
      <c r="BK17" s="21">
        <f>1+テーブル2[[#This Row],[A_corr]]*EXP(-テーブル2[[#This Row],[(Tsub-40)^2]]/テーブル2[[#This Row],[σ_corr]])</f>
        <v>1.045741196263406</v>
      </c>
      <c r="BL17">
        <f>テーブル2[[#This Row],[Ts]]-テーブル2[[#This Row],[Tin]]</f>
        <v>34.366479110914156</v>
      </c>
      <c r="BM17">
        <f>テーブル2[[#This Row],[q_P]]*0.000001</f>
        <v>0.95167656378213872</v>
      </c>
      <c r="BN17">
        <f>テーブル2[[#This Row],[Tsub]]</f>
        <v>34.366479110914156</v>
      </c>
      <c r="BO17">
        <f>テーブル2[[#This Row],[Fcorr]]</f>
        <v>1.045741196263406</v>
      </c>
      <c r="BP17">
        <f>(テーブル2[[#This Row],[Tsub]]-40)^2</f>
        <v>31.736557607766557</v>
      </c>
      <c r="BQ17" s="10">
        <v>0.94428405247274105</v>
      </c>
      <c r="BR17" s="33">
        <v>4.2670000000000003</v>
      </c>
    </row>
    <row r="18" spans="1:70" x14ac:dyDescent="0.15">
      <c r="A18" s="9" t="s">
        <v>102</v>
      </c>
      <c r="B18">
        <v>16547416.799999999</v>
      </c>
      <c r="C18" s="21" cm="1">
        <f t="array" ref="C18">TsatFromP(テーブル2[[#This Row],[P]])</f>
        <v>623.23870133313642</v>
      </c>
      <c r="D18">
        <f t="array" ref="D18">RhoGFromP(テーブル2[[#This Row],[P]])</f>
        <v>113.82300371015133</v>
      </c>
      <c r="E18">
        <f t="array" ref="E18">RhoFFromP(テーブル2[[#This Row],[P]])</f>
        <v>574.34988711113044</v>
      </c>
      <c r="F18">
        <f t="array" ref="F18">HgFromP(テーブル2[[#This Row],[P]])</f>
        <v>2563035.5779140079</v>
      </c>
      <c r="G18">
        <f t="array" ref="G18">HfFromP(テーブル2[[#This Row],[P]])</f>
        <v>1671616.2807993235</v>
      </c>
      <c r="H18">
        <f t="array" ref="H18">MuGFromP(テーブル2[[#This Row],[P]])</f>
        <v>2.3752482411014488E-5</v>
      </c>
      <c r="I18">
        <f t="array" ref="I18">MuFFromP(テーブル2[[#This Row],[P]])</f>
        <v>6.5759231557403181E-5</v>
      </c>
      <c r="J18">
        <f t="array" ref="J18">KfFromP(テーブル2[[#This Row],[P]])</f>
        <v>0.46027765484939753</v>
      </c>
      <c r="K18">
        <f t="array" ref="K18">CpFFromP(テーブル2[[#This Row],[P]])</f>
        <v>10140.600460117175</v>
      </c>
      <c r="L18">
        <f t="array" ref="L18">SigmaFromP(テーブル2[[#This Row],[P]])</f>
        <v>3.6380461586323874E-3</v>
      </c>
      <c r="M18">
        <v>270</v>
      </c>
      <c r="N18">
        <v>2730.9839999999995</v>
      </c>
      <c r="O18" s="8">
        <v>8.7843467213758383E-5</v>
      </c>
      <c r="P18" s="8">
        <v>2.9843873572041598E-2</v>
      </c>
      <c r="Q18">
        <v>1.1773735336561952E-2</v>
      </c>
      <c r="R18">
        <v>4.2545000000000002</v>
      </c>
      <c r="S18" s="15">
        <v>1303284.35984375</v>
      </c>
      <c r="T18">
        <v>556.42777777777769</v>
      </c>
      <c r="U18" s="12">
        <f>+T18+BG18*S18*テーブル2[[#This Row],[Pw]]*R18/(N18*O18*K18)</f>
        <v>624.44996717060576</v>
      </c>
      <c r="V18">
        <v>0.03</v>
      </c>
      <c r="W18" s="8">
        <f t="shared" si="28"/>
        <v>1239417.4824278767</v>
      </c>
      <c r="X18">
        <v>1.6451586070915805E-2</v>
      </c>
      <c r="Y18">
        <f t="shared" si="31"/>
        <v>7.7964359077637271</v>
      </c>
      <c r="Z18">
        <f t="shared" si="29"/>
        <v>7.7964359219427264</v>
      </c>
      <c r="AA18">
        <f t="shared" si="32"/>
        <v>-1.4178999308001039E-8</v>
      </c>
      <c r="AB18">
        <f t="shared" si="33"/>
        <v>1.6348198136847576E-5</v>
      </c>
      <c r="AC18">
        <v>654.30604421615317</v>
      </c>
      <c r="AD18">
        <f t="shared" si="30"/>
        <v>28102.6008843729</v>
      </c>
      <c r="AE18">
        <f>+gettm2(AD18,AC18,AK18,AL18,テーブル2[[#This Row],[Fcorr]])</f>
        <v>624.44996773565015</v>
      </c>
      <c r="AF18" s="14">
        <f t="shared" si="34"/>
        <v>5.6504438816773472E-7</v>
      </c>
      <c r="AG18">
        <v>1.6386418200945752E-5</v>
      </c>
      <c r="AH18">
        <f t="shared" si="35"/>
        <v>26.704199165038343</v>
      </c>
      <c r="AI18">
        <f t="shared" si="36"/>
        <v>0.21562618998281938</v>
      </c>
      <c r="AJ18">
        <f t="shared" si="37"/>
        <v>30.860670248717966</v>
      </c>
      <c r="AK18">
        <f t="array" ref="AK18">+S18*テーブル2[[#This Row],[F_form]]/(E18*CpFromTP((テーブル2[[#This Row],[Tin]]+テーブル2[[#This Row],[Tf]])/2,テーブル2[[#This Row],[P]])*AI18)</f>
        <v>1.739305041389795</v>
      </c>
      <c r="AL18">
        <f t="shared" si="38"/>
        <v>1.4487735538805233</v>
      </c>
      <c r="AM18">
        <f t="shared" si="39"/>
        <v>623.23870132546085</v>
      </c>
      <c r="AN18">
        <f t="shared" si="40"/>
        <v>7.6755668487749062E-9</v>
      </c>
      <c r="AO18">
        <f t="shared" si="41"/>
        <v>3.8220064098175196E-8</v>
      </c>
      <c r="AP18">
        <v>2.516750404658318</v>
      </c>
      <c r="AQ18">
        <f t="shared" si="42"/>
        <v>3.7989078358079382E-5</v>
      </c>
      <c r="AR18">
        <f t="shared" si="43"/>
        <v>8.2123191325219634E-6</v>
      </c>
      <c r="AS18">
        <f t="shared" si="44"/>
        <v>15.466325197984425</v>
      </c>
      <c r="AT18">
        <f t="shared" si="45"/>
        <v>10.643325463019297</v>
      </c>
      <c r="AU18">
        <f t="shared" si="46"/>
        <v>2.2949797183379776</v>
      </c>
      <c r="AV18">
        <f t="shared" si="47"/>
        <v>0.22177068632034036</v>
      </c>
      <c r="AW18">
        <f t="shared" si="48"/>
        <v>1.213906012810459E-2</v>
      </c>
      <c r="AX18">
        <f t="shared" si="49"/>
        <v>0.22177066907150705</v>
      </c>
      <c r="AY18">
        <f t="shared" si="50"/>
        <v>1.724883330611604E-8</v>
      </c>
      <c r="AZ18">
        <f t="shared" si="51"/>
        <v>891419.29711468448</v>
      </c>
      <c r="BA18">
        <f t="shared" si="52"/>
        <v>1.5094495778272021E-5</v>
      </c>
      <c r="BB18" s="15">
        <f t="shared" si="53"/>
        <v>1296377.1637133057</v>
      </c>
      <c r="BC18" s="20">
        <f t="shared" si="54"/>
        <v>-6907.1961304442957</v>
      </c>
      <c r="BD18" s="19">
        <f t="shared" si="55"/>
        <v>-0.52998381191901933</v>
      </c>
      <c r="BE18" s="15">
        <v>1274669.7582</v>
      </c>
      <c r="BF18" s="16">
        <f>テーブル2[[#This Row],[q_P]]/テーブル2[[#This Row],[q_M]]</f>
        <v>1.0170298270384632</v>
      </c>
      <c r="BG18">
        <v>1</v>
      </c>
      <c r="BH18">
        <v>-0.1313905309823481</v>
      </c>
      <c r="BI18">
        <v>4.5999999999999999E-2</v>
      </c>
      <c r="BJ18">
        <v>5625</v>
      </c>
      <c r="BK18" s="21">
        <f>1+テーブル2[[#This Row],[A_corr]]*EXP(-テーブル2[[#This Row],[(Tsub-40)^2]]/テーブル2[[#This Row],[σ_corr]])</f>
        <v>1.0404817062614953</v>
      </c>
      <c r="BL18">
        <f>テーブル2[[#This Row],[Ts]]-テーブル2[[#This Row],[Tin]]</f>
        <v>66.810923555358727</v>
      </c>
      <c r="BM18">
        <f>テーブル2[[#This Row],[q_P]]*0.000001</f>
        <v>1.2963771637133057</v>
      </c>
      <c r="BN18">
        <f>テーブル2[[#This Row],[Tsub]]</f>
        <v>66.810923555358727</v>
      </c>
      <c r="BO18">
        <f>テーブル2[[#This Row],[Fcorr]]</f>
        <v>1.0404817062614953</v>
      </c>
      <c r="BP18">
        <f>(テーブル2[[#This Row],[Tsub]]-40)^2</f>
        <v>718.82562189128942</v>
      </c>
      <c r="BQ18" s="10">
        <v>0.97937652577915113</v>
      </c>
      <c r="BR18" s="33">
        <v>4.2670000000000003</v>
      </c>
    </row>
    <row r="19" spans="1:70" x14ac:dyDescent="0.15">
      <c r="A19" s="9" t="s">
        <v>103</v>
      </c>
      <c r="B19">
        <v>14478989.699999999</v>
      </c>
      <c r="C19" s="21" cm="1">
        <f t="array" ref="C19">TsatFromP(テーブル2[[#This Row],[P]])</f>
        <v>612.48370255129544</v>
      </c>
      <c r="D19">
        <f t="array" ref="D19">RhoGFromP(テーブル2[[#This Row],[P]])</f>
        <v>91.580011978832957</v>
      </c>
      <c r="E19">
        <f t="array" ref="E19">RhoFFromP(テーブル2[[#This Row],[P]])</f>
        <v>612.82339669043313</v>
      </c>
      <c r="F19">
        <f t="array" ref="F19">HgFromP(テーブル2[[#This Row],[P]])</f>
        <v>2625160.7264840975</v>
      </c>
      <c r="G19">
        <f t="array" ref="G19">HfFromP(テーブル2[[#This Row],[P]])</f>
        <v>1589756.0808983105</v>
      </c>
      <c r="H19">
        <f t="array" ref="H19">MuGFromP(テーブル2[[#This Row],[P]])</f>
        <v>2.2406167499944594E-5</v>
      </c>
      <c r="I19">
        <f t="array" ref="I19">MuFFromP(テーブル2[[#This Row],[P]])</f>
        <v>7.0614185977515193E-5</v>
      </c>
      <c r="J19">
        <f t="array" ref="J19">KfFromP(テーブル2[[#This Row],[P]])</f>
        <v>0.48330738078477459</v>
      </c>
      <c r="K19">
        <f t="array" ref="K19">CpFFromP(テーブル2[[#This Row],[P]])</f>
        <v>8121.4802011854335</v>
      </c>
      <c r="L19">
        <f t="array" ref="L19">SigmaFromP(テーブル2[[#This Row],[P]])</f>
        <v>5.7214247636284644E-3</v>
      </c>
      <c r="M19" s="22">
        <v>271</v>
      </c>
      <c r="N19">
        <v>2688.9479999999999</v>
      </c>
      <c r="O19" s="8">
        <v>8.7843467213758383E-5</v>
      </c>
      <c r="P19" s="8">
        <v>2.9843873572041598E-2</v>
      </c>
      <c r="Q19">
        <v>1.1773735336561952E-2</v>
      </c>
      <c r="R19">
        <v>4.2545000000000002</v>
      </c>
      <c r="S19" s="15">
        <v>993451.99203124992</v>
      </c>
      <c r="T19">
        <v>557.53888888888889</v>
      </c>
      <c r="U19" s="12">
        <f>+T19+BG19*S19*テーブル2[[#This Row],[Pw]]*R19/(N19*O19*K19)</f>
        <v>623.29309544606917</v>
      </c>
      <c r="V19">
        <v>0.03</v>
      </c>
      <c r="W19" s="8">
        <f t="shared" si="28"/>
        <v>1136437.7149280838</v>
      </c>
      <c r="X19">
        <v>1.8069825945164094E-2</v>
      </c>
      <c r="Y19">
        <f t="shared" si="31"/>
        <v>7.4391448545865719</v>
      </c>
      <c r="Z19">
        <f t="shared" si="29"/>
        <v>7.4391448717583062</v>
      </c>
      <c r="AA19">
        <f t="shared" si="32"/>
        <v>-1.7171734256749005E-8</v>
      </c>
      <c r="AB19">
        <f t="shared" si="33"/>
        <v>2.5762736125966368E-5</v>
      </c>
      <c r="AC19">
        <v>633.96925237751282</v>
      </c>
      <c r="AD19">
        <f t="shared" si="30"/>
        <v>27005.214656034936</v>
      </c>
      <c r="AE19">
        <f>+gettm2(AD19,AC19,AK19,AL19,テーブル2[[#This Row],[Fcorr]])</f>
        <v>623.29309544606917</v>
      </c>
      <c r="AF19" s="14">
        <f t="shared" si="34"/>
        <v>0</v>
      </c>
      <c r="AG19">
        <v>2.5791874778117186E-5</v>
      </c>
      <c r="AH19">
        <f t="shared" si="35"/>
        <v>26.649769196813612</v>
      </c>
      <c r="AI19">
        <f t="shared" si="36"/>
        <v>0.20853504844415208</v>
      </c>
      <c r="AJ19">
        <f t="shared" si="37"/>
        <v>46.677259443769977</v>
      </c>
      <c r="AK19">
        <f t="array" ref="AK19">+S19*テーブル2[[#This Row],[F_form]]/(E19*CpFromTP((テーブル2[[#This Row],[Tin]]+テーブル2[[#This Row],[Tf]])/2,テーブル2[[#This Row],[P]])*AI19)</f>
        <v>1.2850518428458284</v>
      </c>
      <c r="AL19">
        <f t="shared" si="38"/>
        <v>1.186598293632519</v>
      </c>
      <c r="AM19">
        <f t="shared" si="39"/>
        <v>612.48370253968505</v>
      </c>
      <c r="AN19">
        <f t="shared" si="40"/>
        <v>1.1610381989157759E-8</v>
      </c>
      <c r="AO19">
        <f t="shared" si="41"/>
        <v>2.9138652150818758E-8</v>
      </c>
      <c r="AP19">
        <v>2.8856183113011831</v>
      </c>
      <c r="AQ19">
        <f t="shared" si="42"/>
        <v>5.4186575412714654E-5</v>
      </c>
      <c r="AR19">
        <f t="shared" si="43"/>
        <v>1.2910506715134003E-5</v>
      </c>
      <c r="AS19">
        <f t="shared" si="44"/>
        <v>23.364996793646668</v>
      </c>
      <c r="AT19">
        <f t="shared" si="45"/>
        <v>12.706195194617383</v>
      </c>
      <c r="AU19">
        <f t="shared" si="46"/>
        <v>2.6496870304503881</v>
      </c>
      <c r="AV19">
        <f t="shared" si="47"/>
        <v>0.23593128085079496</v>
      </c>
      <c r="AW19">
        <f t="shared" si="48"/>
        <v>1.6228633277820294E-2</v>
      </c>
      <c r="AX19">
        <f t="shared" si="49"/>
        <v>0.23593128003625569</v>
      </c>
      <c r="AY19">
        <f t="shared" si="50"/>
        <v>8.1453926936703169E-10</v>
      </c>
      <c r="AZ19">
        <f t="shared" si="51"/>
        <v>1035404.645585787</v>
      </c>
      <c r="BA19">
        <f t="shared" si="52"/>
        <v>1.8778150665491461E-5</v>
      </c>
      <c r="BB19" s="15">
        <f t="shared" si="53"/>
        <v>984605.11274772789</v>
      </c>
      <c r="BC19" s="20">
        <f t="shared" si="54"/>
        <v>-8846.8792835220229</v>
      </c>
      <c r="BD19" s="19">
        <f t="shared" si="55"/>
        <v>-0.89051905421552935</v>
      </c>
      <c r="BE19" s="15">
        <v>1180892.9639999999</v>
      </c>
      <c r="BF19" s="16">
        <f>テーブル2[[#This Row],[q_P]]/テーブル2[[#This Row],[q_M]]</f>
        <v>0.83378015007609785</v>
      </c>
      <c r="BG19">
        <v>1</v>
      </c>
      <c r="BH19">
        <v>3.7567660942059797E-3</v>
      </c>
      <c r="BI19">
        <v>4.5999999999999999E-2</v>
      </c>
      <c r="BJ19">
        <v>5625</v>
      </c>
      <c r="BK19" s="21">
        <f>1+テーブル2[[#This Row],[A_corr]]*EXP(-テーブル2[[#This Row],[(Tsub-40)^2]]/テーブル2[[#This Row],[σ_corr]])</f>
        <v>1.0442093003538542</v>
      </c>
      <c r="BL19">
        <f>テーブル2[[#This Row],[Ts]]-テーブル2[[#This Row],[Tin]]</f>
        <v>54.944813662406546</v>
      </c>
      <c r="BM19">
        <f>テーブル2[[#This Row],[q_P]]*0.000001</f>
        <v>0.98460511274772788</v>
      </c>
      <c r="BN19">
        <f>テーブル2[[#This Row],[Tsub]]</f>
        <v>54.944813662406546</v>
      </c>
      <c r="BO19">
        <f>テーブル2[[#This Row],[Fcorr]]</f>
        <v>1.0442093003538542</v>
      </c>
      <c r="BP19">
        <f>(テーブル2[[#This Row],[Tsub]]-40)^2</f>
        <v>223.34745540405333</v>
      </c>
      <c r="BQ19" s="10">
        <v>0.95632728001527822</v>
      </c>
      <c r="BR19" s="33">
        <v>4.2670000000000003</v>
      </c>
    </row>
    <row r="20" spans="1:70" x14ac:dyDescent="0.15">
      <c r="A20" s="9" t="s">
        <v>104</v>
      </c>
      <c r="B20">
        <v>16650838.154999999</v>
      </c>
      <c r="C20" s="21" cm="1">
        <f t="array" ref="C20">TsatFromP(テーブル2[[#This Row],[P]])</f>
        <v>623.7467472920838</v>
      </c>
      <c r="D20">
        <f t="array" ref="D20">RhoGFromP(テーブル2[[#This Row],[P]])</f>
        <v>115.08174830522883</v>
      </c>
      <c r="E20">
        <f t="array" ref="E20">RhoFFromP(テーブル2[[#This Row],[P]])</f>
        <v>572.29121245744955</v>
      </c>
      <c r="F20">
        <f t="array" ref="F20">HgFromP(テーブル2[[#This Row],[P]])</f>
        <v>2559557.8321399409</v>
      </c>
      <c r="G20">
        <f t="array" ref="G20">HfFromP(テーブル2[[#This Row],[P]])</f>
        <v>1675797.4223693286</v>
      </c>
      <c r="H20">
        <f t="array" ref="H20">MuGFromP(テーブル2[[#This Row],[P]])</f>
        <v>2.3829582904311094E-5</v>
      </c>
      <c r="I20">
        <f t="array" ref="I20">MuFFromP(テーブル2[[#This Row],[P]])</f>
        <v>6.5509940250288218E-5</v>
      </c>
      <c r="J20">
        <f t="array" ref="J20">KfFromP(テーブル2[[#This Row],[P]])</f>
        <v>0.45915472043015876</v>
      </c>
      <c r="K20">
        <f t="array" ref="K20">CpFFromP(テーブル2[[#This Row],[P]])</f>
        <v>10285.252806144354</v>
      </c>
      <c r="L20">
        <f t="array" ref="L20">SigmaFromP(テーブル2[[#This Row],[P]])</f>
        <v>3.5437208597502243E-3</v>
      </c>
      <c r="M20">
        <v>272</v>
      </c>
      <c r="N20">
        <v>2687.5920000000001</v>
      </c>
      <c r="O20" s="8">
        <v>8.7843467213758383E-5</v>
      </c>
      <c r="P20" s="8">
        <v>2.9843873572041598E-2</v>
      </c>
      <c r="Q20">
        <v>1.1773735336561952E-2</v>
      </c>
      <c r="R20">
        <v>4.2545000000000002</v>
      </c>
      <c r="S20" s="15">
        <v>1509189.0330422502</v>
      </c>
      <c r="T20">
        <v>529.53888888888889</v>
      </c>
      <c r="U20" s="12">
        <f>+T20+BG20*S20*テーブル2[[#This Row],[Pw]]*R20/(N20*O20*K20)</f>
        <v>608.4538924301321</v>
      </c>
      <c r="V20">
        <v>0.03</v>
      </c>
      <c r="W20" s="8">
        <f t="shared" si="28"/>
        <v>1224366.1886239857</v>
      </c>
      <c r="X20">
        <v>1.6462010911340728E-2</v>
      </c>
      <c r="Y20">
        <f t="shared" si="31"/>
        <v>7.7939669058850152</v>
      </c>
      <c r="Z20">
        <f t="shared" si="29"/>
        <v>7.7939669201516413</v>
      </c>
      <c r="AA20">
        <f t="shared" si="32"/>
        <v>-1.4266626102710234E-8</v>
      </c>
      <c r="AB20">
        <f t="shared" si="33"/>
        <v>1.6373376592761435E-5</v>
      </c>
      <c r="AC20">
        <v>665.1498440911912</v>
      </c>
      <c r="AD20">
        <f t="shared" si="30"/>
        <v>27770.121591671035</v>
      </c>
      <c r="AE20">
        <f>+gettm2(AD20,AC20,AK20,AL20,テーブル2[[#This Row],[Fcorr]])</f>
        <v>608.4538924301321</v>
      </c>
      <c r="AF20" s="14">
        <f t="shared" si="34"/>
        <v>0</v>
      </c>
      <c r="AG20">
        <v>1.6418983742515858E-5</v>
      </c>
      <c r="AH20">
        <f t="shared" si="35"/>
        <v>25.971826932633167</v>
      </c>
      <c r="AI20">
        <f t="shared" si="36"/>
        <v>0.21303095360291072</v>
      </c>
      <c r="AJ20">
        <f t="shared" si="37"/>
        <v>30.556165830194786</v>
      </c>
      <c r="AK20">
        <f t="array" ref="AK20">+S20*テーブル2[[#This Row],[F_form]]/(E20*CpFromTP((テーブル2[[#This Row],[Tin]]+テーブル2[[#This Row],[Tf]])/2,テーブル2[[#This Row],[P]])*AI20)</f>
        <v>2.3018556324018129</v>
      </c>
      <c r="AL20">
        <f t="shared" si="38"/>
        <v>1.4674493516224545</v>
      </c>
      <c r="AM20">
        <f t="shared" si="39"/>
        <v>623.74674728061336</v>
      </c>
      <c r="AN20">
        <f t="shared" si="40"/>
        <v>1.1470433491922449E-8</v>
      </c>
      <c r="AO20">
        <f t="shared" si="41"/>
        <v>4.5607149754423054E-8</v>
      </c>
      <c r="AP20">
        <v>2.4770787446502553</v>
      </c>
      <c r="AQ20">
        <f t="shared" si="42"/>
        <v>3.7872908952882429E-5</v>
      </c>
      <c r="AR20">
        <f t="shared" si="43"/>
        <v>8.2322954461351404E-6</v>
      </c>
      <c r="AS20">
        <f t="shared" si="44"/>
        <v>15.320520974991748</v>
      </c>
      <c r="AT20">
        <f t="shared" si="45"/>
        <v>10.595965849673767</v>
      </c>
      <c r="AU20">
        <f t="shared" si="46"/>
        <v>2.2572687092998787</v>
      </c>
      <c r="AV20">
        <f t="shared" si="47"/>
        <v>0.21981003535037669</v>
      </c>
      <c r="AW20">
        <f t="shared" si="48"/>
        <v>1.2274049854025896E-2</v>
      </c>
      <c r="AX20">
        <f t="shared" si="49"/>
        <v>0.21981002378344977</v>
      </c>
      <c r="AY20">
        <f t="shared" si="50"/>
        <v>1.1566926916284359E-8</v>
      </c>
      <c r="AZ20">
        <f t="shared" si="51"/>
        <v>883760.40977061237</v>
      </c>
      <c r="BA20">
        <f t="shared" si="52"/>
        <v>1.5289343964004583E-5</v>
      </c>
      <c r="BB20" s="15">
        <f t="shared" si="53"/>
        <v>1508675.0224698167</v>
      </c>
      <c r="BC20" s="20">
        <f t="shared" si="54"/>
        <v>-514.01057243347168</v>
      </c>
      <c r="BD20" s="19">
        <f t="shared" si="55"/>
        <v>-3.4058726983810635E-2</v>
      </c>
      <c r="BE20" s="15">
        <v>1500428.7072000001</v>
      </c>
      <c r="BF20" s="16">
        <f>テーブル2[[#This Row],[q_P]]/テーブル2[[#This Row],[q_M]]</f>
        <v>1.0054959727378219</v>
      </c>
      <c r="BG20">
        <v>1</v>
      </c>
      <c r="BH20">
        <v>-0.27208090547888958</v>
      </c>
      <c r="BI20">
        <v>4.5999999999999999E-2</v>
      </c>
      <c r="BJ20">
        <v>5625</v>
      </c>
      <c r="BK20" s="21">
        <f>1+テーブル2[[#This Row],[A_corr]]*EXP(-テーブル2[[#This Row],[(Tsub-40)^2]]/テーブル2[[#This Row],[σ_corr]])</f>
        <v>1.0272824280625039</v>
      </c>
      <c r="BL20">
        <f>テーブル2[[#This Row],[Ts]]-テーブル2[[#This Row],[Tin]]</f>
        <v>94.207858403194905</v>
      </c>
      <c r="BM20">
        <f>テーブル2[[#This Row],[q_P]]*0.000001</f>
        <v>1.5086750224698167</v>
      </c>
      <c r="BN20">
        <f>テーブル2[[#This Row],[Tsub]]</f>
        <v>94.207858403194905</v>
      </c>
      <c r="BO20">
        <f>テーブル2[[#This Row],[Fcorr]]</f>
        <v>1.0272824280625039</v>
      </c>
      <c r="BP20">
        <f>(テーブル2[[#This Row],[Tsub]]-40)^2</f>
        <v>2938.4919126608283</v>
      </c>
      <c r="BQ20" s="10">
        <v>0.97747276612651646</v>
      </c>
      <c r="BR20" s="33">
        <v>4.2670000000000003</v>
      </c>
    </row>
    <row r="21" spans="1:70" x14ac:dyDescent="0.15">
      <c r="A21" s="9" t="s">
        <v>105</v>
      </c>
      <c r="B21">
        <v>16650838.154999999</v>
      </c>
      <c r="C21" s="21" cm="1">
        <f t="array" ref="C21">TsatFromP(テーブル2[[#This Row],[P]])</f>
        <v>623.7467472920838</v>
      </c>
      <c r="D21">
        <f t="array" ref="D21">RhoGFromP(テーブル2[[#This Row],[P]])</f>
        <v>115.08174830522883</v>
      </c>
      <c r="E21">
        <f t="array" ref="E21">RhoFFromP(テーブル2[[#This Row],[P]])</f>
        <v>572.29121245744955</v>
      </c>
      <c r="F21">
        <f t="array" ref="F21">HgFromP(テーブル2[[#This Row],[P]])</f>
        <v>2559557.8321399409</v>
      </c>
      <c r="G21">
        <f t="array" ref="G21">HfFromP(テーブル2[[#This Row],[P]])</f>
        <v>1675797.4223693286</v>
      </c>
      <c r="H21">
        <f t="array" ref="H21">MuGFromP(テーブル2[[#This Row],[P]])</f>
        <v>2.3829582904311094E-5</v>
      </c>
      <c r="I21">
        <f t="array" ref="I21">MuFFromP(テーブル2[[#This Row],[P]])</f>
        <v>6.5509940250288218E-5</v>
      </c>
      <c r="J21">
        <f t="array" ref="J21">KfFromP(テーブル2[[#This Row],[P]])</f>
        <v>0.45915472043015876</v>
      </c>
      <c r="K21">
        <f t="array" ref="K21">CpFFromP(テーブル2[[#This Row],[P]])</f>
        <v>10285.252806144354</v>
      </c>
      <c r="L21">
        <f t="array" ref="L21">SigmaFromP(テーブル2[[#This Row],[P]])</f>
        <v>3.5437208597502243E-3</v>
      </c>
      <c r="M21" s="22">
        <v>273</v>
      </c>
      <c r="N21">
        <v>2770.3080000000004</v>
      </c>
      <c r="O21" s="8">
        <v>8.7843467213758383E-5</v>
      </c>
      <c r="P21" s="8">
        <v>2.9843873572041598E-2</v>
      </c>
      <c r="Q21">
        <v>1.1773735336561952E-2</v>
      </c>
      <c r="R21">
        <v>4.2545000000000002</v>
      </c>
      <c r="S21" s="15">
        <v>1746530.1511437499</v>
      </c>
      <c r="T21">
        <v>504.48333333333335</v>
      </c>
      <c r="U21" s="12">
        <f>+T21+BG21*S21*テーブル2[[#This Row],[Pw]]*R21/(N21*O21*K21)</f>
        <v>593.08202540398497</v>
      </c>
      <c r="V21">
        <v>0.03</v>
      </c>
      <c r="W21" s="8">
        <f t="shared" si="28"/>
        <v>1262048.4981628675</v>
      </c>
      <c r="X21">
        <v>1.6290988941210699E-2</v>
      </c>
      <c r="Y21">
        <f t="shared" si="31"/>
        <v>7.834770430461246</v>
      </c>
      <c r="Z21">
        <f t="shared" si="29"/>
        <v>7.8347704419592903</v>
      </c>
      <c r="AA21">
        <f t="shared" si="32"/>
        <v>-1.1498044294455667E-8</v>
      </c>
      <c r="AB21">
        <f t="shared" si="33"/>
        <v>1.5571994950689427E-5</v>
      </c>
      <c r="AC21">
        <v>673.56223901705573</v>
      </c>
      <c r="AD21">
        <f t="shared" si="30"/>
        <v>28475.724309918431</v>
      </c>
      <c r="AE21">
        <f>+gettm2(AD21,AC21,AK21,AL21,テーブル2[[#This Row],[Fcorr]])</f>
        <v>593.08202615068217</v>
      </c>
      <c r="AF21" s="14">
        <f t="shared" si="34"/>
        <v>7.4669719651865307E-7</v>
      </c>
      <c r="AG21">
        <v>1.5623012059238102E-5</v>
      </c>
      <c r="AH21">
        <f t="shared" si="35"/>
        <v>27.308415172020059</v>
      </c>
      <c r="AI21">
        <f t="shared" si="36"/>
        <v>0.21844379342202522</v>
      </c>
      <c r="AJ21">
        <f t="shared" si="37"/>
        <v>29.813595290536643</v>
      </c>
      <c r="AK21">
        <f t="array" ref="AK21">+S21*テーブル2[[#This Row],[F_form]]/(E21*CpFromTP((テーブル2[[#This Row],[Tin]]+テーブル2[[#This Row],[Tf]])/2,テーブル2[[#This Row],[P]])*AI21)</f>
        <v>2.7817459820139714</v>
      </c>
      <c r="AL21">
        <f t="shared" si="38"/>
        <v>1.4674493516224545</v>
      </c>
      <c r="AM21">
        <f t="shared" si="39"/>
        <v>623.74674728300647</v>
      </c>
      <c r="AN21">
        <f t="shared" si="40"/>
        <v>9.0773255578824319E-9</v>
      </c>
      <c r="AO21">
        <f t="shared" si="41"/>
        <v>5.1017108548674731E-8</v>
      </c>
      <c r="AP21">
        <v>2.5106634454397092</v>
      </c>
      <c r="AQ21">
        <f t="shared" si="42"/>
        <v>3.6866447501173083E-5</v>
      </c>
      <c r="AR21">
        <f t="shared" si="43"/>
        <v>7.8370145838933883E-6</v>
      </c>
      <c r="AS21">
        <f t="shared" si="44"/>
        <v>14.955475948190843</v>
      </c>
      <c r="AT21">
        <f t="shared" si="45"/>
        <v>10.475387584654758</v>
      </c>
      <c r="AU21">
        <f t="shared" si="46"/>
        <v>2.2882834015579716</v>
      </c>
      <c r="AV21">
        <f t="shared" si="47"/>
        <v>0.2223800438817376</v>
      </c>
      <c r="AW21">
        <f t="shared" si="48"/>
        <v>1.1673306435515538E-2</v>
      </c>
      <c r="AX21">
        <f t="shared" si="49"/>
        <v>0.22238004044181903</v>
      </c>
      <c r="AY21">
        <f t="shared" si="50"/>
        <v>3.4399185722122638E-9</v>
      </c>
      <c r="AZ21">
        <f t="shared" si="51"/>
        <v>883760.40977061237</v>
      </c>
      <c r="BA21">
        <f t="shared" si="52"/>
        <v>1.4683946415891045E-5</v>
      </c>
      <c r="BB21" s="15">
        <f t="shared" si="53"/>
        <v>1757214.0601004327</v>
      </c>
      <c r="BC21" s="20">
        <f t="shared" si="54"/>
        <v>10683.908956682775</v>
      </c>
      <c r="BD21" s="19">
        <f t="shared" si="55"/>
        <v>0.61172198771868924</v>
      </c>
      <c r="BE21" s="15">
        <v>1757446.5875999997</v>
      </c>
      <c r="BF21" s="16">
        <f>テーブル2[[#This Row],[q_P]]/テーブル2[[#This Row],[q_M]]</f>
        <v>0.99986769014705335</v>
      </c>
      <c r="BG21">
        <v>1</v>
      </c>
      <c r="BH21">
        <v>-0.40001197272001127</v>
      </c>
      <c r="BI21">
        <v>4.5999999999999999E-2</v>
      </c>
      <c r="BJ21">
        <v>5625</v>
      </c>
      <c r="BK21" s="21">
        <f>1+テーブル2[[#This Row],[A_corr]]*EXP(-テーブル2[[#This Row],[(Tsub-40)^2]]/テーブル2[[#This Row],[σ_corr]])</f>
        <v>1.0150551322222299</v>
      </c>
      <c r="BL21">
        <f>テーブル2[[#This Row],[Ts]]-テーブル2[[#This Row],[Tin]]</f>
        <v>119.26341395875045</v>
      </c>
      <c r="BM21">
        <f>テーブル2[[#This Row],[q_P]]*0.000001</f>
        <v>1.7572140601004327</v>
      </c>
      <c r="BN21">
        <f>テーブル2[[#This Row],[Tsub]]</f>
        <v>119.26341395875045</v>
      </c>
      <c r="BO21">
        <f>テーブル2[[#This Row],[Fcorr]]</f>
        <v>1.0150551322222299</v>
      </c>
      <c r="BP21">
        <f>(テーブル2[[#This Row],[Tsub]]-40)^2</f>
        <v>6282.6887923962349</v>
      </c>
      <c r="BQ21" s="10">
        <v>0.98813455059064659</v>
      </c>
      <c r="BR21" s="33">
        <v>4.2670000000000003</v>
      </c>
    </row>
    <row r="22" spans="1:70" x14ac:dyDescent="0.15">
      <c r="A22" s="9" t="s">
        <v>106</v>
      </c>
      <c r="B22">
        <v>14478989.699999999</v>
      </c>
      <c r="C22" s="21" cm="1">
        <f t="array" ref="C22">TsatFromP(テーブル2[[#This Row],[P]])</f>
        <v>612.48370255129544</v>
      </c>
      <c r="D22">
        <f t="array" ref="D22">RhoGFromP(テーブル2[[#This Row],[P]])</f>
        <v>91.580011978832957</v>
      </c>
      <c r="E22">
        <f t="array" ref="E22">RhoFFromP(テーブル2[[#This Row],[P]])</f>
        <v>612.82339669043313</v>
      </c>
      <c r="F22">
        <f t="array" ref="F22">HgFromP(テーブル2[[#This Row],[P]])</f>
        <v>2625160.7264840975</v>
      </c>
      <c r="G22">
        <f t="array" ref="G22">HfFromP(テーブル2[[#This Row],[P]])</f>
        <v>1589756.0808983105</v>
      </c>
      <c r="H22">
        <f t="array" ref="H22">MuGFromP(テーブル2[[#This Row],[P]])</f>
        <v>2.2406167499944594E-5</v>
      </c>
      <c r="I22">
        <f t="array" ref="I22">MuFFromP(テーブル2[[#This Row],[P]])</f>
        <v>7.0614185977515193E-5</v>
      </c>
      <c r="J22">
        <f t="array" ref="J22">KfFromP(テーブル2[[#This Row],[P]])</f>
        <v>0.48330738078477459</v>
      </c>
      <c r="K22">
        <f t="array" ref="K22">CpFFromP(テーブル2[[#This Row],[P]])</f>
        <v>8121.4802011854335</v>
      </c>
      <c r="L22">
        <f t="array" ref="L22">SigmaFromP(テーブル2[[#This Row],[P]])</f>
        <v>5.7214247636284644E-3</v>
      </c>
      <c r="M22">
        <v>274</v>
      </c>
      <c r="N22">
        <v>2722.848</v>
      </c>
      <c r="O22" s="8">
        <v>8.7843467213758383E-5</v>
      </c>
      <c r="P22" s="8">
        <v>2.9843873572041598E-2</v>
      </c>
      <c r="Q22">
        <v>1.1773735336561952E-2</v>
      </c>
      <c r="R22">
        <v>4.2545000000000002</v>
      </c>
      <c r="S22" s="15">
        <v>1240031.5992187501</v>
      </c>
      <c r="T22">
        <v>528.26111111111106</v>
      </c>
      <c r="U22" s="12">
        <f>+T22+BG22*S22*テーブル2[[#This Row],[Pw]]*R22/(N22*O22*K22)</f>
        <v>609.31398433161041</v>
      </c>
      <c r="V22">
        <v>0.03</v>
      </c>
      <c r="W22" s="8">
        <f t="shared" si="28"/>
        <v>1150764.9680159315</v>
      </c>
      <c r="X22">
        <v>1.7987417136489485E-2</v>
      </c>
      <c r="Y22">
        <f t="shared" si="31"/>
        <v>7.456166489642114</v>
      </c>
      <c r="Z22">
        <f t="shared" si="29"/>
        <v>7.4561665009139944</v>
      </c>
      <c r="AA22">
        <f t="shared" si="32"/>
        <v>-1.1271880318020067E-8</v>
      </c>
      <c r="AB22">
        <f t="shared" si="33"/>
        <v>2.5240337618482405E-5</v>
      </c>
      <c r="AC22">
        <v>642.32473294466126</v>
      </c>
      <c r="AD22">
        <f t="shared" si="30"/>
        <v>27283.246476804561</v>
      </c>
      <c r="AE22">
        <f>+gettm2(AD22,AC22,AK22,AL22,テーブル2[[#This Row],[Fcorr]])</f>
        <v>609.31398433161041</v>
      </c>
      <c r="AF22" s="14">
        <f t="shared" si="34"/>
        <v>0</v>
      </c>
      <c r="AG22">
        <v>2.5276382604067552E-5</v>
      </c>
      <c r="AH22">
        <f t="shared" si="35"/>
        <v>27.201338667224068</v>
      </c>
      <c r="AI22">
        <f t="shared" si="36"/>
        <v>0.21068201820357418</v>
      </c>
      <c r="AJ22">
        <f t="shared" si="37"/>
        <v>46.215299429149375</v>
      </c>
      <c r="AK22">
        <f t="array" ref="AK22">+S22*テーブル2[[#This Row],[F_form]]/(E22*CpFromTP((テーブル2[[#This Row],[Tin]]+テーブル2[[#This Row],[Tf]])/2,テーブル2[[#This Row],[P]])*AI22)</f>
        <v>1.7874518765933995</v>
      </c>
      <c r="AL22">
        <f t="shared" si="38"/>
        <v>1.186598293632519</v>
      </c>
      <c r="AM22">
        <f t="shared" si="39"/>
        <v>612.48370252649647</v>
      </c>
      <c r="AN22">
        <f t="shared" si="40"/>
        <v>2.4798964659566991E-8</v>
      </c>
      <c r="AO22">
        <f t="shared" si="41"/>
        <v>3.604498558514664E-8</v>
      </c>
      <c r="AP22">
        <v>2.903678857779104</v>
      </c>
      <c r="AQ22">
        <f t="shared" si="42"/>
        <v>5.351460326956076E-5</v>
      </c>
      <c r="AR22">
        <f t="shared" si="43"/>
        <v>1.2656213794826349E-5</v>
      </c>
      <c r="AS22">
        <f t="shared" si="44"/>
        <v>23.140602012928269</v>
      </c>
      <c r="AT22">
        <f t="shared" si="45"/>
        <v>12.657943687716458</v>
      </c>
      <c r="AU22">
        <f t="shared" si="46"/>
        <v>2.6668011224352957</v>
      </c>
      <c r="AV22">
        <f t="shared" si="47"/>
        <v>0.23687773534380829</v>
      </c>
      <c r="AW22">
        <f t="shared" si="48"/>
        <v>1.5899560551950426E-2</v>
      </c>
      <c r="AX22">
        <f t="shared" si="49"/>
        <v>0.23687773379779747</v>
      </c>
      <c r="AY22">
        <f t="shared" si="50"/>
        <v>1.5460108193643407E-9</v>
      </c>
      <c r="AZ22">
        <f t="shared" si="51"/>
        <v>1035404.645585787</v>
      </c>
      <c r="BA22">
        <f t="shared" si="52"/>
        <v>1.8429931783328039E-5</v>
      </c>
      <c r="BB22" s="15">
        <f t="shared" si="53"/>
        <v>1240985.1234315147</v>
      </c>
      <c r="BC22" s="20">
        <f t="shared" si="54"/>
        <v>953.52421276457608</v>
      </c>
      <c r="BD22" s="19">
        <f t="shared" si="55"/>
        <v>7.6895154394881496E-2</v>
      </c>
      <c r="BE22" s="15">
        <v>1389285.8399999999</v>
      </c>
      <c r="BF22" s="16">
        <f>テーブル2[[#This Row],[q_P]]/テーブル2[[#This Row],[q_M]]</f>
        <v>0.89325399259198879</v>
      </c>
      <c r="BG22">
        <v>1</v>
      </c>
      <c r="BH22">
        <v>-0.11111461650440628</v>
      </c>
      <c r="BI22">
        <v>4.5999999999999999E-2</v>
      </c>
      <c r="BJ22">
        <v>5625</v>
      </c>
      <c r="BK22" s="21">
        <f>1+テーブル2[[#This Row],[A_corr]]*EXP(-テーブル2[[#This Row],[(Tsub-40)^2]]/テーブル2[[#This Row],[σ_corr]])</f>
        <v>1.0324913042158437</v>
      </c>
      <c r="BL22">
        <f>テーブル2[[#This Row],[Ts]]-テーブル2[[#This Row],[Tin]]</f>
        <v>84.222591440184374</v>
      </c>
      <c r="BM22">
        <f>テーブル2[[#This Row],[q_P]]*0.000001</f>
        <v>1.2409851234315146</v>
      </c>
      <c r="BN22">
        <f>テーブル2[[#This Row],[Tsub]]</f>
        <v>84.222591440184374</v>
      </c>
      <c r="BO22">
        <f>テーブル2[[#This Row],[Fcorr]]</f>
        <v>1.0324913042158437</v>
      </c>
      <c r="BP22">
        <f>(テーブル2[[#This Row],[Tsub]]-40)^2</f>
        <v>1955.6375936854683</v>
      </c>
      <c r="BQ22" s="10">
        <v>1.0002226381708179</v>
      </c>
      <c r="BR22" s="33">
        <v>4.2670000000000003</v>
      </c>
    </row>
    <row r="23" spans="1:70" x14ac:dyDescent="0.15">
      <c r="A23" s="9" t="s">
        <v>107</v>
      </c>
      <c r="B23">
        <v>14478989.699999999</v>
      </c>
      <c r="C23" s="21" cm="1">
        <f t="array" ref="C23">TsatFromP(テーブル2[[#This Row],[P]])</f>
        <v>612.48370255129544</v>
      </c>
      <c r="D23">
        <f t="array" ref="D23">RhoGFromP(テーブル2[[#This Row],[P]])</f>
        <v>91.580011978832957</v>
      </c>
      <c r="E23">
        <f t="array" ref="E23">RhoFFromP(テーブル2[[#This Row],[P]])</f>
        <v>612.82339669043313</v>
      </c>
      <c r="F23">
        <f t="array" ref="F23">HgFromP(テーブル2[[#This Row],[P]])</f>
        <v>2625160.7264840975</v>
      </c>
      <c r="G23">
        <f t="array" ref="G23">HfFromP(テーブル2[[#This Row],[P]])</f>
        <v>1589756.0808983105</v>
      </c>
      <c r="H23">
        <f t="array" ref="H23">MuGFromP(テーブル2[[#This Row],[P]])</f>
        <v>2.2406167499944594E-5</v>
      </c>
      <c r="I23">
        <f t="array" ref="I23">MuFFromP(テーブル2[[#This Row],[P]])</f>
        <v>7.0614185977515193E-5</v>
      </c>
      <c r="J23">
        <f t="array" ref="J23">KfFromP(テーブル2[[#This Row],[P]])</f>
        <v>0.48330738078477459</v>
      </c>
      <c r="K23">
        <f t="array" ref="K23">CpFFromP(テーブル2[[#This Row],[P]])</f>
        <v>8121.4802011854335</v>
      </c>
      <c r="L23">
        <f t="array" ref="L23">SigmaFromP(テーブル2[[#This Row],[P]])</f>
        <v>5.7214247636284644E-3</v>
      </c>
      <c r="M23" s="22">
        <v>275</v>
      </c>
      <c r="N23">
        <v>3354.7440000000001</v>
      </c>
      <c r="O23" s="8">
        <v>8.7843467213758383E-5</v>
      </c>
      <c r="P23" s="8">
        <v>2.9843873572041598E-2</v>
      </c>
      <c r="Q23">
        <v>1.1773735336561952E-2</v>
      </c>
      <c r="R23">
        <v>4.2545000000000002</v>
      </c>
      <c r="S23" s="15">
        <v>754742.10775625007</v>
      </c>
      <c r="T23">
        <v>590.26111111111106</v>
      </c>
      <c r="U23" s="12">
        <f>+T23+BG23*S23*テーブル2[[#This Row],[Pw]]*R23/(N23*O23*K23)</f>
        <v>630.30149714631182</v>
      </c>
      <c r="V23">
        <v>0.03</v>
      </c>
      <c r="W23" s="8">
        <f t="shared" si="28"/>
        <v>1417824.965573414</v>
      </c>
      <c r="X23">
        <v>1.6693187942087306E-2</v>
      </c>
      <c r="Y23">
        <f t="shared" si="31"/>
        <v>7.7398110504563666</v>
      </c>
      <c r="Z23">
        <f t="shared" si="29"/>
        <v>7.7398110599011058</v>
      </c>
      <c r="AA23">
        <f t="shared" si="32"/>
        <v>-9.4447392129382024E-9</v>
      </c>
      <c r="AB23">
        <f t="shared" si="33"/>
        <v>1.7916480839867945E-5</v>
      </c>
      <c r="AC23">
        <v>623.0283735547456</v>
      </c>
      <c r="AD23">
        <f t="shared" si="30"/>
        <v>32383.014299600702</v>
      </c>
      <c r="AE23">
        <f>+gettm2(AD23,AC23,AK23,AL23,テーブル2[[#This Row],[Fcorr]])</f>
        <v>630.30149738660975</v>
      </c>
      <c r="AF23" s="14">
        <f t="shared" si="34"/>
        <v>2.4029793621593853E-7</v>
      </c>
      <c r="AG23">
        <v>1.7932712125523776E-5</v>
      </c>
      <c r="AH23">
        <f t="shared" si="35"/>
        <v>38.320637728568364</v>
      </c>
      <c r="AI23">
        <f t="shared" si="36"/>
        <v>0.25006257279372485</v>
      </c>
      <c r="AJ23">
        <f t="shared" si="37"/>
        <v>38.916883345564514</v>
      </c>
      <c r="AK23">
        <f t="array" ref="AK23">+S23*テーブル2[[#This Row],[F_form]]/(E23*CpFromTP((テーブル2[[#This Row],[Tin]]+テーブル2[[#This Row],[Tf]])/2,テーブル2[[#This Row],[P]])*AI23)</f>
        <v>0.64830338409727395</v>
      </c>
      <c r="AL23">
        <f t="shared" si="38"/>
        <v>1.186598293632519</v>
      </c>
      <c r="AM23">
        <f t="shared" si="39"/>
        <v>612.48370254561371</v>
      </c>
      <c r="AN23">
        <f t="shared" si="40"/>
        <v>5.6817270888132043E-9</v>
      </c>
      <c r="AO23">
        <f t="shared" si="41"/>
        <v>1.623128565583033E-8</v>
      </c>
      <c r="AP23">
        <v>3.2044830704982417</v>
      </c>
      <c r="AQ23">
        <f t="shared" si="42"/>
        <v>4.3939338249198122E-5</v>
      </c>
      <c r="AR23">
        <f t="shared" si="43"/>
        <v>8.974471705589803E-6</v>
      </c>
      <c r="AS23">
        <f t="shared" si="44"/>
        <v>19.476053929255091</v>
      </c>
      <c r="AT23">
        <f t="shared" si="45"/>
        <v>11.795928536637296</v>
      </c>
      <c r="AU23">
        <f t="shared" si="46"/>
        <v>2.9497202383624401</v>
      </c>
      <c r="AV23">
        <f t="shared" si="47"/>
        <v>0.25476283213580153</v>
      </c>
      <c r="AW23">
        <f t="shared" si="48"/>
        <v>1.1286068209434185E-2</v>
      </c>
      <c r="AX23">
        <f t="shared" si="49"/>
        <v>0.25476283060750005</v>
      </c>
      <c r="AY23">
        <f t="shared" si="50"/>
        <v>1.5283014853650911E-9</v>
      </c>
      <c r="AZ23">
        <f t="shared" si="51"/>
        <v>1035404.645585787</v>
      </c>
      <c r="BA23">
        <f t="shared" si="52"/>
        <v>1.371183347907852E-5</v>
      </c>
      <c r="BB23" s="15">
        <f t="shared" si="53"/>
        <v>751108.77798629203</v>
      </c>
      <c r="BC23" s="20">
        <f t="shared" si="54"/>
        <v>-3633.3297699580435</v>
      </c>
      <c r="BD23" s="19">
        <f t="shared" si="55"/>
        <v>-0.48140016737100566</v>
      </c>
      <c r="BE23" s="15">
        <v>1041964.3799999998</v>
      </c>
      <c r="BF23" s="16">
        <f>テーブル2[[#This Row],[q_P]]/テーブル2[[#This Row],[q_M]]</f>
        <v>0.72085840207540708</v>
      </c>
      <c r="BG23">
        <v>1</v>
      </c>
      <c r="BH23">
        <v>9.9644021126698221E-2</v>
      </c>
      <c r="BI23">
        <v>4.5999999999999999E-2</v>
      </c>
      <c r="BJ23">
        <v>5625</v>
      </c>
      <c r="BK23" s="21">
        <f>1+テーブル2[[#This Row],[A_corr]]*EXP(-テーブル2[[#This Row],[(Tsub-40)^2]]/テーブル2[[#This Row],[σ_corr]])</f>
        <v>1.043486788240767</v>
      </c>
      <c r="BL23">
        <f>テーブル2[[#This Row],[Ts]]-テーブル2[[#This Row],[Tin]]</f>
        <v>22.222591440184374</v>
      </c>
      <c r="BM23">
        <f>テーブル2[[#This Row],[q_P]]*0.000001</f>
        <v>0.75110877798629194</v>
      </c>
      <c r="BN23">
        <f>テーブル2[[#This Row],[Tsub]]</f>
        <v>22.222591440184374</v>
      </c>
      <c r="BO23">
        <f>テーブル2[[#This Row],[Fcorr]]</f>
        <v>1.043486788240767</v>
      </c>
      <c r="BP23">
        <f>(テーブル2[[#This Row],[Tsub]]-40)^2</f>
        <v>316.03625510260588</v>
      </c>
      <c r="BQ23" s="10">
        <v>0.9781936688123023</v>
      </c>
      <c r="BR23" s="33">
        <v>4.2670000000000003</v>
      </c>
    </row>
    <row r="24" spans="1:70" x14ac:dyDescent="0.15">
      <c r="A24" s="9" t="s">
        <v>108</v>
      </c>
      <c r="B24">
        <v>16547416.799999999</v>
      </c>
      <c r="C24" s="21" cm="1">
        <f t="array" ref="C24">TsatFromP(テーブル2[[#This Row],[P]])</f>
        <v>623.23870133313642</v>
      </c>
      <c r="D24">
        <f t="array" ref="D24">RhoGFromP(テーブル2[[#This Row],[P]])</f>
        <v>113.82300371015133</v>
      </c>
      <c r="E24">
        <f t="array" ref="E24">RhoFFromP(テーブル2[[#This Row],[P]])</f>
        <v>574.34988711113044</v>
      </c>
      <c r="F24">
        <f t="array" ref="F24">HgFromP(テーブル2[[#This Row],[P]])</f>
        <v>2563035.5779140079</v>
      </c>
      <c r="G24">
        <f t="array" ref="G24">HfFromP(テーブル2[[#This Row],[P]])</f>
        <v>1671616.2807993235</v>
      </c>
      <c r="H24">
        <f t="array" ref="H24">MuGFromP(テーブル2[[#This Row],[P]])</f>
        <v>2.3752482411014488E-5</v>
      </c>
      <c r="I24">
        <f t="array" ref="I24">MuFFromP(テーブル2[[#This Row],[P]])</f>
        <v>6.5759231557403181E-5</v>
      </c>
      <c r="J24">
        <f t="array" ref="J24">KfFromP(テーブル2[[#This Row],[P]])</f>
        <v>0.46027765484939753</v>
      </c>
      <c r="K24">
        <f t="array" ref="K24">CpFFromP(テーブル2[[#This Row],[P]])</f>
        <v>10140.600460117175</v>
      </c>
      <c r="L24">
        <f t="array" ref="L24">SigmaFromP(テーブル2[[#This Row],[P]])</f>
        <v>3.6380461586323874E-3</v>
      </c>
      <c r="M24">
        <v>276</v>
      </c>
      <c r="N24">
        <v>3404.9160000000002</v>
      </c>
      <c r="O24" s="8">
        <v>8.7843467213758383E-5</v>
      </c>
      <c r="P24" s="8">
        <v>2.9843873572041598E-2</v>
      </c>
      <c r="Q24">
        <v>1.1773735336561952E-2</v>
      </c>
      <c r="R24">
        <v>4.2545000000000002</v>
      </c>
      <c r="S24" s="15">
        <v>1137258.4139062499</v>
      </c>
      <c r="T24">
        <v>589.70555555555552</v>
      </c>
      <c r="U24" s="12">
        <f>+T24+BG24*S24*テーブル2[[#This Row],[Pw]]*R24/(N24*O24*K24)</f>
        <v>637.31392800284368</v>
      </c>
      <c r="V24">
        <v>0.03</v>
      </c>
      <c r="W24" s="8">
        <f t="shared" si="28"/>
        <v>1545271.7469594833</v>
      </c>
      <c r="X24">
        <v>1.5267549608855889E-2</v>
      </c>
      <c r="Y24">
        <f t="shared" si="31"/>
        <v>8.093107890663477</v>
      </c>
      <c r="Z24">
        <f t="shared" si="29"/>
        <v>8.0931078934007719</v>
      </c>
      <c r="AA24">
        <f t="shared" si="32"/>
        <v>-2.73729483524221E-9</v>
      </c>
      <c r="AB24">
        <f t="shared" si="33"/>
        <v>1.1332711520924359E-5</v>
      </c>
      <c r="AC24">
        <v>639.39317766963552</v>
      </c>
      <c r="AD24">
        <f t="shared" si="30"/>
        <v>33753.168307306951</v>
      </c>
      <c r="AE24">
        <f>+gettm2(AD24,AC24,AK24,AL24,テーブル2[[#This Row],[Fcorr]])</f>
        <v>637.31392841476202</v>
      </c>
      <c r="AF24" s="14">
        <f t="shared" si="34"/>
        <v>4.1191833588527516E-7</v>
      </c>
      <c r="AG24">
        <v>1.1358182790652559E-5</v>
      </c>
      <c r="AH24">
        <f t="shared" si="35"/>
        <v>38.522602311885002</v>
      </c>
      <c r="AI24">
        <f t="shared" si="36"/>
        <v>0.25898197508119558</v>
      </c>
      <c r="AJ24">
        <f t="shared" si="37"/>
        <v>25.692017121879719</v>
      </c>
      <c r="AK24">
        <f t="array" ref="AK24">+S24*テーブル2[[#This Row],[F_form]]/(E24*CpFromTP((テーブル2[[#This Row],[Tin]]+テーブル2[[#This Row],[Tf]])/2,テーブル2[[#This Row],[P]])*AI24)</f>
        <v>0.9519274280147344</v>
      </c>
      <c r="AL24">
        <f t="shared" si="38"/>
        <v>1.4487735538805233</v>
      </c>
      <c r="AM24">
        <f t="shared" si="39"/>
        <v>623.23870133054243</v>
      </c>
      <c r="AN24">
        <f t="shared" si="40"/>
        <v>2.593992576294113E-9</v>
      </c>
      <c r="AO24">
        <f t="shared" si="41"/>
        <v>2.5471269728200022E-8</v>
      </c>
      <c r="AP24">
        <v>2.7616911338283692</v>
      </c>
      <c r="AQ24">
        <f t="shared" si="42"/>
        <v>3.1549235526140582E-5</v>
      </c>
      <c r="AR24">
        <f t="shared" si="43"/>
        <v>5.6918270301903794E-6</v>
      </c>
      <c r="AS24">
        <f t="shared" si="44"/>
        <v>12.874816351324757</v>
      </c>
      <c r="AT24">
        <f t="shared" si="45"/>
        <v>9.726365912366461</v>
      </c>
      <c r="AU24">
        <f t="shared" si="46"/>
        <v>2.5189534543470811</v>
      </c>
      <c r="AV24">
        <f t="shared" si="47"/>
        <v>0.2427376794812881</v>
      </c>
      <c r="AW24">
        <f t="shared" si="48"/>
        <v>8.4149008603520477E-3</v>
      </c>
      <c r="AX24">
        <f t="shared" si="49"/>
        <v>0.24273766927084195</v>
      </c>
      <c r="AY24">
        <f t="shared" si="50"/>
        <v>1.0210446155234365E-8</v>
      </c>
      <c r="AZ24">
        <f t="shared" si="51"/>
        <v>891419.29711468448</v>
      </c>
      <c r="BA24">
        <f t="shared" si="52"/>
        <v>1.1423882685391304E-5</v>
      </c>
      <c r="BB24" s="15">
        <f t="shared" si="53"/>
        <v>1141551.2964153367</v>
      </c>
      <c r="BC24" s="20">
        <f t="shared" si="54"/>
        <v>4292.8825090867467</v>
      </c>
      <c r="BD24" s="19">
        <f t="shared" si="55"/>
        <v>0.37747643425574434</v>
      </c>
      <c r="BE24" s="15">
        <v>1142687.6033999999</v>
      </c>
      <c r="BF24" s="16">
        <f>テーブル2[[#This Row],[q_P]]/テーブル2[[#This Row],[q_M]]</f>
        <v>0.99900558386974514</v>
      </c>
      <c r="BG24">
        <v>1</v>
      </c>
      <c r="BH24">
        <v>1.4274736070982511E-2</v>
      </c>
      <c r="BI24">
        <v>4.5999999999999999E-2</v>
      </c>
      <c r="BJ24">
        <v>5625</v>
      </c>
      <c r="BK24" s="21">
        <f>1+テーブル2[[#This Row],[A_corr]]*EXP(-テーブル2[[#This Row],[(Tsub-40)^2]]/テーブル2[[#This Row],[σ_corr]])</f>
        <v>1.0456592718446434</v>
      </c>
      <c r="BL24">
        <f>テーブル2[[#This Row],[Ts]]-テーブル2[[#This Row],[Tin]]</f>
        <v>33.533145777580899</v>
      </c>
      <c r="BM24">
        <f>テーブル2[[#This Row],[q_P]]*0.000001</f>
        <v>1.1415512964153367</v>
      </c>
      <c r="BN24">
        <f>テーブル2[[#This Row],[Tsub]]</f>
        <v>33.533145777580899</v>
      </c>
      <c r="BO24">
        <f>テーブル2[[#This Row],[Fcorr]]</f>
        <v>1.0456592718446434</v>
      </c>
      <c r="BP24">
        <f>(テーブル2[[#This Row],[Tsub]]-40)^2</f>
        <v>41.820203534019761</v>
      </c>
      <c r="BQ24" s="10">
        <v>0.94959992944752991</v>
      </c>
      <c r="BR24" s="33">
        <v>4.2670000000000003</v>
      </c>
    </row>
    <row r="25" spans="1:70" x14ac:dyDescent="0.15">
      <c r="A25" s="9" t="s">
        <v>109</v>
      </c>
      <c r="B25">
        <v>14478989.699999999</v>
      </c>
      <c r="C25" s="21" cm="1">
        <f t="array" ref="C25">TsatFromP(テーブル2[[#This Row],[P]])</f>
        <v>612.48370255129544</v>
      </c>
      <c r="D25">
        <f t="array" ref="D25">RhoGFromP(テーブル2[[#This Row],[P]])</f>
        <v>91.580011978832957</v>
      </c>
      <c r="E25">
        <f t="array" ref="E25">RhoFFromP(テーブル2[[#This Row],[P]])</f>
        <v>612.82339669043313</v>
      </c>
      <c r="F25">
        <f t="array" ref="F25">HgFromP(テーブル2[[#This Row],[P]])</f>
        <v>2625160.7264840975</v>
      </c>
      <c r="G25">
        <f t="array" ref="G25">HfFromP(テーブル2[[#This Row],[P]])</f>
        <v>1589756.0808983105</v>
      </c>
      <c r="H25">
        <f t="array" ref="H25">MuGFromP(テーブル2[[#This Row],[P]])</f>
        <v>2.2406167499944594E-5</v>
      </c>
      <c r="I25">
        <f t="array" ref="I25">MuFFromP(テーブル2[[#This Row],[P]])</f>
        <v>7.0614185977515193E-5</v>
      </c>
      <c r="J25">
        <f t="array" ref="J25">KfFromP(テーブル2[[#This Row],[P]])</f>
        <v>0.48330738078477459</v>
      </c>
      <c r="K25">
        <f t="array" ref="K25">CpFFromP(テーブル2[[#This Row],[P]])</f>
        <v>8121.4802011854335</v>
      </c>
      <c r="L25">
        <f t="array" ref="L25">SigmaFromP(テーブル2[[#This Row],[P]])</f>
        <v>5.7214247636284644E-3</v>
      </c>
      <c r="M25" s="22">
        <v>277</v>
      </c>
      <c r="N25">
        <v>4065.288</v>
      </c>
      <c r="O25" s="8">
        <v>8.7843467213758383E-5</v>
      </c>
      <c r="P25" s="8">
        <v>2.9843873572041598E-2</v>
      </c>
      <c r="Q25">
        <v>1.1773735336561952E-2</v>
      </c>
      <c r="R25">
        <v>4.2545000000000002</v>
      </c>
      <c r="S25" s="15">
        <v>950901.02686874999</v>
      </c>
      <c r="T25">
        <v>587.53888888888889</v>
      </c>
      <c r="U25" s="12">
        <f>+T25+BG25*S25*テーブル2[[#This Row],[Pw]]*R25/(N25*O25*K25)</f>
        <v>629.1685675644685</v>
      </c>
      <c r="V25">
        <v>0.03</v>
      </c>
      <c r="W25" s="8">
        <f t="shared" si="28"/>
        <v>1718124.1902947028</v>
      </c>
      <c r="X25">
        <v>1.5621800486987138E-2</v>
      </c>
      <c r="Y25">
        <f t="shared" si="31"/>
        <v>8.0008192011435852</v>
      </c>
      <c r="Z25">
        <f t="shared" si="29"/>
        <v>8.0008192058973577</v>
      </c>
      <c r="AA25">
        <f t="shared" si="32"/>
        <v>-4.7537724867652287E-9</v>
      </c>
      <c r="AB25">
        <f t="shared" si="33"/>
        <v>1.3037581582869497E-5</v>
      </c>
      <c r="AC25">
        <v>623.91788048922558</v>
      </c>
      <c r="AD25">
        <f t="shared" si="30"/>
        <v>37961.652280068418</v>
      </c>
      <c r="AE25">
        <f>+gettm2(AD25,AC25,AK25,AL25,テーブル2[[#This Row],[Fcorr]])</f>
        <v>629.16856781421495</v>
      </c>
      <c r="AF25" s="14">
        <f t="shared" si="34"/>
        <v>2.4974644929898204E-7</v>
      </c>
      <c r="AG25">
        <v>1.3053377610436084E-5</v>
      </c>
      <c r="AH25">
        <f t="shared" si="35"/>
        <v>52.660914700432144</v>
      </c>
      <c r="AI25">
        <f t="shared" si="36"/>
        <v>0.29314097658820265</v>
      </c>
      <c r="AJ25">
        <f t="shared" si="37"/>
        <v>33.208007045843168</v>
      </c>
      <c r="AK25">
        <f t="array" ref="AK25">+S25*テーブル2[[#This Row],[F_form]]/(E25*CpFromTP((テーブル2[[#This Row],[Tin]]+テーブル2[[#This Row],[Tf]])/2,テーブル2[[#This Row],[P]])*AI25)</f>
        <v>0.72056127325426189</v>
      </c>
      <c r="AL25">
        <f t="shared" si="38"/>
        <v>1.186598293632519</v>
      </c>
      <c r="AM25">
        <f t="shared" si="39"/>
        <v>612.48370254946906</v>
      </c>
      <c r="AN25">
        <f t="shared" si="40"/>
        <v>1.8263790479977615E-9</v>
      </c>
      <c r="AO25">
        <f t="shared" si="41"/>
        <v>1.5796027566587125E-8</v>
      </c>
      <c r="AP25">
        <v>3.4992915183309274</v>
      </c>
      <c r="AQ25">
        <f t="shared" si="42"/>
        <v>3.6847601745701093E-5</v>
      </c>
      <c r="AR25">
        <f t="shared" si="43"/>
        <v>6.5345868190013356E-6</v>
      </c>
      <c r="AS25">
        <f t="shared" si="44"/>
        <v>16.624096199713076</v>
      </c>
      <c r="AT25">
        <f t="shared" si="45"/>
        <v>11.004266105685565</v>
      </c>
      <c r="AU25">
        <f t="shared" si="46"/>
        <v>3.2258013128571239</v>
      </c>
      <c r="AV25">
        <f t="shared" si="47"/>
        <v>0.27349020547380354</v>
      </c>
      <c r="AW25">
        <f t="shared" si="48"/>
        <v>8.212719693417905E-3</v>
      </c>
      <c r="AX25">
        <f t="shared" si="49"/>
        <v>0.27349019329814472</v>
      </c>
      <c r="AY25">
        <f t="shared" si="50"/>
        <v>1.2175658814506107E-8</v>
      </c>
      <c r="AZ25">
        <f t="shared" si="51"/>
        <v>1035404.645585787</v>
      </c>
      <c r="BA25">
        <f t="shared" si="52"/>
        <v>1.053001773435454E-5</v>
      </c>
      <c r="BB25" s="15">
        <f t="shared" si="53"/>
        <v>951840.60416425206</v>
      </c>
      <c r="BC25" s="20">
        <f t="shared" si="54"/>
        <v>939.57729550206568</v>
      </c>
      <c r="BD25" s="19">
        <f t="shared" si="55"/>
        <v>9.8809157730750108E-2</v>
      </c>
      <c r="BE25" s="15">
        <v>1226044.7537999998</v>
      </c>
      <c r="BF25" s="16">
        <f>テーブル2[[#This Row],[q_P]]/テーブル2[[#This Row],[q_M]]</f>
        <v>0.77635061951378193</v>
      </c>
      <c r="BG25">
        <v>1</v>
      </c>
      <c r="BH25">
        <v>7.5098926528288618E-2</v>
      </c>
      <c r="BI25">
        <v>4.5999999999999999E-2</v>
      </c>
      <c r="BJ25">
        <v>5625</v>
      </c>
      <c r="BK25" s="21">
        <f>1+テーブル2[[#This Row],[A_corr]]*EXP(-テーブル2[[#This Row],[(Tsub-40)^2]]/テーブル2[[#This Row],[σ_corr]])</f>
        <v>1.0441832840185952</v>
      </c>
      <c r="BL25">
        <f>テーブル2[[#This Row],[Ts]]-テーブル2[[#This Row],[Tin]]</f>
        <v>24.944813662406546</v>
      </c>
      <c r="BM25">
        <f>テーブル2[[#This Row],[q_P]]*0.000001</f>
        <v>0.95184060416425198</v>
      </c>
      <c r="BN25">
        <f>テーブル2[[#This Row],[Tsub]]</f>
        <v>24.944813662406546</v>
      </c>
      <c r="BO25">
        <f>テーブル2[[#This Row],[Fcorr]]</f>
        <v>1.0441832840185952</v>
      </c>
      <c r="BP25">
        <f>(テーブル2[[#This Row],[Tsub]]-40)^2</f>
        <v>226.6586356596606</v>
      </c>
      <c r="BQ25" s="10">
        <v>0.98252973691244661</v>
      </c>
      <c r="BR25" s="33">
        <v>4.2670000000000003</v>
      </c>
    </row>
    <row r="26" spans="1:70" x14ac:dyDescent="0.15">
      <c r="A26" s="9" t="s">
        <v>110</v>
      </c>
      <c r="B26">
        <v>16547416.799999999</v>
      </c>
      <c r="C26" s="21" cm="1">
        <f t="array" ref="C26">TsatFromP(テーブル2[[#This Row],[P]])</f>
        <v>623.23870133313642</v>
      </c>
      <c r="D26">
        <f t="array" ref="D26">RhoGFromP(テーブル2[[#This Row],[P]])</f>
        <v>113.82300371015133</v>
      </c>
      <c r="E26">
        <f t="array" ref="E26">RhoFFromP(テーブル2[[#This Row],[P]])</f>
        <v>574.34988711113044</v>
      </c>
      <c r="F26">
        <f t="array" ref="F26">HgFromP(テーブル2[[#This Row],[P]])</f>
        <v>2563035.5779140079</v>
      </c>
      <c r="G26">
        <f t="array" ref="G26">HfFromP(テーブル2[[#This Row],[P]])</f>
        <v>1671616.2807993235</v>
      </c>
      <c r="H26">
        <f t="array" ref="H26">MuGFromP(テーブル2[[#This Row],[P]])</f>
        <v>2.3752482411014488E-5</v>
      </c>
      <c r="I26">
        <f t="array" ref="I26">MuFFromP(テーブル2[[#This Row],[P]])</f>
        <v>6.5759231557403181E-5</v>
      </c>
      <c r="J26">
        <f t="array" ref="J26">KfFromP(テーブル2[[#This Row],[P]])</f>
        <v>0.46027765484939753</v>
      </c>
      <c r="K26">
        <f t="array" ref="K26">CpFFromP(テーブル2[[#This Row],[P]])</f>
        <v>10140.600460117175</v>
      </c>
      <c r="L26">
        <f t="array" ref="L26">SigmaFromP(テーブル2[[#This Row],[P]])</f>
        <v>3.6380461586323874E-3</v>
      </c>
      <c r="M26">
        <v>278</v>
      </c>
      <c r="N26">
        <v>4065.288</v>
      </c>
      <c r="O26" s="8">
        <v>8.7843467213758383E-5</v>
      </c>
      <c r="P26" s="8">
        <v>2.9843873572041598E-2</v>
      </c>
      <c r="Q26">
        <v>1.1773735336561952E-2</v>
      </c>
      <c r="R26">
        <v>4.2545000000000002</v>
      </c>
      <c r="S26" s="15">
        <v>1293178.49609375</v>
      </c>
      <c r="T26">
        <v>591.03888888888889</v>
      </c>
      <c r="U26" s="12">
        <f>+T26+BG26*S26*テーブル2[[#This Row],[Pw]]*R26/(N26*O26*K26)</f>
        <v>636.38058215701233</v>
      </c>
      <c r="V26">
        <v>0.03</v>
      </c>
      <c r="W26" s="8">
        <f t="shared" si="28"/>
        <v>1844972.002144377</v>
      </c>
      <c r="X26">
        <v>1.4409273835108405E-2</v>
      </c>
      <c r="Y26">
        <f t="shared" si="31"/>
        <v>8.3306512273914564</v>
      </c>
      <c r="Z26">
        <f t="shared" si="29"/>
        <v>8.3306512327619124</v>
      </c>
      <c r="AA26">
        <f t="shared" si="32"/>
        <v>-5.3704560798450984E-9</v>
      </c>
      <c r="AB26">
        <f t="shared" si="33"/>
        <v>8.4234741448604967E-6</v>
      </c>
      <c r="AC26">
        <v>638.33805705849738</v>
      </c>
      <c r="AD26">
        <f t="shared" si="30"/>
        <v>39150.36706632455</v>
      </c>
      <c r="AE26">
        <f>+gettm2(AD26,AC26,AK26,AL26,テーブル2[[#This Row],[Fcorr]])</f>
        <v>636.38058215701221</v>
      </c>
      <c r="AF26" s="14">
        <f t="shared" si="34"/>
        <v>0</v>
      </c>
      <c r="AG26">
        <v>8.4469260648453051E-6</v>
      </c>
      <c r="AH26">
        <f t="shared" si="35"/>
        <v>51.827254589752961</v>
      </c>
      <c r="AI26">
        <f t="shared" si="36"/>
        <v>0.30039370810104249</v>
      </c>
      <c r="AJ26">
        <f t="shared" si="37"/>
        <v>22.162019633443652</v>
      </c>
      <c r="AK26">
        <f t="array" ref="AK26">+S26*テーブル2[[#This Row],[F_form]]/(E26*CpFromTP((テーブル2[[#This Row],[Tin]]+テーブル2[[#This Row],[Tf]])/2,テーブル2[[#This Row],[P]])*AI26)</f>
        <v>0.93321532647525873</v>
      </c>
      <c r="AL26">
        <f t="shared" si="38"/>
        <v>1.4487735538805233</v>
      </c>
      <c r="AM26">
        <f t="shared" si="39"/>
        <v>623.23870133741389</v>
      </c>
      <c r="AN26">
        <f t="shared" si="40"/>
        <v>-4.2774672692758031E-9</v>
      </c>
      <c r="AO26">
        <f t="shared" si="41"/>
        <v>2.3451919984808403E-8</v>
      </c>
      <c r="AP26">
        <v>2.9629729013043731</v>
      </c>
      <c r="AQ26">
        <f t="shared" si="42"/>
        <v>2.7408400552293701E-5</v>
      </c>
      <c r="AR26">
        <f t="shared" si="43"/>
        <v>4.2351889924150567E-6</v>
      </c>
      <c r="AS26">
        <f t="shared" si="44"/>
        <v>11.111774967686529</v>
      </c>
      <c r="AT26">
        <f t="shared" si="45"/>
        <v>8.9900267697943654</v>
      </c>
      <c r="AU26">
        <f t="shared" si="46"/>
        <v>2.7005474773061664</v>
      </c>
      <c r="AV26">
        <f t="shared" si="47"/>
        <v>0.26242542399820667</v>
      </c>
      <c r="AW26">
        <f t="shared" si="48"/>
        <v>6.2546990363130878E-3</v>
      </c>
      <c r="AX26">
        <f t="shared" si="49"/>
        <v>0.26242541763493971</v>
      </c>
      <c r="AY26">
        <f t="shared" si="50"/>
        <v>6.3632669689006605E-9</v>
      </c>
      <c r="AZ26">
        <f t="shared" si="51"/>
        <v>891419.29711468448</v>
      </c>
      <c r="BA26">
        <f t="shared" si="52"/>
        <v>9.2503041591193263E-6</v>
      </c>
      <c r="BB26" s="15">
        <f t="shared" si="53"/>
        <v>1298018.7385118625</v>
      </c>
      <c r="BC26" s="20">
        <f t="shared" si="54"/>
        <v>4840.2424181124661</v>
      </c>
      <c r="BD26" s="19">
        <f t="shared" si="55"/>
        <v>0.37429035765234137</v>
      </c>
      <c r="BE26" s="15">
        <v>1316348.3333999999</v>
      </c>
      <c r="BF26" s="16">
        <f>テーブル2[[#This Row],[q_P]]/テーブル2[[#This Row],[q_M]]</f>
        <v>0.98607542211810006</v>
      </c>
      <c r="BG26">
        <v>1</v>
      </c>
      <c r="BH26">
        <v>1.4204433424073319E-2</v>
      </c>
      <c r="BI26">
        <v>4.5999999999999999E-2</v>
      </c>
      <c r="BJ26">
        <v>5625</v>
      </c>
      <c r="BK26" s="21">
        <f>1+テーブル2[[#This Row],[A_corr]]*EXP(-テーブル2[[#This Row],[(Tsub-40)^2]]/テーブル2[[#This Row],[σ_corr]])</f>
        <v>1.0455051213300932</v>
      </c>
      <c r="BL26">
        <f>テーブル2[[#This Row],[Ts]]-テーブル2[[#This Row],[Tin]]</f>
        <v>32.199812444247527</v>
      </c>
      <c r="BM26">
        <f>テーブル2[[#This Row],[q_P]]*0.000001</f>
        <v>1.2980187385118624</v>
      </c>
      <c r="BN26">
        <f>テーブル2[[#This Row],[Tsub]]</f>
        <v>32.199812444247527</v>
      </c>
      <c r="BO26">
        <f>テーブル2[[#This Row],[Fcorr]]</f>
        <v>1.0455051213300932</v>
      </c>
      <c r="BP26">
        <f>(テーブル2[[#This Row],[Tsub]]-40)^2</f>
        <v>60.842925904915731</v>
      </c>
      <c r="BQ26" s="10">
        <v>0.95766359388706823</v>
      </c>
      <c r="BR26" s="33">
        <v>4.2670000000000003</v>
      </c>
    </row>
    <row r="27" spans="1:70" x14ac:dyDescent="0.15">
      <c r="A27" s="9" t="s">
        <v>111</v>
      </c>
      <c r="B27">
        <v>16547416.799999999</v>
      </c>
      <c r="C27" s="21" cm="1">
        <f t="array" ref="C27">TsatFromP(テーブル2[[#This Row],[P]])</f>
        <v>623.23870133313642</v>
      </c>
      <c r="D27">
        <f t="array" ref="D27">RhoGFromP(テーブル2[[#This Row],[P]])</f>
        <v>113.82300371015133</v>
      </c>
      <c r="E27">
        <f t="array" ref="E27">RhoFFromP(テーブル2[[#This Row],[P]])</f>
        <v>574.34988711113044</v>
      </c>
      <c r="F27">
        <f t="array" ref="F27">HgFromP(テーブル2[[#This Row],[P]])</f>
        <v>2563035.5779140079</v>
      </c>
      <c r="G27">
        <f t="array" ref="G27">HfFromP(テーブル2[[#This Row],[P]])</f>
        <v>1671616.2807993235</v>
      </c>
      <c r="H27">
        <f t="array" ref="H27">MuGFromP(テーブル2[[#This Row],[P]])</f>
        <v>2.3752482411014488E-5</v>
      </c>
      <c r="I27">
        <f t="array" ref="I27">MuFFromP(テーブル2[[#This Row],[P]])</f>
        <v>6.5759231557403181E-5</v>
      </c>
      <c r="J27">
        <f t="array" ref="J27">KfFromP(テーブル2[[#This Row],[P]])</f>
        <v>0.46027765484939753</v>
      </c>
      <c r="K27">
        <f t="array" ref="K27">CpFFromP(テーブル2[[#This Row],[P]])</f>
        <v>10140.600460117175</v>
      </c>
      <c r="L27">
        <f t="array" ref="L27">SigmaFromP(テーブル2[[#This Row],[P]])</f>
        <v>3.6380461586323874E-3</v>
      </c>
      <c r="M27" s="22">
        <v>281</v>
      </c>
      <c r="N27">
        <v>3395.424</v>
      </c>
      <c r="O27" s="8">
        <v>8.7843467213758383E-5</v>
      </c>
      <c r="P27" s="8">
        <v>2.9843873572041598E-2</v>
      </c>
      <c r="Q27">
        <v>1.1773735336561952E-2</v>
      </c>
      <c r="R27">
        <v>4.2545000000000002</v>
      </c>
      <c r="S27" s="15">
        <v>1497704.5601562501</v>
      </c>
      <c r="T27">
        <v>562.26111111111106</v>
      </c>
      <c r="U27" s="12">
        <f>+T27+BG27*S27*テーブル2[[#This Row],[Pw]]*R27/(N27*O27*K27)</f>
        <v>625.13389876205042</v>
      </c>
      <c r="V27">
        <v>0.03</v>
      </c>
      <c r="W27" s="8">
        <f t="shared" si="28"/>
        <v>1540963.9404167845</v>
      </c>
      <c r="X27">
        <v>1.5281701919476852E-2</v>
      </c>
      <c r="Y27">
        <f t="shared" si="31"/>
        <v>8.0893595284883091</v>
      </c>
      <c r="Z27">
        <f t="shared" si="29"/>
        <v>8.0893595311426321</v>
      </c>
      <c r="AA27">
        <f t="shared" si="32"/>
        <v>-2.6543229836306637E-9</v>
      </c>
      <c r="AB27">
        <f t="shared" si="33"/>
        <v>1.1385607960680792E-5</v>
      </c>
      <c r="AC27">
        <v>650.8606355445047</v>
      </c>
      <c r="AD27">
        <f t="shared" si="30"/>
        <v>33674.67004017171</v>
      </c>
      <c r="AE27">
        <f>+gettm2(AD27,AC27,AK27,AL27,テーブル2[[#This Row],[Fcorr]])</f>
        <v>625.13389929229209</v>
      </c>
      <c r="AF27" s="14">
        <f t="shared" si="34"/>
        <v>5.3024166390969185E-7</v>
      </c>
      <c r="AG27">
        <v>1.1419055849671611E-5</v>
      </c>
      <c r="AH27">
        <f t="shared" si="35"/>
        <v>38.343630005839628</v>
      </c>
      <c r="AI27">
        <f t="shared" si="36"/>
        <v>0.25837967202987772</v>
      </c>
      <c r="AJ27">
        <f t="shared" si="37"/>
        <v>25.769639921556504</v>
      </c>
      <c r="AK27">
        <f t="array" ref="AK27">+S27*テーブル2[[#This Row],[F_form]]/(E27*CpFromTP((テーブル2[[#This Row],[Tin]]+テーブル2[[#This Row],[Tf]])/2,テーブル2[[#This Row],[P]])*AI27)</f>
        <v>1.6261271503989341</v>
      </c>
      <c r="AL27">
        <f t="shared" si="38"/>
        <v>1.4487735538805233</v>
      </c>
      <c r="AM27">
        <f t="shared" si="39"/>
        <v>623.23870132705656</v>
      </c>
      <c r="AN27">
        <f t="shared" si="40"/>
        <v>6.0798583945143037E-9</v>
      </c>
      <c r="AO27">
        <f t="shared" si="41"/>
        <v>3.3447888990819795E-8</v>
      </c>
      <c r="AP27">
        <v>2.7601827412183813</v>
      </c>
      <c r="AQ27">
        <f t="shared" si="42"/>
        <v>3.1583727182214162E-5</v>
      </c>
      <c r="AR27">
        <f t="shared" si="43"/>
        <v>5.7262518693312156E-6</v>
      </c>
      <c r="AS27">
        <f t="shared" si="44"/>
        <v>12.922561262107223</v>
      </c>
      <c r="AT27">
        <f t="shared" si="45"/>
        <v>9.7448735940433089</v>
      </c>
      <c r="AU27">
        <f t="shared" si="46"/>
        <v>2.5178772432015259</v>
      </c>
      <c r="AV27">
        <f t="shared" si="47"/>
        <v>0.2423054980168553</v>
      </c>
      <c r="AW27">
        <f t="shared" si="48"/>
        <v>8.4541781591339071E-3</v>
      </c>
      <c r="AX27">
        <f t="shared" si="49"/>
        <v>0.242305488368354</v>
      </c>
      <c r="AY27">
        <f t="shared" si="50"/>
        <v>9.6485013034719458E-9</v>
      </c>
      <c r="AZ27">
        <f t="shared" si="51"/>
        <v>891419.29711468448</v>
      </c>
      <c r="BA27">
        <f t="shared" si="52"/>
        <v>1.144262179114731E-5</v>
      </c>
      <c r="BB27" s="15">
        <f t="shared" si="53"/>
        <v>1496586.2159831477</v>
      </c>
      <c r="BC27" s="20">
        <f t="shared" si="54"/>
        <v>-1118.3441731024068</v>
      </c>
      <c r="BD27" s="19">
        <f t="shared" si="55"/>
        <v>-7.4670546037847008E-2</v>
      </c>
      <c r="BE27" s="15">
        <v>1444857.2735999997</v>
      </c>
      <c r="BF27" s="16">
        <f>テーブル2[[#This Row],[q_P]]/テーブル2[[#This Row],[q_M]]</f>
        <v>1.0358021123112462</v>
      </c>
      <c r="BG27">
        <v>1</v>
      </c>
      <c r="BH27">
        <v>-0.12366381199330789</v>
      </c>
      <c r="BI27">
        <v>4.5999999999999999E-2</v>
      </c>
      <c r="BJ27">
        <v>5625</v>
      </c>
      <c r="BK27" s="21">
        <f>1+テーブル2[[#This Row],[A_corr]]*EXP(-テーブル2[[#This Row],[(Tsub-40)^2]]/テーブル2[[#This Row],[σ_corr]])</f>
        <v>1.0425384610914179</v>
      </c>
      <c r="BL27">
        <f>テーブル2[[#This Row],[Ts]]-テーブル2[[#This Row],[Tin]]</f>
        <v>60.977590222025356</v>
      </c>
      <c r="BM27">
        <f>テーブル2[[#This Row],[q_P]]*0.000001</f>
        <v>1.4965862159831476</v>
      </c>
      <c r="BN27">
        <f>テーブル2[[#This Row],[Tsub]]</f>
        <v>60.977590222025356</v>
      </c>
      <c r="BO27">
        <f>テーブル2[[#This Row],[Fcorr]]</f>
        <v>1.0425384610914179</v>
      </c>
      <c r="BP27">
        <f>(テーブル2[[#This Row],[Tsub]]-40)^2</f>
        <v>440.0592915232138</v>
      </c>
      <c r="BQ27" s="10">
        <v>1.0011042526112093</v>
      </c>
      <c r="BR27" s="33">
        <v>4.2670000000000003</v>
      </c>
    </row>
    <row r="28" spans="1:70" x14ac:dyDescent="0.15">
      <c r="A28" s="9" t="s">
        <v>112</v>
      </c>
      <c r="B28">
        <v>14478989.699999999</v>
      </c>
      <c r="C28" s="21" cm="1">
        <f t="array" ref="C28">TsatFromP(テーブル2[[#This Row],[P]])</f>
        <v>612.48370255129544</v>
      </c>
      <c r="D28">
        <f t="array" ref="D28">RhoGFromP(テーブル2[[#This Row],[P]])</f>
        <v>91.580011978832957</v>
      </c>
      <c r="E28">
        <f t="array" ref="E28">RhoFFromP(テーブル2[[#This Row],[P]])</f>
        <v>612.82339669043313</v>
      </c>
      <c r="F28">
        <f t="array" ref="F28">HgFromP(テーブル2[[#This Row],[P]])</f>
        <v>2625160.7264840975</v>
      </c>
      <c r="G28">
        <f t="array" ref="G28">HfFromP(テーブル2[[#This Row],[P]])</f>
        <v>1589756.0808983105</v>
      </c>
      <c r="H28">
        <f t="array" ref="H28">MuGFromP(テーブル2[[#This Row],[P]])</f>
        <v>2.2406167499944594E-5</v>
      </c>
      <c r="I28">
        <f t="array" ref="I28">MuFFromP(テーブル2[[#This Row],[P]])</f>
        <v>7.0614185977515193E-5</v>
      </c>
      <c r="J28">
        <f t="array" ref="J28">KfFromP(テーブル2[[#This Row],[P]])</f>
        <v>0.48330738078477459</v>
      </c>
      <c r="K28">
        <f t="array" ref="K28">CpFFromP(テーブル2[[#This Row],[P]])</f>
        <v>8121.4802011854335</v>
      </c>
      <c r="L28">
        <f t="array" ref="L28">SigmaFromP(テーブル2[[#This Row],[P]])</f>
        <v>5.7214247636284644E-3</v>
      </c>
      <c r="M28">
        <v>282</v>
      </c>
      <c r="N28">
        <v>3368.3040000000001</v>
      </c>
      <c r="O28" s="8">
        <v>8.7843467213758383E-5</v>
      </c>
      <c r="P28" s="8">
        <v>2.9843873572041598E-2</v>
      </c>
      <c r="Q28">
        <v>1.1773735336561952E-2</v>
      </c>
      <c r="R28">
        <v>4.2545000000000002</v>
      </c>
      <c r="S28" s="15">
        <v>1139853.37890625</v>
      </c>
      <c r="T28">
        <v>563.87222222222226</v>
      </c>
      <c r="U28" s="12">
        <f>+T28+BG28*S28*テーブル2[[#This Row],[Pw]]*R28/(N28*O28*K28)</f>
        <v>624.09999043118751</v>
      </c>
      <c r="V28">
        <v>0.03</v>
      </c>
      <c r="W28" s="8">
        <f t="shared" si="28"/>
        <v>1423555.866808553</v>
      </c>
      <c r="X28">
        <v>1.6669562288415936E-2</v>
      </c>
      <c r="Y28">
        <f t="shared" si="31"/>
        <v>7.7452938983919202</v>
      </c>
      <c r="Z28">
        <f t="shared" si="29"/>
        <v>7.7452939091269748</v>
      </c>
      <c r="AA28">
        <f t="shared" si="32"/>
        <v>-1.0735054623012275E-8</v>
      </c>
      <c r="AB28">
        <f t="shared" si="33"/>
        <v>1.7797704991570021E-5</v>
      </c>
      <c r="AC28">
        <v>631.85784796809185</v>
      </c>
      <c r="AD28">
        <f t="shared" si="30"/>
        <v>32490.891243882081</v>
      </c>
      <c r="AE28">
        <f>+gettm2(AD28,AC28,AK28,AL28,テーブル2[[#This Row],[Fcorr]])</f>
        <v>624.09999043118762</v>
      </c>
      <c r="AF28" s="14">
        <f t="shared" si="34"/>
        <v>0</v>
      </c>
      <c r="AG28">
        <v>1.7822319250919835E-5</v>
      </c>
      <c r="AH28">
        <f t="shared" si="35"/>
        <v>38.576376671071557</v>
      </c>
      <c r="AI28">
        <f t="shared" si="36"/>
        <v>0.25089560167678532</v>
      </c>
      <c r="AJ28">
        <f t="shared" si="37"/>
        <v>38.806157994038777</v>
      </c>
      <c r="AK28">
        <f t="array" ref="AK28">+S28*テーブル2[[#This Row],[F_form]]/(E28*CpFromTP((テーブル2[[#This Row],[Tin]]+テーブル2[[#This Row],[Tf]])/2,テーブル2[[#This Row],[P]])*AI28)</f>
        <v>1.1916755949823794</v>
      </c>
      <c r="AL28">
        <f t="shared" si="38"/>
        <v>1.186598293632519</v>
      </c>
      <c r="AM28">
        <f t="shared" si="39"/>
        <v>612.48370254321412</v>
      </c>
      <c r="AN28">
        <f t="shared" si="40"/>
        <v>8.0813151726033539E-9</v>
      </c>
      <c r="AO28">
        <f t="shared" si="41"/>
        <v>2.4614259349814335E-8</v>
      </c>
      <c r="AP28">
        <v>3.2116127709065836</v>
      </c>
      <c r="AQ28">
        <f t="shared" si="42"/>
        <v>4.3744466320615382E-5</v>
      </c>
      <c r="AR28">
        <f t="shared" si="43"/>
        <v>8.9234667551348248E-6</v>
      </c>
      <c r="AS28">
        <f t="shared" si="44"/>
        <v>19.429876430725606</v>
      </c>
      <c r="AT28">
        <f t="shared" si="45"/>
        <v>11.784059518267554</v>
      </c>
      <c r="AU28">
        <f t="shared" si="46"/>
        <v>2.9565687030307868</v>
      </c>
      <c r="AV28">
        <f t="shared" si="47"/>
        <v>0.25504406787579681</v>
      </c>
      <c r="AW28">
        <f t="shared" si="48"/>
        <v>1.1211248140833388E-2</v>
      </c>
      <c r="AX28">
        <f t="shared" si="49"/>
        <v>0.2550440661676785</v>
      </c>
      <c r="AY28">
        <f t="shared" si="50"/>
        <v>1.7081183134592948E-9</v>
      </c>
      <c r="AZ28">
        <f t="shared" si="51"/>
        <v>1035404.645585787</v>
      </c>
      <c r="BA28">
        <f t="shared" si="52"/>
        <v>1.3620716269684986E-5</v>
      </c>
      <c r="BB28" s="15">
        <f t="shared" si="53"/>
        <v>1146653.6895582648</v>
      </c>
      <c r="BC28" s="20">
        <f t="shared" si="54"/>
        <v>6800.3106520147994</v>
      </c>
      <c r="BD28" s="19">
        <f t="shared" si="55"/>
        <v>0.59659520933649024</v>
      </c>
      <c r="BE28" s="15">
        <v>1312875.1187999998</v>
      </c>
      <c r="BF28" s="16">
        <f>テーブル2[[#This Row],[q_P]]/テーブル2[[#This Row],[q_M]]</f>
        <v>0.87339128690803014</v>
      </c>
      <c r="BG28">
        <v>1</v>
      </c>
      <c r="BH28">
        <v>1.5749034092727456E-3</v>
      </c>
      <c r="BI28">
        <v>4.5999999999999999E-2</v>
      </c>
      <c r="BJ28">
        <v>5625</v>
      </c>
      <c r="BK28" s="21">
        <f>1+テーブル2[[#This Row],[A_corr]]*EXP(-テーブル2[[#This Row],[(Tsub-40)^2]]/テーブル2[[#This Row],[σ_corr]])</f>
        <v>1.0453975357218073</v>
      </c>
      <c r="BL28">
        <f>テーブル2[[#This Row],[Ts]]-テーブル2[[#This Row],[Tin]]</f>
        <v>48.611480329073174</v>
      </c>
      <c r="BM28">
        <f>テーブル2[[#This Row],[q_P]]*0.000001</f>
        <v>1.1466536895582649</v>
      </c>
      <c r="BN28">
        <f>テーブル2[[#This Row],[Tsub]]</f>
        <v>48.611480329073174</v>
      </c>
      <c r="BO28">
        <f>テーブル2[[#This Row],[Fcorr]]</f>
        <v>1.0453975357218073</v>
      </c>
      <c r="BP28">
        <f>(テーブル2[[#This Row],[Tsub]]-40)^2</f>
        <v>74.157593458014233</v>
      </c>
      <c r="BQ28" s="10">
        <v>0.96548294564592174</v>
      </c>
      <c r="BR28" s="33">
        <v>4.2670000000000003</v>
      </c>
    </row>
    <row r="29" spans="1:70" x14ac:dyDescent="0.15">
      <c r="A29" s="9" t="s">
        <v>113</v>
      </c>
      <c r="B29">
        <v>16616364.369999999</v>
      </c>
      <c r="C29" s="21" cm="1">
        <f t="array" ref="C29">TsatFromP(テーブル2[[#This Row],[P]])</f>
        <v>623.57769163346586</v>
      </c>
      <c r="D29">
        <f t="array" ref="D29">RhoGFromP(テーブル2[[#This Row],[P]])</f>
        <v>114.66029599737462</v>
      </c>
      <c r="E29">
        <f t="array" ref="E29">RhoFFromP(テーブル2[[#This Row],[P]])</f>
        <v>572.97931530121309</v>
      </c>
      <c r="F29">
        <f t="array" ref="F29">HgFromP(テーブル2[[#This Row],[P]])</f>
        <v>2560721.691284928</v>
      </c>
      <c r="G29">
        <f t="array" ref="G29">HfFromP(テーブル2[[#This Row],[P]])</f>
        <v>1674402.1546774118</v>
      </c>
      <c r="H29">
        <f t="array" ref="H29">MuGFromP(テーブル2[[#This Row],[P]])</f>
        <v>2.3803753768346773E-5</v>
      </c>
      <c r="I29">
        <f t="array" ref="I29">MuFFromP(テーブル2[[#This Row],[P]])</f>
        <v>6.559315938668894E-5</v>
      </c>
      <c r="J29">
        <f t="array" ref="J29">KfFromP(テーブル2[[#This Row],[P]])</f>
        <v>0.45952852946905182</v>
      </c>
      <c r="K29">
        <f t="array" ref="K29">CpFFromP(テーブル2[[#This Row],[P]])</f>
        <v>10236.374668774288</v>
      </c>
      <c r="L29">
        <f t="array" ref="L29">SigmaFromP(テーブル2[[#This Row],[P]])</f>
        <v>3.575061404803361E-3</v>
      </c>
      <c r="M29">
        <v>290</v>
      </c>
      <c r="N29">
        <v>3372.3719999999998</v>
      </c>
      <c r="O29" s="8">
        <v>8.7843467213758383E-5</v>
      </c>
      <c r="P29" s="8">
        <v>2.9843873572041598E-2</v>
      </c>
      <c r="Q29">
        <v>1.1773735336561952E-2</v>
      </c>
      <c r="R29">
        <v>4.2545000000000002</v>
      </c>
      <c r="S29" s="15">
        <v>1788354.00390625</v>
      </c>
      <c r="T29">
        <v>531.70555555555552</v>
      </c>
      <c r="U29" s="12">
        <f>+T29+BG29*S29*テーブル2[[#This Row],[Pw]]*R29/(N29*O29*K29)</f>
        <v>606.58559999117165</v>
      </c>
      <c r="V29">
        <v>0.03</v>
      </c>
      <c r="W29" s="8">
        <f t="shared" si="28"/>
        <v>1534377.1293675061</v>
      </c>
      <c r="X29">
        <v>1.5268891371430436E-2</v>
      </c>
      <c r="Y29">
        <f t="shared" si="31"/>
        <v>8.0927522896055279</v>
      </c>
      <c r="Z29">
        <f t="shared" si="29"/>
        <v>8.0927522923370763</v>
      </c>
      <c r="AA29">
        <f t="shared" si="32"/>
        <v>-2.7315483208667501E-9</v>
      </c>
      <c r="AB29">
        <f t="shared" si="33"/>
        <v>1.1324400695231637E-5</v>
      </c>
      <c r="AC29">
        <v>662.00151498820458</v>
      </c>
      <c r="AD29">
        <f t="shared" si="30"/>
        <v>33516.671283355128</v>
      </c>
      <c r="AE29">
        <f>+gettm2(AD29,AC29,AK29,AL29,テーブル2[[#This Row],[Fcorr]])</f>
        <v>606.58559999117165</v>
      </c>
      <c r="AF29" s="14">
        <f t="shared" si="34"/>
        <v>0</v>
      </c>
      <c r="AG29">
        <v>1.1364491571971689E-5</v>
      </c>
      <c r="AH29">
        <f t="shared" si="35"/>
        <v>37.883450093482246</v>
      </c>
      <c r="AI29">
        <f t="shared" si="36"/>
        <v>0.25713150388292377</v>
      </c>
      <c r="AJ29">
        <f t="shared" si="37"/>
        <v>25.526172224310073</v>
      </c>
      <c r="AK29">
        <f t="array" ref="AK29">+S29*テーブル2[[#This Row],[F_form]]/(E29*CpFromTP((テーブル2[[#This Row],[Tin]]+テーブル2[[#This Row],[Tf]])/2,テーブル2[[#This Row],[P]])*AI29)</f>
        <v>2.2557051000539183</v>
      </c>
      <c r="AL29">
        <f t="shared" si="38"/>
        <v>1.4611413919535472</v>
      </c>
      <c r="AM29">
        <f t="shared" si="39"/>
        <v>623.57769162700424</v>
      </c>
      <c r="AN29">
        <f t="shared" si="40"/>
        <v>6.4616187955834903E-9</v>
      </c>
      <c r="AO29">
        <f t="shared" si="41"/>
        <v>4.0090876740052036E-8</v>
      </c>
      <c r="AP29">
        <v>2.7355423834701842</v>
      </c>
      <c r="AQ29">
        <f t="shared" si="42"/>
        <v>3.1418493823781478E-5</v>
      </c>
      <c r="AR29">
        <f t="shared" si="43"/>
        <v>5.7022912243558707E-6</v>
      </c>
      <c r="AS29">
        <f t="shared" si="44"/>
        <v>12.808110855136679</v>
      </c>
      <c r="AT29">
        <f t="shared" si="45"/>
        <v>9.7003931540252175</v>
      </c>
      <c r="AU29">
        <f t="shared" si="46"/>
        <v>2.4942766799501226</v>
      </c>
      <c r="AV29">
        <f t="shared" si="47"/>
        <v>0.2412657035200616</v>
      </c>
      <c r="AW29">
        <f t="shared" si="48"/>
        <v>8.4621202733811459E-3</v>
      </c>
      <c r="AX29">
        <f t="shared" si="49"/>
        <v>0.24126570193798536</v>
      </c>
      <c r="AY29">
        <f t="shared" si="50"/>
        <v>1.5820762477858352E-9</v>
      </c>
      <c r="AZ29">
        <f t="shared" si="51"/>
        <v>886319.53660751623</v>
      </c>
      <c r="BA29">
        <f t="shared" si="52"/>
        <v>1.1485288626354753E-5</v>
      </c>
      <c r="BB29" s="15">
        <f t="shared" si="53"/>
        <v>1772690.4569745613</v>
      </c>
      <c r="BC29" s="20">
        <f t="shared" si="54"/>
        <v>-15663.546931688674</v>
      </c>
      <c r="BD29" s="19">
        <f t="shared" si="55"/>
        <v>-0.8758638892230084</v>
      </c>
      <c r="BE29" s="15">
        <v>1802598.3773999999</v>
      </c>
      <c r="BF29" s="16">
        <f>テーブル2[[#This Row],[q_P]]/テーブル2[[#This Row],[q_M]]</f>
        <v>0.98340843928386501</v>
      </c>
      <c r="BG29">
        <v>1</v>
      </c>
      <c r="BH29">
        <v>-0.27253915389948064</v>
      </c>
      <c r="BI29">
        <v>4.5999999999999999E-2</v>
      </c>
      <c r="BJ29">
        <v>5625</v>
      </c>
      <c r="BK29" s="21">
        <f>1+テーブル2[[#This Row],[A_corr]]*EXP(-テーブル2[[#This Row],[(Tsub-40)^2]]/テーブル2[[#This Row],[σ_corr]])</f>
        <v>1.028511041711152</v>
      </c>
      <c r="BL29">
        <f>テーブル2[[#This Row],[Ts]]-テーブル2[[#This Row],[Tin]]</f>
        <v>91.872136077910341</v>
      </c>
      <c r="BM29">
        <f>テーブル2[[#This Row],[q_P]]*0.000001</f>
        <v>1.7726904569745612</v>
      </c>
      <c r="BN29">
        <f>テーブル2[[#This Row],[Tsub]]</f>
        <v>91.872136077910341</v>
      </c>
      <c r="BO29">
        <f>テーブル2[[#This Row],[Fcorr]]</f>
        <v>1.028511041711152</v>
      </c>
      <c r="BP29">
        <f>(テーブル2[[#This Row],[Tsub]]-40)^2</f>
        <v>2690.7185012852474</v>
      </c>
      <c r="BQ29" s="10">
        <v>1.0019549804359047</v>
      </c>
      <c r="BR29" s="33">
        <v>4.2670000000000003</v>
      </c>
    </row>
    <row r="30" spans="1:70" x14ac:dyDescent="0.15">
      <c r="A30" s="9" t="s">
        <v>114</v>
      </c>
      <c r="B30">
        <v>16616364.369999999</v>
      </c>
      <c r="C30" s="21" cm="1">
        <f t="array" ref="C30">TsatFromP(テーブル2[[#This Row],[P]])</f>
        <v>623.57769163346586</v>
      </c>
      <c r="D30">
        <f t="array" ref="D30">RhoGFromP(テーブル2[[#This Row],[P]])</f>
        <v>114.66029599737462</v>
      </c>
      <c r="E30">
        <f t="array" ref="E30">RhoFFromP(テーブル2[[#This Row],[P]])</f>
        <v>572.97931530121309</v>
      </c>
      <c r="F30">
        <f t="array" ref="F30">HgFromP(テーブル2[[#This Row],[P]])</f>
        <v>2560721.691284928</v>
      </c>
      <c r="G30">
        <f t="array" ref="G30">HfFromP(テーブル2[[#This Row],[P]])</f>
        <v>1674402.1546774118</v>
      </c>
      <c r="H30">
        <f t="array" ref="H30">MuGFromP(テーブル2[[#This Row],[P]])</f>
        <v>2.3803753768346773E-5</v>
      </c>
      <c r="I30">
        <f t="array" ref="I30">MuFFromP(テーブル2[[#This Row],[P]])</f>
        <v>6.559315938668894E-5</v>
      </c>
      <c r="J30">
        <f t="array" ref="J30">KfFromP(テーブル2[[#This Row],[P]])</f>
        <v>0.45952852946905182</v>
      </c>
      <c r="K30">
        <f t="array" ref="K30">CpFFromP(テーブル2[[#This Row],[P]])</f>
        <v>10236.374668774288</v>
      </c>
      <c r="L30">
        <f t="array" ref="L30">SigmaFromP(テーブル2[[#This Row],[P]])</f>
        <v>3.575061404803361E-3</v>
      </c>
      <c r="M30" s="22">
        <v>291</v>
      </c>
      <c r="N30">
        <v>4040.88</v>
      </c>
      <c r="O30" s="8">
        <v>8.7843467213758383E-5</v>
      </c>
      <c r="P30" s="8">
        <v>2.9843873572041598E-2</v>
      </c>
      <c r="Q30">
        <v>1.1773735336561952E-2</v>
      </c>
      <c r="R30">
        <v>4.2545000000000002</v>
      </c>
      <c r="S30" s="15">
        <v>1727307.76171875</v>
      </c>
      <c r="T30">
        <v>563.15</v>
      </c>
      <c r="U30" s="12">
        <f>+T30+BG30*S30*テーブル2[[#This Row],[Pw]]*R30/(N30*O30*K30)</f>
        <v>623.50897384915709</v>
      </c>
      <c r="V30">
        <v>0.03</v>
      </c>
      <c r="W30" s="8">
        <f t="shared" si="28"/>
        <v>1838537.935470514</v>
      </c>
      <c r="X30">
        <v>1.439434697529866E-2</v>
      </c>
      <c r="Y30">
        <f t="shared" si="31"/>
        <v>8.3349695282571972</v>
      </c>
      <c r="Z30">
        <f t="shared" si="29"/>
        <v>8.3349695329837292</v>
      </c>
      <c r="AA30">
        <f t="shared" si="32"/>
        <v>-4.7265320546330258E-9</v>
      </c>
      <c r="AB30">
        <f t="shared" si="33"/>
        <v>8.3666154533925182E-6</v>
      </c>
      <c r="AC30">
        <v>650.00094961620721</v>
      </c>
      <c r="AD30">
        <f t="shared" si="30"/>
        <v>38993.623109014188</v>
      </c>
      <c r="AE30">
        <f>+gettm2(AD30,AC30,AK30,AL30,テーブル2[[#This Row],[Fcorr]])</f>
        <v>623.50897384915697</v>
      </c>
      <c r="AF30" s="14">
        <f t="shared" si="34"/>
        <v>0</v>
      </c>
      <c r="AG30">
        <v>8.3981783058336328E-6</v>
      </c>
      <c r="AH30">
        <f t="shared" si="35"/>
        <v>51.27609497128833</v>
      </c>
      <c r="AI30">
        <f t="shared" si="36"/>
        <v>0.29914930594089306</v>
      </c>
      <c r="AJ30">
        <f t="shared" si="37"/>
        <v>21.945904499928066</v>
      </c>
      <c r="AK30">
        <f t="array" ref="AK30">+S30*テーブル2[[#This Row],[F_form]]/(E30*CpFromTP((テーブル2[[#This Row],[Tin]]+テーブル2[[#This Row],[Tf]])/2,テーブル2[[#This Row],[P]])*AI30)</f>
        <v>1.6286118987049232</v>
      </c>
      <c r="AL30">
        <f t="shared" si="38"/>
        <v>1.4611413919535472</v>
      </c>
      <c r="AM30">
        <f t="shared" si="39"/>
        <v>623.57769164387946</v>
      </c>
      <c r="AN30">
        <f t="shared" si="40"/>
        <v>-1.0413600648462307E-8</v>
      </c>
      <c r="AO30">
        <f t="shared" si="41"/>
        <v>3.1562852441114611E-8</v>
      </c>
      <c r="AP30">
        <v>2.9375547551611527</v>
      </c>
      <c r="AQ30">
        <f t="shared" si="42"/>
        <v>2.7245847185912295E-5</v>
      </c>
      <c r="AR30">
        <f t="shared" si="43"/>
        <v>4.2148705791373737E-6</v>
      </c>
      <c r="AS30">
        <f t="shared" si="44"/>
        <v>11.014191868854766</v>
      </c>
      <c r="AT30">
        <f t="shared" si="45"/>
        <v>8.9459230557011615</v>
      </c>
      <c r="AU30">
        <f t="shared" si="46"/>
        <v>2.6761666731136358</v>
      </c>
      <c r="AV30">
        <f t="shared" si="47"/>
        <v>0.26138808204751696</v>
      </c>
      <c r="AW30">
        <f t="shared" si="48"/>
        <v>6.2519252146869238E-3</v>
      </c>
      <c r="AX30">
        <f t="shared" si="49"/>
        <v>0.26138807756226046</v>
      </c>
      <c r="AY30">
        <f t="shared" si="50"/>
        <v>4.485256499542345E-9</v>
      </c>
      <c r="AZ30">
        <f t="shared" si="51"/>
        <v>886319.53660751623</v>
      </c>
      <c r="BA30">
        <f t="shared" si="52"/>
        <v>9.2750091340570092E-6</v>
      </c>
      <c r="BB30" s="15">
        <f t="shared" si="53"/>
        <v>1728188.717025348</v>
      </c>
      <c r="BC30" s="20">
        <f t="shared" si="54"/>
        <v>880.95530659798533</v>
      </c>
      <c r="BD30" s="19">
        <f t="shared" si="55"/>
        <v>5.1001641173741646E-2</v>
      </c>
      <c r="BE30" s="15">
        <v>1708821.5831999998</v>
      </c>
      <c r="BF30" s="16">
        <f>テーブル2[[#This Row],[q_P]]/テーブル2[[#This Row],[q_M]]</f>
        <v>1.0113336196217049</v>
      </c>
      <c r="BG30">
        <v>1</v>
      </c>
      <c r="BH30">
        <v>-0.12587395745743332</v>
      </c>
      <c r="BI30">
        <v>4.5999999999999999E-2</v>
      </c>
      <c r="BJ30">
        <v>5625</v>
      </c>
      <c r="BK30" s="21">
        <f>1+テーブル2[[#This Row],[A_corr]]*EXP(-テーブル2[[#This Row],[(Tsub-40)^2]]/テーブル2[[#This Row],[σ_corr]])</f>
        <v>1.0427109959517056</v>
      </c>
      <c r="BL30">
        <f>テーブル2[[#This Row],[Ts]]-テーブル2[[#This Row],[Tin]]</f>
        <v>60.427691633465884</v>
      </c>
      <c r="BM30">
        <f>テーブル2[[#This Row],[q_P]]*0.000001</f>
        <v>1.7281887170253478</v>
      </c>
      <c r="BN30">
        <f>テーブル2[[#This Row],[Tsub]]</f>
        <v>60.427691633465884</v>
      </c>
      <c r="BO30">
        <f>テーブル2[[#This Row],[Fcorr]]</f>
        <v>1.0427109959517056</v>
      </c>
      <c r="BP30">
        <f>(テーブル2[[#This Row],[Tsub]]-40)^2</f>
        <v>417.29058547197207</v>
      </c>
      <c r="BQ30" s="10">
        <v>0.98460866722258866</v>
      </c>
      <c r="BR30" s="33">
        <v>4.2670000000000003</v>
      </c>
    </row>
    <row r="31" spans="1:70" x14ac:dyDescent="0.15">
      <c r="A31" s="9" t="s">
        <v>115</v>
      </c>
      <c r="B31">
        <v>14478989.699999999</v>
      </c>
      <c r="C31" s="21" cm="1">
        <f t="array" ref="C31">TsatFromP(テーブル2[[#This Row],[P]])</f>
        <v>612.48370255129544</v>
      </c>
      <c r="D31">
        <f t="array" ref="D31">RhoGFromP(テーブル2[[#This Row],[P]])</f>
        <v>91.580011978832957</v>
      </c>
      <c r="E31">
        <f t="array" ref="E31">RhoFFromP(テーブル2[[#This Row],[P]])</f>
        <v>612.82339669043313</v>
      </c>
      <c r="F31">
        <f t="array" ref="F31">HgFromP(テーブル2[[#This Row],[P]])</f>
        <v>2625160.7264840975</v>
      </c>
      <c r="G31">
        <f t="array" ref="G31">HfFromP(テーブル2[[#This Row],[P]])</f>
        <v>1589756.0808983105</v>
      </c>
      <c r="H31">
        <f t="array" ref="H31">MuGFromP(テーブル2[[#This Row],[P]])</f>
        <v>2.2406167499944594E-5</v>
      </c>
      <c r="I31">
        <f t="array" ref="I31">MuFFromP(テーブル2[[#This Row],[P]])</f>
        <v>7.0614185977515193E-5</v>
      </c>
      <c r="J31">
        <f t="array" ref="J31">KfFromP(テーブル2[[#This Row],[P]])</f>
        <v>0.48330738078477459</v>
      </c>
      <c r="K31">
        <f t="array" ref="K31">CpFFromP(テーブル2[[#This Row],[P]])</f>
        <v>8121.4802011854335</v>
      </c>
      <c r="L31">
        <f t="array" ref="L31">SigmaFromP(テーブル2[[#This Row],[P]])</f>
        <v>5.7214247636284644E-3</v>
      </c>
      <c r="M31" s="22">
        <v>295</v>
      </c>
      <c r="N31">
        <v>3962.232</v>
      </c>
      <c r="O31" s="8">
        <v>8.7843467213758383E-5</v>
      </c>
      <c r="P31" s="8">
        <v>2.9843873572041598E-2</v>
      </c>
      <c r="Q31">
        <v>1.1773735336561952E-2</v>
      </c>
      <c r="R31">
        <v>4.2545000000000002</v>
      </c>
      <c r="S31" s="15">
        <v>1171294.04296875</v>
      </c>
      <c r="T31">
        <v>573.59444444444443</v>
      </c>
      <c r="U31" s="12">
        <f>+T31+BG31*S31*テーブル2[[#This Row],[Pw]]*R31/(N31*O31*K31)</f>
        <v>626.20647864972148</v>
      </c>
      <c r="V31">
        <v>0.03</v>
      </c>
      <c r="W31" s="8">
        <f t="shared" si="28"/>
        <v>1674569.3409076456</v>
      </c>
      <c r="X31">
        <v>1.5758855691055958E-2</v>
      </c>
      <c r="Y31">
        <f t="shared" si="31"/>
        <v>7.9659515513541637</v>
      </c>
      <c r="Z31">
        <f t="shared" si="29"/>
        <v>7.965951562280897</v>
      </c>
      <c r="AA31">
        <f t="shared" si="32"/>
        <v>-1.0926733295946178E-8</v>
      </c>
      <c r="AB31">
        <f t="shared" si="33"/>
        <v>1.3605242318012635E-5</v>
      </c>
      <c r="AC31">
        <v>628.61018686364582</v>
      </c>
      <c r="AD31">
        <f t="shared" si="30"/>
        <v>37161.264692903947</v>
      </c>
      <c r="AE31">
        <f>+gettm2(AD31,AC31,AK31,AL31,テーブル2[[#This Row],[Fcorr]])</f>
        <v>626.20647864972125</v>
      </c>
      <c r="AF31" s="14">
        <f t="shared" si="34"/>
        <v>0</v>
      </c>
      <c r="AG31">
        <v>1.3625237560062736E-5</v>
      </c>
      <c r="AH31">
        <f t="shared" si="35"/>
        <v>50.463707708199458</v>
      </c>
      <c r="AI31">
        <f t="shared" si="36"/>
        <v>0.28696036049648271</v>
      </c>
      <c r="AJ31">
        <f t="shared" si="37"/>
        <v>33.931993328609344</v>
      </c>
      <c r="AK31">
        <f t="array" ref="AK31">+S31*テーブル2[[#This Row],[F_form]]/(E31*CpFromTP((テーブル2[[#This Row],[Tin]]+テーブル2[[#This Row],[Tf]])/2,テーブル2[[#This Row],[P]])*AI31)</f>
        <v>1.0128205654156655</v>
      </c>
      <c r="AL31">
        <f t="shared" si="38"/>
        <v>1.186598293632519</v>
      </c>
      <c r="AM31">
        <f t="shared" si="39"/>
        <v>612.48370254989641</v>
      </c>
      <c r="AN31">
        <f t="shared" si="40"/>
        <v>1.3990302250022069E-9</v>
      </c>
      <c r="AO31">
        <f t="shared" si="41"/>
        <v>1.9995242050101277E-8</v>
      </c>
      <c r="AP31">
        <v>3.4598756938382422</v>
      </c>
      <c r="AQ31">
        <f t="shared" si="42"/>
        <v>3.7691939331431325E-5</v>
      </c>
      <c r="AR31">
        <f t="shared" si="43"/>
        <v>6.8226164010564185E-6</v>
      </c>
      <c r="AS31">
        <f t="shared" si="44"/>
        <v>16.990894520832203</v>
      </c>
      <c r="AT31">
        <f t="shared" si="45"/>
        <v>11.113387920704325</v>
      </c>
      <c r="AU31">
        <f t="shared" si="46"/>
        <v>3.1891018040625694</v>
      </c>
      <c r="AV31">
        <f t="shared" si="47"/>
        <v>0.27077388977567285</v>
      </c>
      <c r="AW31">
        <f t="shared" si="48"/>
        <v>8.5703043013497741E-3</v>
      </c>
      <c r="AX31">
        <f t="shared" si="49"/>
        <v>0.27077387831224403</v>
      </c>
      <c r="AY31">
        <f t="shared" si="50"/>
        <v>1.1463428817304333E-8</v>
      </c>
      <c r="AZ31">
        <f t="shared" si="51"/>
        <v>1035404.645585787</v>
      </c>
      <c r="BA31">
        <f t="shared" si="52"/>
        <v>1.0894015469560831E-5</v>
      </c>
      <c r="BB31" s="15">
        <f t="shared" si="53"/>
        <v>1164619.6810814335</v>
      </c>
      <c r="BC31" s="20">
        <f t="shared" si="54"/>
        <v>-6674.3618873164523</v>
      </c>
      <c r="BD31" s="19">
        <f t="shared" si="55"/>
        <v>-0.56982803996848497</v>
      </c>
      <c r="BE31" s="15">
        <v>1378866.1961999999</v>
      </c>
      <c r="BF31" s="16">
        <f>テーブル2[[#This Row],[q_P]]/テーブル2[[#This Row],[q_M]]</f>
        <v>0.84462124337444366</v>
      </c>
      <c r="BG31">
        <v>1</v>
      </c>
      <c r="BH31">
        <v>2.6478935571520177E-2</v>
      </c>
      <c r="BI31">
        <v>4.5999999999999999E-2</v>
      </c>
      <c r="BJ31">
        <v>5625</v>
      </c>
      <c r="BK31" s="21">
        <f>1+テーブル2[[#This Row],[A_corr]]*EXP(-テーブル2[[#This Row],[(Tsub-40)^2]]/テーブル2[[#This Row],[σ_corr]])</f>
        <v>1.0459899117930544</v>
      </c>
      <c r="BL31">
        <f>テーブル2[[#This Row],[Ts]]-テーブル2[[#This Row],[Tin]]</f>
        <v>38.889258106851003</v>
      </c>
      <c r="BM31">
        <f>テーブル2[[#This Row],[q_P]]*0.000001</f>
        <v>1.1646196810814335</v>
      </c>
      <c r="BN31">
        <f>テーブル2[[#This Row],[Tsub]]</f>
        <v>38.889258106851003</v>
      </c>
      <c r="BO31">
        <f>テーブル2[[#This Row],[Fcorr]]</f>
        <v>1.0459899117930544</v>
      </c>
      <c r="BP31">
        <f>(テーブル2[[#This Row],[Tsub]]-40)^2</f>
        <v>1.2337475531962188</v>
      </c>
      <c r="BQ31" s="10">
        <v>0.95858533644210819</v>
      </c>
      <c r="BR31" s="33">
        <v>4.2670000000000003</v>
      </c>
    </row>
    <row r="32" spans="1:70" x14ac:dyDescent="0.15">
      <c r="A32" s="9" t="s">
        <v>116</v>
      </c>
      <c r="B32">
        <v>14478989.699999999</v>
      </c>
      <c r="C32" s="21" cm="1">
        <f t="array" ref="C32">TsatFromP(テーブル2[[#This Row],[P]])</f>
        <v>612.48370255129544</v>
      </c>
      <c r="D32">
        <f t="array" ref="D32">RhoGFromP(テーブル2[[#This Row],[P]])</f>
        <v>91.580011978832957</v>
      </c>
      <c r="E32">
        <f t="array" ref="E32">RhoFFromP(テーブル2[[#This Row],[P]])</f>
        <v>612.82339669043313</v>
      </c>
      <c r="F32">
        <f t="array" ref="F32">HgFromP(テーブル2[[#This Row],[P]])</f>
        <v>2625160.7264840975</v>
      </c>
      <c r="G32">
        <f t="array" ref="G32">HfFromP(テーブル2[[#This Row],[P]])</f>
        <v>1589756.0808983105</v>
      </c>
      <c r="H32">
        <f t="array" ref="H32">MuGFromP(テーブル2[[#This Row],[P]])</f>
        <v>2.2406167499944594E-5</v>
      </c>
      <c r="I32">
        <f t="array" ref="I32">MuFFromP(テーブル2[[#This Row],[P]])</f>
        <v>7.0614185977515193E-5</v>
      </c>
      <c r="J32">
        <f t="array" ref="J32">KfFromP(テーブル2[[#This Row],[P]])</f>
        <v>0.48330738078477459</v>
      </c>
      <c r="K32">
        <f t="array" ref="K32">CpFFromP(テーブル2[[#This Row],[P]])</f>
        <v>8121.4802011854335</v>
      </c>
      <c r="L32">
        <f t="array" ref="L32">SigmaFromP(テーブル2[[#This Row],[P]])</f>
        <v>5.7214247636284644E-3</v>
      </c>
      <c r="M32" s="22">
        <v>297</v>
      </c>
      <c r="N32">
        <v>3987.9960000000001</v>
      </c>
      <c r="O32" s="8">
        <v>8.7843467213758383E-5</v>
      </c>
      <c r="P32" s="8">
        <v>2.9843873572041598E-2</v>
      </c>
      <c r="Q32">
        <v>1.1773735336561952E-2</v>
      </c>
      <c r="R32">
        <v>4.2545000000000002</v>
      </c>
      <c r="S32" s="15">
        <v>1414847.3804687499</v>
      </c>
      <c r="T32">
        <v>557.20555555555552</v>
      </c>
      <c r="U32" s="12">
        <f>+T32+BG32*S32*テーブル2[[#This Row],[Pw]]*R32/(N32*O32*K32)</f>
        <v>620.34691693653042</v>
      </c>
      <c r="V32">
        <v>0.03</v>
      </c>
      <c r="W32" s="8">
        <f t="shared" si="28"/>
        <v>1685458.0532544099</v>
      </c>
      <c r="X32">
        <v>1.5724088035081955E-2</v>
      </c>
      <c r="Y32">
        <f t="shared" si="31"/>
        <v>7.9747534779185463</v>
      </c>
      <c r="Z32">
        <f t="shared" si="29"/>
        <v>7.9747534869978196</v>
      </c>
      <c r="AA32">
        <f t="shared" si="32"/>
        <v>-9.0792733331568343E-9</v>
      </c>
      <c r="AB32">
        <f t="shared" si="33"/>
        <v>1.3459715100159322E-5</v>
      </c>
      <c r="AC32">
        <v>633.77915845866471</v>
      </c>
      <c r="AD32">
        <f t="shared" si="30"/>
        <v>37361.619458258676</v>
      </c>
      <c r="AE32">
        <f>+gettm2(AD32,AC32,AK32,AL32,テーブル2[[#This Row],[Fcorr]])</f>
        <v>620.34691728922871</v>
      </c>
      <c r="AF32" s="14">
        <f t="shared" si="34"/>
        <v>3.5269829368189676E-7</v>
      </c>
      <c r="AG32">
        <v>1.3483936789954287E-5</v>
      </c>
      <c r="AH32">
        <f t="shared" si="35"/>
        <v>51.009324233563362</v>
      </c>
      <c r="AI32">
        <f t="shared" si="36"/>
        <v>0.28850750578791728</v>
      </c>
      <c r="AJ32">
        <f t="shared" si="37"/>
        <v>33.761147924004071</v>
      </c>
      <c r="AK32">
        <f t="array" ref="AK32">+S32*テーブル2[[#This Row],[F_form]]/(E32*CpFromTP((テーブル2[[#This Row],[Tin]]+テーブル2[[#This Row],[Tf]])/2,テーブル2[[#This Row],[P]])*AI32)</f>
        <v>1.338517606313548</v>
      </c>
      <c r="AL32">
        <f t="shared" si="38"/>
        <v>1.186598293632519</v>
      </c>
      <c r="AM32">
        <f t="shared" si="39"/>
        <v>612.48370254701933</v>
      </c>
      <c r="AN32">
        <f t="shared" si="40"/>
        <v>4.2761030272231437E-9</v>
      </c>
      <c r="AO32">
        <f t="shared" si="41"/>
        <v>2.4221689794964906E-8</v>
      </c>
      <c r="AP32">
        <v>3.4708601729310575</v>
      </c>
      <c r="AQ32">
        <f t="shared" si="42"/>
        <v>3.7453744100493985E-5</v>
      </c>
      <c r="AR32">
        <f t="shared" si="43"/>
        <v>6.7540792398746259E-6</v>
      </c>
      <c r="AS32">
        <f t="shared" si="44"/>
        <v>16.910897155624035</v>
      </c>
      <c r="AT32">
        <f t="shared" si="45"/>
        <v>11.089791081206998</v>
      </c>
      <c r="AU32">
        <f t="shared" si="46"/>
        <v>3.1994879645481218</v>
      </c>
      <c r="AV32">
        <f t="shared" si="47"/>
        <v>0.27137220838293574</v>
      </c>
      <c r="AW32">
        <f t="shared" si="48"/>
        <v>8.4786328329570001E-3</v>
      </c>
      <c r="AX32">
        <f t="shared" si="49"/>
        <v>0.2713721966629275</v>
      </c>
      <c r="AY32">
        <f t="shared" si="50"/>
        <v>1.1720008241677959E-8</v>
      </c>
      <c r="AZ32">
        <f t="shared" si="51"/>
        <v>1035404.645585787</v>
      </c>
      <c r="BA32">
        <f t="shared" si="52"/>
        <v>1.079091125381326E-5</v>
      </c>
      <c r="BB32" s="15">
        <f t="shared" si="53"/>
        <v>1424268.1544034772</v>
      </c>
      <c r="BC32" s="20">
        <f t="shared" si="54"/>
        <v>9420.7739347273018</v>
      </c>
      <c r="BD32" s="19">
        <f t="shared" si="55"/>
        <v>0.66585089422197086</v>
      </c>
      <c r="BE32" s="15">
        <v>1618518.0035999999</v>
      </c>
      <c r="BF32" s="16">
        <f>テーブル2[[#This Row],[q_P]]/テーブル2[[#This Row],[q_M]]</f>
        <v>0.87998289251990947</v>
      </c>
      <c r="BG32">
        <v>1</v>
      </c>
      <c r="BH32">
        <v>-2.5267355203347979E-2</v>
      </c>
      <c r="BI32">
        <v>4.5999999999999999E-2</v>
      </c>
      <c r="BJ32">
        <v>5625</v>
      </c>
      <c r="BK32" s="21">
        <f>1+テーブル2[[#This Row],[A_corr]]*EXP(-テーブル2[[#This Row],[(Tsub-40)^2]]/テーブル2[[#This Row],[σ_corr]])</f>
        <v>1.0441301927890498</v>
      </c>
      <c r="BL32">
        <f>テーブル2[[#This Row],[Ts]]-テーブル2[[#This Row],[Tin]]</f>
        <v>55.278146995739917</v>
      </c>
      <c r="BM32">
        <f>テーブル2[[#This Row],[q_P]]*0.000001</f>
        <v>1.4242681544034772</v>
      </c>
      <c r="BN32">
        <f>テーブル2[[#This Row],[Tsub]]</f>
        <v>55.278146995739917</v>
      </c>
      <c r="BO32">
        <f>テーブル2[[#This Row],[Fcorr]]</f>
        <v>1.0441301927890498</v>
      </c>
      <c r="BP32">
        <f>(テーブル2[[#This Row],[Tsub]]-40)^2</f>
        <v>233.42177562343664</v>
      </c>
      <c r="BQ32" s="10">
        <v>0.98321816626796543</v>
      </c>
      <c r="BR32" s="33">
        <v>4.2670000000000003</v>
      </c>
    </row>
    <row r="33" spans="1:70" x14ac:dyDescent="0.15">
      <c r="A33" s="9" t="s">
        <v>117</v>
      </c>
      <c r="B33">
        <v>14478989.699999999</v>
      </c>
      <c r="C33" s="21" cm="1">
        <f t="array" ref="C33">TsatFromP(テーブル2[[#This Row],[P]])</f>
        <v>612.48370255129544</v>
      </c>
      <c r="D33">
        <f t="array" ref="D33">RhoGFromP(テーブル2[[#This Row],[P]])</f>
        <v>91.580011978832957</v>
      </c>
      <c r="E33">
        <f t="array" ref="E33">RhoFFromP(テーブル2[[#This Row],[P]])</f>
        <v>612.82339669043313</v>
      </c>
      <c r="F33">
        <f t="array" ref="F33">HgFromP(テーブル2[[#This Row],[P]])</f>
        <v>2625160.7264840975</v>
      </c>
      <c r="G33">
        <f t="array" ref="G33">HfFromP(テーブル2[[#This Row],[P]])</f>
        <v>1589756.0808983105</v>
      </c>
      <c r="H33">
        <f t="array" ref="H33">MuGFromP(テーブル2[[#This Row],[P]])</f>
        <v>2.2406167499944594E-5</v>
      </c>
      <c r="I33">
        <f t="array" ref="I33">MuFFromP(テーブル2[[#This Row],[P]])</f>
        <v>7.0614185977515193E-5</v>
      </c>
      <c r="J33">
        <f t="array" ref="J33">KfFromP(テーブル2[[#This Row],[P]])</f>
        <v>0.48330738078477459</v>
      </c>
      <c r="K33">
        <f t="array" ref="K33">CpFFromP(テーブル2[[#This Row],[P]])</f>
        <v>8121.4802011854335</v>
      </c>
      <c r="L33">
        <f t="array" ref="L33">SigmaFromP(テーブル2[[#This Row],[P]])</f>
        <v>5.7214247636284644E-3</v>
      </c>
      <c r="M33">
        <v>298</v>
      </c>
      <c r="N33">
        <v>3381.864</v>
      </c>
      <c r="O33" s="8">
        <v>8.7843467213758383E-5</v>
      </c>
      <c r="P33" s="8">
        <v>2.9843873572041598E-2</v>
      </c>
      <c r="Q33">
        <v>1.1773735336561952E-2</v>
      </c>
      <c r="R33">
        <v>4.2545000000000002</v>
      </c>
      <c r="S33" s="15">
        <v>1442710.48484375</v>
      </c>
      <c r="T33">
        <v>534.98333333333335</v>
      </c>
      <c r="U33" s="12">
        <f>+T33+BG33*S33*テーブル2[[#This Row],[Pw]]*R33/(N33*O33*K33)</f>
        <v>610.90786291058157</v>
      </c>
      <c r="V33">
        <v>0.03</v>
      </c>
      <c r="W33" s="8">
        <f t="shared" si="28"/>
        <v>1429286.7680436922</v>
      </c>
      <c r="X33">
        <v>1.6646081566640145E-2</v>
      </c>
      <c r="Y33">
        <f t="shared" si="31"/>
        <v>7.7507546730943346</v>
      </c>
      <c r="Z33">
        <f t="shared" si="29"/>
        <v>7.7507546848786424</v>
      </c>
      <c r="AA33">
        <f t="shared" si="32"/>
        <v>-1.1784307751838696E-8</v>
      </c>
      <c r="AB33">
        <f t="shared" si="33"/>
        <v>1.7680171212762467E-5</v>
      </c>
      <c r="AC33">
        <v>640.2651373755175</v>
      </c>
      <c r="AD33">
        <f t="shared" si="30"/>
        <v>32598.708402301083</v>
      </c>
      <c r="AE33">
        <f>+gettm2(AD33,AC33,AK33,AL33,テーブル2[[#This Row],[Fcorr]])</f>
        <v>610.90786291058134</v>
      </c>
      <c r="AF33" s="14">
        <f t="shared" si="34"/>
        <v>0</v>
      </c>
      <c r="AG33">
        <v>1.7711132546260257E-5</v>
      </c>
      <c r="AH33">
        <f t="shared" si="35"/>
        <v>38.832823696854994</v>
      </c>
      <c r="AI33">
        <f t="shared" si="36"/>
        <v>0.25172816889168775</v>
      </c>
      <c r="AJ33">
        <f t="shared" si="37"/>
        <v>38.69203131130579</v>
      </c>
      <c r="AK33">
        <f t="array" ref="AK33">+S33*テーブル2[[#This Row],[F_form]]/(E33*CpFromTP((テーブル2[[#This Row],[Tin]]+テーブル2[[#This Row],[Tf]])/2,テーブル2[[#This Row],[P]])*AI33)</f>
        <v>1.7095700396661577</v>
      </c>
      <c r="AL33">
        <f t="shared" si="38"/>
        <v>1.186598293632519</v>
      </c>
      <c r="AM33">
        <f t="shared" si="39"/>
        <v>612.48370254249005</v>
      </c>
      <c r="AN33">
        <f t="shared" si="40"/>
        <v>8.8053866420523264E-9</v>
      </c>
      <c r="AO33">
        <f t="shared" si="41"/>
        <v>3.0961333497789853E-8</v>
      </c>
      <c r="AP33">
        <v>3.2184784595860232</v>
      </c>
      <c r="AQ33">
        <f t="shared" si="42"/>
        <v>4.3558033165137885E-5</v>
      </c>
      <c r="AR33">
        <f t="shared" si="43"/>
        <v>8.8710469398790232E-6</v>
      </c>
      <c r="AS33">
        <f t="shared" si="44"/>
        <v>19.379834974716974</v>
      </c>
      <c r="AT33">
        <f t="shared" si="45"/>
        <v>11.771165455949417</v>
      </c>
      <c r="AU33">
        <f t="shared" si="46"/>
        <v>2.9631339259472353</v>
      </c>
      <c r="AV33">
        <f t="shared" si="47"/>
        <v>0.25534453363878784</v>
      </c>
      <c r="AW33">
        <f t="shared" si="48"/>
        <v>1.1137210484867889E-2</v>
      </c>
      <c r="AX33">
        <f t="shared" si="49"/>
        <v>0.25534453174890992</v>
      </c>
      <c r="AY33">
        <f t="shared" si="50"/>
        <v>1.88987792082429E-9</v>
      </c>
      <c r="AZ33">
        <f t="shared" si="51"/>
        <v>1035404.645585787</v>
      </c>
      <c r="BA33">
        <f t="shared" si="52"/>
        <v>1.3533734561871369E-5</v>
      </c>
      <c r="BB33" s="15">
        <f t="shared" si="53"/>
        <v>1451601.6389527679</v>
      </c>
      <c r="BC33" s="20">
        <f t="shared" si="54"/>
        <v>8891.1541090179235</v>
      </c>
      <c r="BD33" s="19">
        <f t="shared" si="55"/>
        <v>0.61628124300911724</v>
      </c>
      <c r="BE33" s="15">
        <v>1608098.3597999997</v>
      </c>
      <c r="BF33" s="16">
        <f>テーブル2[[#This Row],[q_P]]/テーブル2[[#This Row],[q_M]]</f>
        <v>0.90268212146756033</v>
      </c>
      <c r="BG33">
        <v>1</v>
      </c>
      <c r="BH33">
        <v>-9.9971246371980252E-2</v>
      </c>
      <c r="BI33">
        <v>4.5999999999999999E-2</v>
      </c>
      <c r="BJ33">
        <v>5625</v>
      </c>
      <c r="BK33" s="21">
        <f>1+テーブル2[[#This Row],[A_corr]]*EXP(-テーブル2[[#This Row],[(Tsub-40)^2]]/テーブル2[[#This Row],[σ_corr]])</f>
        <v>1.0358246596585445</v>
      </c>
      <c r="BL33">
        <f>テーブル2[[#This Row],[Ts]]-テーブル2[[#This Row],[Tin]]</f>
        <v>77.500369217962088</v>
      </c>
      <c r="BM33">
        <f>テーブル2[[#This Row],[q_P]]*0.000001</f>
        <v>1.4516016389527679</v>
      </c>
      <c r="BN33">
        <f>テーブル2[[#This Row],[Tsub]]</f>
        <v>77.500369217962088</v>
      </c>
      <c r="BO33">
        <f>テーブル2[[#This Row],[Fcorr]]</f>
        <v>1.0358246596585445</v>
      </c>
      <c r="BP33">
        <f>(テーブル2[[#This Row],[Tsub]]-40)^2</f>
        <v>1406.2776914834785</v>
      </c>
      <c r="BQ33" s="10">
        <v>1.0039034889443221</v>
      </c>
      <c r="BR33" s="33">
        <v>4.2670000000000003</v>
      </c>
    </row>
    <row r="34" spans="1:70" x14ac:dyDescent="0.15">
      <c r="A34" s="9" t="s">
        <v>118</v>
      </c>
      <c r="B34">
        <v>14478989.699999999</v>
      </c>
      <c r="C34" s="21" cm="1">
        <f t="array" ref="C34">TsatFromP(テーブル2[[#This Row],[P]])</f>
        <v>612.48370255129544</v>
      </c>
      <c r="D34">
        <f t="array" ref="D34">RhoGFromP(テーブル2[[#This Row],[P]])</f>
        <v>91.580011978832957</v>
      </c>
      <c r="E34">
        <f t="array" ref="E34">RhoFFromP(テーブル2[[#This Row],[P]])</f>
        <v>612.82339669043313</v>
      </c>
      <c r="F34">
        <f t="array" ref="F34">HgFromP(テーブル2[[#This Row],[P]])</f>
        <v>2625160.7264840975</v>
      </c>
      <c r="G34">
        <f t="array" ref="G34">HfFromP(テーブル2[[#This Row],[P]])</f>
        <v>1589756.0808983105</v>
      </c>
      <c r="H34">
        <f t="array" ref="H34">MuGFromP(テーブル2[[#This Row],[P]])</f>
        <v>2.2406167499944594E-5</v>
      </c>
      <c r="I34">
        <f t="array" ref="I34">MuFFromP(テーブル2[[#This Row],[P]])</f>
        <v>7.0614185977515193E-5</v>
      </c>
      <c r="J34">
        <f t="array" ref="J34">KfFromP(テーブル2[[#This Row],[P]])</f>
        <v>0.48330738078477459</v>
      </c>
      <c r="K34">
        <f t="array" ref="K34">CpFFromP(テーブル2[[#This Row],[P]])</f>
        <v>8121.4802011854335</v>
      </c>
      <c r="L34">
        <f t="array" ref="L34">SigmaFromP(テーブル2[[#This Row],[P]])</f>
        <v>5.7214247636284644E-3</v>
      </c>
      <c r="M34" s="22">
        <v>301</v>
      </c>
      <c r="N34">
        <v>2725.5599999999995</v>
      </c>
      <c r="O34" s="8">
        <v>8.7843467213758383E-5</v>
      </c>
      <c r="P34" s="8">
        <v>2.9843873572041598E-2</v>
      </c>
      <c r="Q34">
        <v>1.1773735336561952E-2</v>
      </c>
      <c r="R34">
        <v>4.2545000000000002</v>
      </c>
      <c r="S34" s="15">
        <v>1364022.10203125</v>
      </c>
      <c r="T34">
        <v>510.81666666666661</v>
      </c>
      <c r="U34" s="12">
        <f>+T34+BG34*S34*テーブル2[[#This Row],[Pw]]*R34/(N34*O34*K34)</f>
        <v>599.88528613114852</v>
      </c>
      <c r="V34">
        <v>0.03</v>
      </c>
      <c r="W34" s="8">
        <f t="shared" si="28"/>
        <v>1151911.1482629592</v>
      </c>
      <c r="X34">
        <v>1.7980892766135202E-2</v>
      </c>
      <c r="Y34">
        <f t="shared" si="31"/>
        <v>7.4575191026675158</v>
      </c>
      <c r="Z34">
        <f t="shared" si="29"/>
        <v>7.4575191136027144</v>
      </c>
      <c r="AA34">
        <f t="shared" si="32"/>
        <v>-1.093519852446434E-8</v>
      </c>
      <c r="AB34">
        <f t="shared" si="33"/>
        <v>2.5199273325269434E-5</v>
      </c>
      <c r="AC34">
        <v>646.89684467676489</v>
      </c>
      <c r="AD34">
        <f t="shared" si="30"/>
        <v>27305.467577339827</v>
      </c>
      <c r="AE34">
        <f>+gettm2(AD34,AC34,AK34,AL34,テーブル2[[#This Row],[Fcorr]])</f>
        <v>599.8852866110891</v>
      </c>
      <c r="AF34" s="14">
        <f t="shared" si="34"/>
        <v>4.7994058149924967E-7</v>
      </c>
      <c r="AG34">
        <v>2.5238563873363364E-5</v>
      </c>
      <c r="AH34">
        <f t="shared" si="35"/>
        <v>27.245665490954185</v>
      </c>
      <c r="AI34">
        <f t="shared" si="36"/>
        <v>0.21085361018444254</v>
      </c>
      <c r="AJ34">
        <f t="shared" si="37"/>
        <v>46.183735893342977</v>
      </c>
      <c r="AK34">
        <f t="array" ref="AK34">+S34*テーブル2[[#This Row],[F_form]]/(E34*CpFromTP((テーブル2[[#This Row],[Tin]]+テーブル2[[#This Row],[Tf]])/2,テーブル2[[#This Row],[P]])*AI34)</f>
        <v>2.0615283213135798</v>
      </c>
      <c r="AL34">
        <f t="shared" si="38"/>
        <v>1.186598293632519</v>
      </c>
      <c r="AM34">
        <f t="shared" si="39"/>
        <v>612.48370250223741</v>
      </c>
      <c r="AN34">
        <f t="shared" si="40"/>
        <v>4.9058030526794028E-8</v>
      </c>
      <c r="AO34">
        <f t="shared" si="41"/>
        <v>3.9290548093929819E-8</v>
      </c>
      <c r="AP34">
        <v>2.9053266724137439</v>
      </c>
      <c r="AQ34">
        <f t="shared" si="42"/>
        <v>5.345391671053805E-5</v>
      </c>
      <c r="AR34">
        <f t="shared" si="43"/>
        <v>1.2638927210728647E-5</v>
      </c>
      <c r="AS34">
        <f t="shared" si="44"/>
        <v>23.127816590686646</v>
      </c>
      <c r="AT34">
        <f t="shared" si="45"/>
        <v>12.655180372489156</v>
      </c>
      <c r="AU34">
        <f t="shared" si="46"/>
        <v>2.668390469074637</v>
      </c>
      <c r="AV34">
        <f t="shared" si="47"/>
        <v>0.23693620333910692</v>
      </c>
      <c r="AW34">
        <f t="shared" si="48"/>
        <v>1.5873693060543155E-2</v>
      </c>
      <c r="AX34">
        <f t="shared" si="49"/>
        <v>0.2369362017211433</v>
      </c>
      <c r="AY34">
        <f t="shared" si="50"/>
        <v>1.6179636241897555E-9</v>
      </c>
      <c r="AZ34">
        <f t="shared" si="51"/>
        <v>1035404.645585787</v>
      </c>
      <c r="BA34">
        <f t="shared" si="52"/>
        <v>1.8398590842842661E-5</v>
      </c>
      <c r="BB34" s="15">
        <f t="shared" si="53"/>
        <v>1355030.1937619823</v>
      </c>
      <c r="BC34" s="20">
        <f t="shared" si="54"/>
        <v>-8991.9082692677621</v>
      </c>
      <c r="BD34" s="19">
        <f t="shared" si="55"/>
        <v>-0.65922012963553545</v>
      </c>
      <c r="BE34" s="15">
        <v>1583785.8576000002</v>
      </c>
      <c r="BF34" s="16">
        <f>テーブル2[[#This Row],[q_P]]/テーブル2[[#This Row],[q_M]]</f>
        <v>0.85556401912524693</v>
      </c>
      <c r="BG34">
        <v>1</v>
      </c>
      <c r="BH34">
        <v>-0.15512462797083307</v>
      </c>
      <c r="BI34">
        <v>4.5999999999999999E-2</v>
      </c>
      <c r="BJ34">
        <v>5625</v>
      </c>
      <c r="BK34" s="21">
        <f>1+テーブル2[[#This Row],[A_corr]]*EXP(-テーブル2[[#This Row],[(Tsub-40)^2]]/テーブル2[[#This Row],[σ_corr]])</f>
        <v>1.0233964410356569</v>
      </c>
      <c r="BL34">
        <f>テーブル2[[#This Row],[Ts]]-テーブル2[[#This Row],[Tin]]</f>
        <v>101.66703588462883</v>
      </c>
      <c r="BM34">
        <f>テーブル2[[#This Row],[q_P]]*0.000001</f>
        <v>1.3550301937619822</v>
      </c>
      <c r="BN34">
        <f>テーブル2[[#This Row],[Tsub]]</f>
        <v>101.66703588462883</v>
      </c>
      <c r="BO34">
        <f>テーブル2[[#This Row],[Fcorr]]</f>
        <v>1.0233964410356569</v>
      </c>
      <c r="BP34">
        <f>(テーブル2[[#This Row],[Tsub]]-40)^2</f>
        <v>3802.8233147961</v>
      </c>
      <c r="BQ34" s="10">
        <v>0.99556981787589571</v>
      </c>
      <c r="BR34" s="33">
        <v>4.2670000000000003</v>
      </c>
    </row>
    <row r="35" spans="1:70" x14ac:dyDescent="0.15">
      <c r="A35" s="9" t="s">
        <v>119</v>
      </c>
      <c r="B35">
        <v>14478989.699999999</v>
      </c>
      <c r="C35" s="21" cm="1">
        <f t="array" ref="C35">TsatFromP(テーブル2[[#This Row],[P]])</f>
        <v>612.48370255129544</v>
      </c>
      <c r="D35">
        <f t="array" ref="D35">RhoGFromP(テーブル2[[#This Row],[P]])</f>
        <v>91.580011978832957</v>
      </c>
      <c r="E35">
        <f t="array" ref="E35">RhoFFromP(テーブル2[[#This Row],[P]])</f>
        <v>612.82339669043313</v>
      </c>
      <c r="F35">
        <f t="array" ref="F35">HgFromP(テーブル2[[#This Row],[P]])</f>
        <v>2625160.7264840975</v>
      </c>
      <c r="G35">
        <f t="array" ref="G35">HfFromP(テーブル2[[#This Row],[P]])</f>
        <v>1589756.0808983105</v>
      </c>
      <c r="H35">
        <f t="array" ref="H35">MuGFromP(テーブル2[[#This Row],[P]])</f>
        <v>2.2406167499944594E-5</v>
      </c>
      <c r="I35">
        <f t="array" ref="I35">MuFFromP(テーブル2[[#This Row],[P]])</f>
        <v>7.0614185977515193E-5</v>
      </c>
      <c r="J35">
        <f t="array" ref="J35">KfFromP(テーブル2[[#This Row],[P]])</f>
        <v>0.48330738078477459</v>
      </c>
      <c r="K35">
        <f t="array" ref="K35">CpFFromP(テーブル2[[#This Row],[P]])</f>
        <v>8121.4802011854335</v>
      </c>
      <c r="L35">
        <f t="array" ref="L35">SigmaFromP(テーブル2[[#This Row],[P]])</f>
        <v>5.7214247636284644E-3</v>
      </c>
      <c r="M35">
        <v>302</v>
      </c>
      <c r="N35">
        <v>3345.252</v>
      </c>
      <c r="O35" s="8">
        <v>8.7843467213758383E-5</v>
      </c>
      <c r="P35" s="8">
        <v>2.9843873572041598E-2</v>
      </c>
      <c r="Q35">
        <v>1.1773735336561952E-2</v>
      </c>
      <c r="R35">
        <v>4.2545000000000002</v>
      </c>
      <c r="S35" s="15">
        <v>1590596.71015625</v>
      </c>
      <c r="T35">
        <v>515.87222222222226</v>
      </c>
      <c r="U35" s="12">
        <f>+T35+BG35*S35*テーブル2[[#This Row],[Pw]]*R35/(N35*O35*K35)</f>
        <v>600.49558925308497</v>
      </c>
      <c r="V35">
        <v>0.03</v>
      </c>
      <c r="W35" s="8">
        <f t="shared" si="28"/>
        <v>1413813.3347088164</v>
      </c>
      <c r="X35">
        <v>1.67098129407534E-2</v>
      </c>
      <c r="Y35">
        <f t="shared" si="31"/>
        <v>7.7359598293180518</v>
      </c>
      <c r="Z35">
        <f t="shared" si="29"/>
        <v>7.7359598377011789</v>
      </c>
      <c r="AA35">
        <f t="shared" si="32"/>
        <v>-8.3831270814016534E-9</v>
      </c>
      <c r="AB35">
        <f t="shared" si="33"/>
        <v>1.8000372639109338E-5</v>
      </c>
      <c r="AC35">
        <v>645.24780436165179</v>
      </c>
      <c r="AD35">
        <f t="shared" si="30"/>
        <v>32307.464696100233</v>
      </c>
      <c r="AE35">
        <f>+gettm2(AD35,AC35,AK35,AL35,テーブル2[[#This Row],[Fcorr]])</f>
        <v>600.49558925308497</v>
      </c>
      <c r="AF35" s="14">
        <f t="shared" si="34"/>
        <v>0</v>
      </c>
      <c r="AG35">
        <v>1.8034783666700574E-5</v>
      </c>
      <c r="AH35">
        <f t="shared" si="35"/>
        <v>38.142042134378137</v>
      </c>
      <c r="AI35">
        <f t="shared" si="36"/>
        <v>0.24947917657093699</v>
      </c>
      <c r="AJ35">
        <f t="shared" si="37"/>
        <v>39.047085171918226</v>
      </c>
      <c r="AK35">
        <f t="array" ref="AK35">+S35*テーブル2[[#This Row],[F_form]]/(E35*CpFromTP((テーブル2[[#This Row],[Tin]]+テーブル2[[#This Row],[Tf]])/2,テーブル2[[#This Row],[P]])*AI35)</f>
        <v>2.0133562172881723</v>
      </c>
      <c r="AL35">
        <f t="shared" si="38"/>
        <v>1.186598293632519</v>
      </c>
      <c r="AM35">
        <f t="shared" si="39"/>
        <v>612.48370255042528</v>
      </c>
      <c r="AN35">
        <f t="shared" si="40"/>
        <v>8.7015905592124909E-10</v>
      </c>
      <c r="AO35">
        <f t="shared" si="41"/>
        <v>3.4411027591235265E-8</v>
      </c>
      <c r="AP35">
        <v>3.2025741523740585</v>
      </c>
      <c r="AQ35">
        <f t="shared" si="42"/>
        <v>4.3991734598379575E-5</v>
      </c>
      <c r="AR35">
        <f t="shared" si="43"/>
        <v>9.0345973471459045E-6</v>
      </c>
      <c r="AS35">
        <f t="shared" si="44"/>
        <v>19.560794220080158</v>
      </c>
      <c r="AT35">
        <f t="shared" si="45"/>
        <v>11.817636340404578</v>
      </c>
      <c r="AU35">
        <f t="shared" si="46"/>
        <v>2.9482541832189151</v>
      </c>
      <c r="AV35">
        <f t="shared" si="47"/>
        <v>0.25431996915514343</v>
      </c>
      <c r="AW35">
        <f t="shared" si="48"/>
        <v>1.1338913886937084E-2</v>
      </c>
      <c r="AX35">
        <f t="shared" si="49"/>
        <v>0.25431996768337978</v>
      </c>
      <c r="AY35">
        <f t="shared" si="50"/>
        <v>1.4717636553918112E-9</v>
      </c>
      <c r="AZ35">
        <f t="shared" si="51"/>
        <v>1035404.645585787</v>
      </c>
      <c r="BA35">
        <f t="shared" si="52"/>
        <v>1.3736367217529885E-5</v>
      </c>
      <c r="BB35" s="15">
        <f t="shared" si="53"/>
        <v>1589539.0304738276</v>
      </c>
      <c r="BC35" s="20">
        <f t="shared" si="54"/>
        <v>-1057.6796824224293</v>
      </c>
      <c r="BD35" s="19">
        <f t="shared" si="55"/>
        <v>-6.649577958189852E-2</v>
      </c>
      <c r="BE35" s="15">
        <v>1795651.9481999998</v>
      </c>
      <c r="BF35" s="16">
        <f>テーブル2[[#This Row],[q_P]]/テーブル2[[#This Row],[q_M]]</f>
        <v>0.88521555197109092</v>
      </c>
      <c r="BG35">
        <v>1</v>
      </c>
      <c r="BH35">
        <v>-0.16173137161494791</v>
      </c>
      <c r="BI35">
        <v>4.5999999999999999E-2</v>
      </c>
      <c r="BJ35">
        <v>5625</v>
      </c>
      <c r="BK35" s="21">
        <f>1+テーブル2[[#This Row],[A_corr]]*EXP(-テーブル2[[#This Row],[(Tsub-40)^2]]/テーブル2[[#This Row],[σ_corr]])</f>
        <v>1.0260206007294144</v>
      </c>
      <c r="BL35">
        <f>テーブル2[[#This Row],[Ts]]-テーブル2[[#This Row],[Tin]]</f>
        <v>96.611480329073174</v>
      </c>
      <c r="BM35">
        <f>テーブル2[[#This Row],[q_P]]*0.000001</f>
        <v>1.5895390304738275</v>
      </c>
      <c r="BN35">
        <f>テーブル2[[#This Row],[Tsub]]</f>
        <v>96.611480329073174</v>
      </c>
      <c r="BO35">
        <f>テーブル2[[#This Row],[Fcorr]]</f>
        <v>1.0260206007294144</v>
      </c>
      <c r="BP35">
        <f>(テーブル2[[#This Row],[Tsub]]-40)^2</f>
        <v>3204.8597050490389</v>
      </c>
      <c r="BQ35" s="10">
        <v>1.0023212344031545</v>
      </c>
      <c r="BR35" s="33">
        <v>4.2670000000000003</v>
      </c>
    </row>
    <row r="36" spans="1:70" x14ac:dyDescent="0.15">
      <c r="A36" s="9" t="s">
        <v>120</v>
      </c>
      <c r="B36">
        <v>14478989.699999999</v>
      </c>
      <c r="C36" s="21" cm="1">
        <f t="array" ref="C36">TsatFromP(テーブル2[[#This Row],[P]])</f>
        <v>612.48370255129544</v>
      </c>
      <c r="D36">
        <f t="array" ref="D36">RhoGFromP(テーブル2[[#This Row],[P]])</f>
        <v>91.580011978832957</v>
      </c>
      <c r="E36">
        <f t="array" ref="E36">RhoFFromP(テーブル2[[#This Row],[P]])</f>
        <v>612.82339669043313</v>
      </c>
      <c r="F36">
        <f t="array" ref="F36">HgFromP(テーブル2[[#This Row],[P]])</f>
        <v>2625160.7264840975</v>
      </c>
      <c r="G36">
        <f t="array" ref="G36">HfFromP(テーブル2[[#This Row],[P]])</f>
        <v>1589756.0808983105</v>
      </c>
      <c r="H36">
        <f t="array" ref="H36">MuGFromP(テーブル2[[#This Row],[P]])</f>
        <v>2.2406167499944594E-5</v>
      </c>
      <c r="I36">
        <f t="array" ref="I36">MuFFromP(テーブル2[[#This Row],[P]])</f>
        <v>7.0614185977515193E-5</v>
      </c>
      <c r="J36">
        <f t="array" ref="J36">KfFromP(テーブル2[[#This Row],[P]])</f>
        <v>0.48330738078477459</v>
      </c>
      <c r="K36">
        <f t="array" ref="K36">CpFFromP(テーブル2[[#This Row],[P]])</f>
        <v>8121.4802011854335</v>
      </c>
      <c r="L36">
        <f t="array" ref="L36">SigmaFromP(テーブル2[[#This Row],[P]])</f>
        <v>5.7214247636284644E-3</v>
      </c>
      <c r="M36" s="22">
        <v>305</v>
      </c>
      <c r="N36">
        <v>2763.5279999999998</v>
      </c>
      <c r="O36" s="8">
        <v>8.7843467213758383E-5</v>
      </c>
      <c r="P36" s="8">
        <v>2.9843873572041598E-2</v>
      </c>
      <c r="Q36">
        <v>1.1773735336561952E-2</v>
      </c>
      <c r="R36">
        <v>4.2545000000000002</v>
      </c>
      <c r="S36" s="15">
        <v>1474922.71265625</v>
      </c>
      <c r="T36">
        <v>498.03888888888889</v>
      </c>
      <c r="U36" s="12">
        <f>+T36+BG36*S36*テーブル2[[#This Row],[Pw]]*R36/(N36*O36*K36)</f>
        <v>593.02595083113704</v>
      </c>
      <c r="V36">
        <v>0.03</v>
      </c>
      <c r="W36" s="8">
        <f t="shared" si="28"/>
        <v>1167957.6717213488</v>
      </c>
      <c r="X36">
        <v>1.7890589814481706E-2</v>
      </c>
      <c r="Y36">
        <f t="shared" si="31"/>
        <v>7.4763163681007336</v>
      </c>
      <c r="Z36">
        <f t="shared" si="29"/>
        <v>7.4763163747504882</v>
      </c>
      <c r="AA36">
        <f t="shared" si="32"/>
        <v>-6.6497545248012102E-9</v>
      </c>
      <c r="AB36">
        <f t="shared" si="33"/>
        <v>2.4635328916945323E-5</v>
      </c>
      <c r="AC36">
        <v>650.26342683003668</v>
      </c>
      <c r="AD36">
        <f t="shared" si="30"/>
        <v>27616.233354462089</v>
      </c>
      <c r="AE36">
        <f>+gettm2(AD36,AC36,AK36,AL36,テーブル2[[#This Row],[Fcorr]])</f>
        <v>593.02595083113692</v>
      </c>
      <c r="AF36" s="14">
        <f t="shared" si="34"/>
        <v>0</v>
      </c>
      <c r="AG36">
        <v>2.4676962150180358E-5</v>
      </c>
      <c r="AH36">
        <f t="shared" si="35"/>
        <v>27.869364925067444</v>
      </c>
      <c r="AI36">
        <f t="shared" si="36"/>
        <v>0.21325335250133956</v>
      </c>
      <c r="AJ36">
        <f t="shared" si="37"/>
        <v>45.669992775806371</v>
      </c>
      <c r="AK36">
        <f t="array" ref="AK36">+S36*テーブル2[[#This Row],[F_form]]/(E36*CpFromTP((テーブル2[[#This Row],[Tin]]+テーブル2[[#This Row],[Tf]])/2,テーブル2[[#This Row],[P]])*AI36)</f>
        <v>2.2670021852037805</v>
      </c>
      <c r="AL36">
        <f t="shared" si="38"/>
        <v>1.186598293632519</v>
      </c>
      <c r="AM36">
        <f t="shared" si="39"/>
        <v>612.4837024918462</v>
      </c>
      <c r="AN36">
        <f t="shared" si="40"/>
        <v>5.9449234868225176E-8</v>
      </c>
      <c r="AO36">
        <f t="shared" si="41"/>
        <v>4.1633233235035031E-8</v>
      </c>
      <c r="AP36">
        <v>2.9249925605554488</v>
      </c>
      <c r="AQ36">
        <f t="shared" si="42"/>
        <v>5.2737549168232502E-5</v>
      </c>
      <c r="AR36">
        <f t="shared" si="43"/>
        <v>1.2359297691707697E-5</v>
      </c>
      <c r="AS36">
        <f t="shared" si="44"/>
        <v>22.873521986181977</v>
      </c>
      <c r="AT36">
        <f t="shared" si="45"/>
        <v>12.599899982240874</v>
      </c>
      <c r="AU36">
        <f t="shared" si="46"/>
        <v>2.6869709123944352</v>
      </c>
      <c r="AV36">
        <f t="shared" si="47"/>
        <v>0.23802164816101357</v>
      </c>
      <c r="AW36">
        <f t="shared" si="48"/>
        <v>1.5518449465801486E-2</v>
      </c>
      <c r="AX36">
        <f t="shared" si="49"/>
        <v>0.23802164560769484</v>
      </c>
      <c r="AY36">
        <f t="shared" si="50"/>
        <v>2.5533187231197019E-9</v>
      </c>
      <c r="AZ36">
        <f t="shared" si="51"/>
        <v>1035404.645585787</v>
      </c>
      <c r="BA36">
        <f t="shared" si="52"/>
        <v>1.8029977197007906E-5</v>
      </c>
      <c r="BB36" s="15">
        <f t="shared" si="53"/>
        <v>1465178.0671304977</v>
      </c>
      <c r="BC36" s="20">
        <f t="shared" si="54"/>
        <v>-9744.6455257523339</v>
      </c>
      <c r="BD36" s="19">
        <f t="shared" si="55"/>
        <v>-0.66068855283968031</v>
      </c>
      <c r="BE36" s="15">
        <v>1691455.5101999997</v>
      </c>
      <c r="BF36" s="16">
        <f>テーブル2[[#This Row],[q_P]]/テーブル2[[#This Row],[q_M]]</f>
        <v>0.86622323690751601</v>
      </c>
      <c r="BG36">
        <v>1</v>
      </c>
      <c r="BH36">
        <v>-0.2039811935761898</v>
      </c>
      <c r="BI36">
        <v>4.5999999999999999E-2</v>
      </c>
      <c r="BJ36">
        <v>5625</v>
      </c>
      <c r="BK36" s="21">
        <f>1+テーブル2[[#This Row],[A_corr]]*EXP(-テーブル2[[#This Row],[(Tsub-40)^2]]/テーブル2[[#This Row],[σ_corr]])</f>
        <v>1.0171739133825397</v>
      </c>
      <c r="BL36">
        <f>テーブル2[[#This Row],[Ts]]-テーブル2[[#This Row],[Tin]]</f>
        <v>114.44481366240655</v>
      </c>
      <c r="BM36">
        <f>テーブル2[[#This Row],[q_P]]*0.000001</f>
        <v>1.4651780671304977</v>
      </c>
      <c r="BN36">
        <f>テーブル2[[#This Row],[Tsub]]</f>
        <v>114.44481366240655</v>
      </c>
      <c r="BO36">
        <f>テーブル2[[#This Row],[Fcorr]]</f>
        <v>1.0171739133825397</v>
      </c>
      <c r="BP36">
        <f>(テーブル2[[#This Row],[Tsub]]-40)^2</f>
        <v>5542.0302812304326</v>
      </c>
      <c r="BQ36" s="10">
        <v>0.98495625872635451</v>
      </c>
      <c r="BR36" s="33">
        <v>4.2670000000000003</v>
      </c>
    </row>
    <row r="37" spans="1:70" x14ac:dyDescent="0.15">
      <c r="A37" s="9" t="s">
        <v>121</v>
      </c>
      <c r="B37">
        <v>16581890.584999999</v>
      </c>
      <c r="C37" s="21" cm="1">
        <f t="array" ref="C37">TsatFromP(テーブル2[[#This Row],[P]])</f>
        <v>623.40834329200698</v>
      </c>
      <c r="D37">
        <f t="array" ref="D37">RhoGFromP(テーブル2[[#This Row],[P]])</f>
        <v>114.24072089270538</v>
      </c>
      <c r="E37">
        <f t="array" ref="E37">RhoFFromP(テーブル2[[#This Row],[P]])</f>
        <v>573.66553119769708</v>
      </c>
      <c r="F37">
        <f t="array" ref="F37">HgFromP(テーブル2[[#This Row],[P]])</f>
        <v>2561880.926064556</v>
      </c>
      <c r="G37">
        <f t="array" ref="G37">HfFromP(テーブル2[[#This Row],[P]])</f>
        <v>1673008.4528857057</v>
      </c>
      <c r="H37">
        <f t="array" ref="H37">MuGFromP(テーブル2[[#This Row],[P]])</f>
        <v>2.3778054068935119E-5</v>
      </c>
      <c r="I37">
        <f t="array" ref="I37">MuFFromP(テーブル2[[#This Row],[P]])</f>
        <v>6.5676255486798709E-5</v>
      </c>
      <c r="J37">
        <f t="array" ref="J37">KfFromP(テーブル2[[#This Row],[P]])</f>
        <v>0.4599028461125329</v>
      </c>
      <c r="K37">
        <f t="array" ref="K37">CpFFromP(テーブル2[[#This Row],[P]])</f>
        <v>10188.161618072991</v>
      </c>
      <c r="L37">
        <f t="array" ref="L37">SigmaFromP(テーブル2[[#This Row],[P]])</f>
        <v>3.6065031383353337E-3</v>
      </c>
      <c r="M37">
        <v>310</v>
      </c>
      <c r="N37">
        <v>3396.78</v>
      </c>
      <c r="O37" s="8">
        <v>8.7843467213758383E-5</v>
      </c>
      <c r="P37" s="8">
        <v>2.9843873572041598E-2</v>
      </c>
      <c r="Q37">
        <v>1.1773735336561952E-2</v>
      </c>
      <c r="R37">
        <v>4.2545000000000002</v>
      </c>
      <c r="S37" s="15">
        <v>1646908.10546875</v>
      </c>
      <c r="T37">
        <v>548.03888888888889</v>
      </c>
      <c r="U37" s="12">
        <f>+T37+BG37*S37*テーブル2[[#This Row],[Pw]]*R37/(N37*O37*K37)</f>
        <v>616.8249390166327</v>
      </c>
      <c r="V37">
        <v>0.03</v>
      </c>
      <c r="W37" s="8">
        <f t="shared" si="28"/>
        <v>1543526.988873719</v>
      </c>
      <c r="X37">
        <v>1.5256082746684437E-2</v>
      </c>
      <c r="Y37">
        <f t="shared" si="31"/>
        <v>8.0961488128523058</v>
      </c>
      <c r="Z37">
        <f t="shared" si="29"/>
        <v>8.0961488156324393</v>
      </c>
      <c r="AA37">
        <f t="shared" si="32"/>
        <v>-2.7801334567811864E-9</v>
      </c>
      <c r="AB37">
        <f t="shared" si="33"/>
        <v>1.1283359577166686E-5</v>
      </c>
      <c r="AC37">
        <v>656.26415767612593</v>
      </c>
      <c r="AD37">
        <f t="shared" si="30"/>
        <v>33702.394373126059</v>
      </c>
      <c r="AE37">
        <f>+gettm2(AD37,AC37,AK37,AL37,テーブル2[[#This Row],[Fcorr]])</f>
        <v>616.82493959999476</v>
      </c>
      <c r="AF37" s="14">
        <f t="shared" si="34"/>
        <v>5.8336206620879238E-7</v>
      </c>
      <c r="AG37">
        <v>1.1320121944945197E-5</v>
      </c>
      <c r="AH37">
        <f t="shared" si="35"/>
        <v>38.355631019331</v>
      </c>
      <c r="AI37">
        <f t="shared" si="36"/>
        <v>0.25857419900883644</v>
      </c>
      <c r="AJ37">
        <f t="shared" si="37"/>
        <v>25.567405867704366</v>
      </c>
      <c r="AK37">
        <f t="array" ref="AK37">+S37*テーブル2[[#This Row],[F_form]]/(E37*CpFromTP((テーブル2[[#This Row],[Tin]]+テーブル2[[#This Row],[Tf]])/2,テーブル2[[#This Row],[P]])*AI37)</f>
        <v>1.9334632161457466</v>
      </c>
      <c r="AL37">
        <f t="shared" si="38"/>
        <v>1.4549166438635874</v>
      </c>
      <c r="AM37">
        <f t="shared" si="39"/>
        <v>623.40834328776396</v>
      </c>
      <c r="AN37">
        <f t="shared" si="40"/>
        <v>4.2430201574461535E-9</v>
      </c>
      <c r="AO37">
        <f t="shared" si="41"/>
        <v>3.6762367778511135E-8</v>
      </c>
      <c r="AP37">
        <v>2.7521704186736904</v>
      </c>
      <c r="AQ37">
        <f t="shared" si="42"/>
        <v>3.1402563555483152E-5</v>
      </c>
      <c r="AR37">
        <f t="shared" si="43"/>
        <v>5.6784421563618539E-6</v>
      </c>
      <c r="AS37">
        <f t="shared" si="44"/>
        <v>12.825218316028375</v>
      </c>
      <c r="AT37">
        <f t="shared" si="45"/>
        <v>9.7070670680211002</v>
      </c>
      <c r="AU37">
        <f t="shared" si="46"/>
        <v>2.5099970918386103</v>
      </c>
      <c r="AV37">
        <f t="shared" si="47"/>
        <v>0.24217332683508008</v>
      </c>
      <c r="AW37">
        <f t="shared" si="48"/>
        <v>8.4047397913388881E-3</v>
      </c>
      <c r="AX37">
        <f t="shared" si="49"/>
        <v>0.24217331990996696</v>
      </c>
      <c r="AY37">
        <f t="shared" si="50"/>
        <v>6.9251131218361905E-9</v>
      </c>
      <c r="AZ37">
        <f t="shared" si="51"/>
        <v>888872.47317885025</v>
      </c>
      <c r="BA37">
        <f t="shared" si="52"/>
        <v>1.1410108670020691E-5</v>
      </c>
      <c r="BB37" s="15">
        <f t="shared" si="53"/>
        <v>1642902.9442623714</v>
      </c>
      <c r="BC37" s="20">
        <f t="shared" si="54"/>
        <v>-4005.1612063786015</v>
      </c>
      <c r="BD37" s="19">
        <f t="shared" si="55"/>
        <v>-0.24319275575115559</v>
      </c>
      <c r="BE37" s="15">
        <v>1635884.0766</v>
      </c>
      <c r="BF37" s="16">
        <f>テーブル2[[#This Row],[q_P]]/テーブル2[[#This Row],[q_M]]</f>
        <v>1.0042905654274472</v>
      </c>
      <c r="BG37">
        <v>1</v>
      </c>
      <c r="BH37">
        <v>-0.18803060833863286</v>
      </c>
      <c r="BI37">
        <v>4.5999999999999999E-2</v>
      </c>
      <c r="BJ37">
        <v>5625</v>
      </c>
      <c r="BK37" s="21">
        <f>1+テーブル2[[#This Row],[A_corr]]*EXP(-テーブル2[[#This Row],[(Tsub-40)^2]]/テーブル2[[#This Row],[σ_corr]])</f>
        <v>1.0368273839624609</v>
      </c>
      <c r="BL37">
        <f>テーブル2[[#This Row],[Ts]]-テーブル2[[#This Row],[Tin]]</f>
        <v>75.369454403118084</v>
      </c>
      <c r="BM37">
        <f>テーブル2[[#This Row],[q_P]]*0.000001</f>
        <v>1.6429029442623713</v>
      </c>
      <c r="BN37">
        <f>テーブル2[[#This Row],[Tsub]]</f>
        <v>75.369454403118084</v>
      </c>
      <c r="BO37">
        <f>テーブル2[[#This Row],[Fcorr]]</f>
        <v>1.0368273839624609</v>
      </c>
      <c r="BP37">
        <f>(テーブル2[[#This Row],[Tsub]]-40)^2</f>
        <v>1250.9983047742492</v>
      </c>
      <c r="BQ37" s="10">
        <v>1.0021072901767436</v>
      </c>
      <c r="BR37" s="33">
        <v>4.2670000000000003</v>
      </c>
    </row>
    <row r="38" spans="1:70" x14ac:dyDescent="0.15">
      <c r="A38" s="9" t="s">
        <v>122</v>
      </c>
      <c r="B38">
        <v>14444515.914999999</v>
      </c>
      <c r="C38" s="21" cm="1">
        <f t="array" ref="C38">TsatFromP(テーブル2[[#This Row],[P]])</f>
        <v>612.29412141213845</v>
      </c>
      <c r="D38">
        <f t="array" ref="D38">RhoGFromP(テーブル2[[#This Row],[P]])</f>
        <v>91.248555698911844</v>
      </c>
      <c r="E38">
        <f t="array" ref="E38">RhoFFromP(テーブル2[[#This Row],[P]])</f>
        <v>613.43232402419449</v>
      </c>
      <c r="F38">
        <f t="array" ref="F38">HgFromP(テーブル2[[#This Row],[P]])</f>
        <v>2626093.1345668421</v>
      </c>
      <c r="G38">
        <f t="array" ref="G38">HfFromP(テーブル2[[#This Row],[P]])</f>
        <v>1588403.9289842495</v>
      </c>
      <c r="H38">
        <f t="array" ref="H38">MuGFromP(テーブル2[[#This Row],[P]])</f>
        <v>2.2386245793773059E-5</v>
      </c>
      <c r="I38">
        <f t="array" ref="I38">MuFFromP(テーブル2[[#This Row],[P]])</f>
        <v>7.0694401850615891E-5</v>
      </c>
      <c r="J38">
        <f t="array" ref="J38">KfFromP(テーブル2[[#This Row],[P]])</f>
        <v>0.48369684775438243</v>
      </c>
      <c r="K38">
        <f t="array" ref="K38">CpFFromP(テーブル2[[#This Row],[P]])</f>
        <v>8097.4885849811244</v>
      </c>
      <c r="L38">
        <f t="array" ref="L38">SigmaFromP(テーブル2[[#This Row],[P]])</f>
        <v>5.7594462826100956E-3</v>
      </c>
      <c r="M38" s="22">
        <v>317</v>
      </c>
      <c r="N38">
        <v>2699.7959999999998</v>
      </c>
      <c r="O38" s="8">
        <v>8.7843467213758383E-5</v>
      </c>
      <c r="P38" s="8">
        <v>2.9843873572041598E-2</v>
      </c>
      <c r="Q38">
        <v>1.1773735336561952E-2</v>
      </c>
      <c r="R38">
        <v>4.2545000000000002</v>
      </c>
      <c r="S38" s="15">
        <v>993438.86328125</v>
      </c>
      <c r="T38">
        <v>557.48333333333335</v>
      </c>
      <c r="U38" s="12">
        <f>+T38+BG38*S38*テーブル2[[#This Row],[Pw]]*R38/(N38*O38*K38)</f>
        <v>623.16650292884856</v>
      </c>
      <c r="V38">
        <v>0.03</v>
      </c>
      <c r="W38" s="8">
        <f t="shared" ref="W38:W57" si="56">+N38*P38/I38</f>
        <v>1139727.7349423061</v>
      </c>
      <c r="X38">
        <v>1.8067592826180864E-2</v>
      </c>
      <c r="Y38">
        <f t="shared" si="31"/>
        <v>7.4396045722276378</v>
      </c>
      <c r="Z38">
        <f t="shared" ref="Z38:Z57" si="57">IF(X38&gt;0,1.14-2*LOG((0.72*L38*E38)/(X38*P38*N38^2)+9.35/(W38*X38^0.5)),0)</f>
        <v>7.4396045878554853</v>
      </c>
      <c r="AA38">
        <f t="shared" si="32"/>
        <v>-1.5627847460564226E-8</v>
      </c>
      <c r="AB38">
        <f t="shared" si="33"/>
        <v>2.575469600855332E-5</v>
      </c>
      <c r="AC38">
        <v>633.68255072893567</v>
      </c>
      <c r="AD38">
        <f t="shared" ref="AD38:AD57" si="58">+P38/2*AI38/I38*E38</f>
        <v>27081.721960485043</v>
      </c>
      <c r="AE38">
        <f>+gettm2(AD38,AC38,AK38,AL38,テーブル2[[#This Row],[Fcorr]])</f>
        <v>623.1665032805754</v>
      </c>
      <c r="AF38" s="14">
        <f t="shared" si="34"/>
        <v>3.5172683965356555E-7</v>
      </c>
      <c r="AG38">
        <v>2.5784058843403216E-5</v>
      </c>
      <c r="AH38">
        <f t="shared" si="35"/>
        <v>26.835244092327123</v>
      </c>
      <c r="AI38">
        <f t="shared" si="36"/>
        <v>0.20915557570394011</v>
      </c>
      <c r="AJ38">
        <f t="shared" si="37"/>
        <v>46.795313679655344</v>
      </c>
      <c r="AK38">
        <f t="array" ref="AK38">+S38*テーブル2[[#This Row],[F_form]]/(E38*CpFromTP((テーブル2[[#This Row],[Tin]]+テーブル2[[#This Row],[Tf]])/2,テーブル2[[#This Row],[P]])*AI38)</f>
        <v>1.2808139117308206</v>
      </c>
      <c r="AL38">
        <f t="shared" si="38"/>
        <v>1.1834832388614511</v>
      </c>
      <c r="AM38">
        <f t="shared" si="39"/>
        <v>612.29412140102079</v>
      </c>
      <c r="AN38">
        <f t="shared" si="40"/>
        <v>1.1117663234472275E-8</v>
      </c>
      <c r="AO38">
        <f t="shared" si="41"/>
        <v>2.9362834849895657E-8</v>
      </c>
      <c r="AP38">
        <v>2.8967975328785189</v>
      </c>
      <c r="AQ38">
        <f t="shared" si="42"/>
        <v>5.4290538384440948E-5</v>
      </c>
      <c r="AR38">
        <f t="shared" si="43"/>
        <v>1.2906710839126556E-5</v>
      </c>
      <c r="AS38">
        <f t="shared" si="44"/>
        <v>23.424302044829531</v>
      </c>
      <c r="AT38">
        <f t="shared" si="45"/>
        <v>12.718870161845787</v>
      </c>
      <c r="AU38">
        <f t="shared" si="46"/>
        <v>2.6602226110045217</v>
      </c>
      <c r="AV38">
        <f t="shared" si="47"/>
        <v>0.2365749218739972</v>
      </c>
      <c r="AW38">
        <f t="shared" si="48"/>
        <v>1.6184508866735343E-2</v>
      </c>
      <c r="AX38">
        <f t="shared" si="49"/>
        <v>0.23657492061995952</v>
      </c>
      <c r="AY38">
        <f t="shared" si="50"/>
        <v>1.2540376792546937E-9</v>
      </c>
      <c r="AZ38">
        <f t="shared" si="51"/>
        <v>1037689.2055825926</v>
      </c>
      <c r="BA38">
        <f t="shared" si="52"/>
        <v>1.8741571603899076E-5</v>
      </c>
      <c r="BB38" s="15">
        <f t="shared" si="53"/>
        <v>997300.25901307084</v>
      </c>
      <c r="BC38" s="20">
        <f t="shared" si="54"/>
        <v>3861.3957318208413</v>
      </c>
      <c r="BD38" s="19">
        <f t="shared" si="55"/>
        <v>0.38868982023382459</v>
      </c>
      <c r="BE38" s="15">
        <v>1184366.1786</v>
      </c>
      <c r="BF38" s="16">
        <f>テーブル2[[#This Row],[q_P]]/テーブル2[[#This Row],[q_M]]</f>
        <v>0.84205398383796004</v>
      </c>
      <c r="BG38">
        <v>1</v>
      </c>
      <c r="BH38">
        <v>4.8574531467156894E-3</v>
      </c>
      <c r="BI38">
        <v>4.5999999999999999E-2</v>
      </c>
      <c r="BJ38">
        <v>5625</v>
      </c>
      <c r="BK38" s="21">
        <f>1+テーブル2[[#This Row],[A_corr]]*EXP(-テーブル2[[#This Row],[(Tsub-40)^2]]/テーブル2[[#This Row],[σ_corr]])</f>
        <v>1.0442406549723988</v>
      </c>
      <c r="BL38">
        <f>テーブル2[[#This Row],[Ts]]-テーブル2[[#This Row],[Tin]]</f>
        <v>54.810788078805103</v>
      </c>
      <c r="BM38">
        <f>テーブル2[[#This Row],[q_P]]*0.000001</f>
        <v>0.99730025901307084</v>
      </c>
      <c r="BN38">
        <f>テーブル2[[#This Row],[Tsub]]</f>
        <v>54.810788078805103</v>
      </c>
      <c r="BO38">
        <f>テーブル2[[#This Row],[Fcorr]]</f>
        <v>1.0442406549723988</v>
      </c>
      <c r="BP38">
        <f>(テーブル2[[#This Row],[Tsub]]-40)^2</f>
        <v>219.35944351527536</v>
      </c>
      <c r="BQ38" s="10">
        <v>0.95702791863539405</v>
      </c>
      <c r="BR38" s="33">
        <v>4.2670000000000003</v>
      </c>
    </row>
    <row r="39" spans="1:70" x14ac:dyDescent="0.15">
      <c r="A39" s="9" t="s">
        <v>123</v>
      </c>
      <c r="B39">
        <v>14513463.484999999</v>
      </c>
      <c r="C39" s="21" cm="1">
        <f t="array" ref="C39">TsatFromP(テーブル2[[#This Row],[P]])</f>
        <v>612.67292008461743</v>
      </c>
      <c r="D39">
        <f t="array" ref="D39">RhoGFromP(テーブル2[[#This Row],[P]])</f>
        <v>91.91255897533145</v>
      </c>
      <c r="E39">
        <f t="array" ref="E39">RhoFFromP(テーブル2[[#This Row],[P]])</f>
        <v>612.21368217827785</v>
      </c>
      <c r="F39">
        <f t="array" ref="F39">HgFromP(テーブル2[[#This Row],[P]])</f>
        <v>2624225.3455417412</v>
      </c>
      <c r="G39">
        <f t="array" ref="G39">HfFromP(テーブル2[[#This Row],[P]])</f>
        <v>1591108.2176913612</v>
      </c>
      <c r="H39">
        <f t="array" ref="H39">MuGFromP(テーブル2[[#This Row],[P]])</f>
        <v>2.2426155999369982E-5</v>
      </c>
      <c r="I39">
        <f t="array" ref="I39">MuFFromP(テーブル2[[#This Row],[P]])</f>
        <v>7.053398392243067E-5</v>
      </c>
      <c r="J39">
        <f t="array" ref="J39">KfFromP(テーブル2[[#This Row],[P]])</f>
        <v>0.48291804642989189</v>
      </c>
      <c r="K39">
        <f t="array" ref="K39">CpFFromP(テーブル2[[#This Row],[P]])</f>
        <v>8145.6939161944201</v>
      </c>
      <c r="L39">
        <f t="array" ref="L39">SigmaFromP(テーブル2[[#This Row],[P]])</f>
        <v>5.6835159172802328E-3</v>
      </c>
      <c r="M39" s="22">
        <v>319</v>
      </c>
      <c r="N39">
        <v>2668.6080000000002</v>
      </c>
      <c r="O39" s="8">
        <v>8.7843467213758383E-5</v>
      </c>
      <c r="P39" s="8">
        <v>2.9843873572041598E-2</v>
      </c>
      <c r="Q39">
        <v>1.1773735336561952E-2</v>
      </c>
      <c r="R39">
        <v>3.4036</v>
      </c>
      <c r="S39" s="15">
        <v>1017379.39453125</v>
      </c>
      <c r="T39">
        <v>535.26111111111106</v>
      </c>
      <c r="U39" s="12">
        <f>+T39+BG39*S39*テーブル2[[#This Row],[Pw]]*R39/(N39*O39*K39)</f>
        <v>609.02607938664164</v>
      </c>
      <c r="V39">
        <v>0.03</v>
      </c>
      <c r="W39" s="8">
        <f t="shared" si="56"/>
        <v>1129123.7973020803</v>
      </c>
      <c r="X39">
        <v>1.8095543488679221E-2</v>
      </c>
      <c r="Y39">
        <f t="shared" si="31"/>
        <v>7.433856686393165</v>
      </c>
      <c r="Z39">
        <f t="shared" si="57"/>
        <v>7.4338566867084772</v>
      </c>
      <c r="AA39">
        <f t="shared" si="32"/>
        <v>-3.1531222077774146E-10</v>
      </c>
      <c r="AB39">
        <f t="shared" si="33"/>
        <v>2.5920904158505433E-5</v>
      </c>
      <c r="AC39">
        <v>646.24222341921154</v>
      </c>
      <c r="AD39">
        <f t="shared" si="58"/>
        <v>26850.500606663794</v>
      </c>
      <c r="AE39">
        <f>+gettm2(AD39,AC39,AK39,AL39,テーブル2[[#This Row],[Fcorr]])</f>
        <v>609.02607986564954</v>
      </c>
      <c r="AF39" s="14">
        <f t="shared" si="34"/>
        <v>4.7900789468258154E-7</v>
      </c>
      <c r="AG39">
        <v>2.5951096976752904E-5</v>
      </c>
      <c r="AH39">
        <f t="shared" si="35"/>
        <v>26.31165587060881</v>
      </c>
      <c r="AI39">
        <f t="shared" si="36"/>
        <v>0.20731110884371209</v>
      </c>
      <c r="AJ39">
        <f t="shared" si="37"/>
        <v>46.6963474721775</v>
      </c>
      <c r="AK39">
        <f t="array" ref="AK39">+S39*テーブル2[[#This Row],[F_form]]/(E39*CpFromTP((テーブル2[[#This Row],[Tin]]+テーブル2[[#This Row],[Tf]])/2,テーブル2[[#This Row],[P]])*AI39)</f>
        <v>2.004416576569398</v>
      </c>
      <c r="AL39">
        <f t="shared" si="38"/>
        <v>1.1897427482145444</v>
      </c>
      <c r="AM39">
        <f t="shared" si="39"/>
        <v>612.672920049911</v>
      </c>
      <c r="AN39">
        <f t="shared" si="40"/>
        <v>3.4706431506492663E-8</v>
      </c>
      <c r="AO39">
        <f t="shared" si="41"/>
        <v>3.0192818247470985E-8</v>
      </c>
      <c r="AP39">
        <v>2.8695966016527112</v>
      </c>
      <c r="AQ39">
        <f t="shared" si="42"/>
        <v>5.4266010074673983E-5</v>
      </c>
      <c r="AR39">
        <f t="shared" si="43"/>
        <v>1.2990644897500188E-5</v>
      </c>
      <c r="AS39">
        <f t="shared" si="44"/>
        <v>23.375338181840529</v>
      </c>
      <c r="AT39">
        <f t="shared" si="45"/>
        <v>12.708407713712086</v>
      </c>
      <c r="AU39">
        <f t="shared" si="46"/>
        <v>2.6345940947676367</v>
      </c>
      <c r="AV39">
        <f t="shared" si="47"/>
        <v>0.23500250688507451</v>
      </c>
      <c r="AW39">
        <f t="shared" si="48"/>
        <v>1.6367817214889759E-2</v>
      </c>
      <c r="AX39">
        <f t="shared" si="49"/>
        <v>0.2350024900812418</v>
      </c>
      <c r="AY39">
        <f t="shared" si="50"/>
        <v>1.6803832714185063E-8</v>
      </c>
      <c r="AZ39">
        <f t="shared" si="51"/>
        <v>1033117.12785038</v>
      </c>
      <c r="BA39">
        <f t="shared" si="52"/>
        <v>1.8910675473834927E-5</v>
      </c>
      <c r="BB39" s="15">
        <f t="shared" si="53"/>
        <v>1009832.1748493996</v>
      </c>
      <c r="BC39" s="20">
        <f t="shared" si="54"/>
        <v>-7547.2196818504017</v>
      </c>
      <c r="BD39" s="19">
        <f t="shared" si="55"/>
        <v>-0.74182942198546564</v>
      </c>
      <c r="BE39" s="15">
        <v>1183347.055731178</v>
      </c>
      <c r="BF39" s="16">
        <f>テーブル2[[#This Row],[q_P]]/テーブル2[[#This Row],[q_M]]</f>
        <v>0.85336940668300787</v>
      </c>
      <c r="BG39">
        <v>1.363</v>
      </c>
      <c r="BH39">
        <v>-0.19727053120825078</v>
      </c>
      <c r="BI39">
        <v>4.5999999999999999E-2</v>
      </c>
      <c r="BJ39">
        <v>5625</v>
      </c>
      <c r="BK39" s="21">
        <f>1+テーブル2[[#This Row],[A_corr]]*EXP(-テーブル2[[#This Row],[(Tsub-40)^2]]/テーブル2[[#This Row],[σ_corr]])</f>
        <v>1.0358669369261804</v>
      </c>
      <c r="BL39">
        <f>テーブル2[[#This Row],[Ts]]-テーブル2[[#This Row],[Tin]]</f>
        <v>77.411808973506368</v>
      </c>
      <c r="BM39">
        <f>テーブル2[[#This Row],[q_P]]*0.000001</f>
        <v>1.0098321748493995</v>
      </c>
      <c r="BN39">
        <f>テーブル2[[#This Row],[Tsub]]</f>
        <v>77.411808973506368</v>
      </c>
      <c r="BO39">
        <f>テーブル2[[#This Row],[Fcorr]]</f>
        <v>1.0358669369261804</v>
      </c>
      <c r="BP39">
        <f>(テーブル2[[#This Row],[Tsub]]-40)^2</f>
        <v>1399.6434506701316</v>
      </c>
      <c r="BQ39" s="10">
        <v>0.95197732531972035</v>
      </c>
      <c r="BR39" s="33">
        <v>4.2670000000000003</v>
      </c>
    </row>
    <row r="40" spans="1:70" x14ac:dyDescent="0.15">
      <c r="A40" s="9" t="s">
        <v>124</v>
      </c>
      <c r="B40">
        <v>14478989.699999999</v>
      </c>
      <c r="C40" s="21" cm="1">
        <f t="array" ref="C40">TsatFromP(テーブル2[[#This Row],[P]])</f>
        <v>612.48370255129544</v>
      </c>
      <c r="D40">
        <f t="array" ref="D40">RhoGFromP(テーブル2[[#This Row],[P]])</f>
        <v>91.580011978832957</v>
      </c>
      <c r="E40">
        <f t="array" ref="E40">RhoFFromP(テーブル2[[#This Row],[P]])</f>
        <v>612.82339669043313</v>
      </c>
      <c r="F40">
        <f t="array" ref="F40">HgFromP(テーブル2[[#This Row],[P]])</f>
        <v>2625160.7264840975</v>
      </c>
      <c r="G40">
        <f t="array" ref="G40">HfFromP(テーブル2[[#This Row],[P]])</f>
        <v>1589756.0808983105</v>
      </c>
      <c r="H40">
        <f t="array" ref="H40">MuGFromP(テーブル2[[#This Row],[P]])</f>
        <v>2.2406167499944594E-5</v>
      </c>
      <c r="I40">
        <f t="array" ref="I40">MuFFromP(テーブル2[[#This Row],[P]])</f>
        <v>7.0614185977515193E-5</v>
      </c>
      <c r="J40">
        <f t="array" ref="J40">KfFromP(テーブル2[[#This Row],[P]])</f>
        <v>0.48330738078477459</v>
      </c>
      <c r="K40">
        <f t="array" ref="K40">CpFFromP(テーブル2[[#This Row],[P]])</f>
        <v>8121.4802011854335</v>
      </c>
      <c r="L40">
        <f t="array" ref="L40">SigmaFromP(テーブル2[[#This Row],[P]])</f>
        <v>5.7214247636284644E-3</v>
      </c>
      <c r="M40">
        <v>320</v>
      </c>
      <c r="N40">
        <v>3390</v>
      </c>
      <c r="O40" s="8">
        <v>8.7843467213758383E-5</v>
      </c>
      <c r="P40" s="8">
        <v>2.9843873572041598E-2</v>
      </c>
      <c r="Q40">
        <v>1.1773735336561952E-2</v>
      </c>
      <c r="R40">
        <v>3.4036</v>
      </c>
      <c r="S40" s="15">
        <v>1253368.8679687502</v>
      </c>
      <c r="T40">
        <v>534.31666666666661</v>
      </c>
      <c r="U40" s="12">
        <f>+T40+BG40*S40*テーブル2[[#This Row],[Pw]]*R40/(N40*O40*K40)</f>
        <v>606.06703059404879</v>
      </c>
      <c r="V40">
        <v>0.03</v>
      </c>
      <c r="W40" s="8">
        <f t="shared" si="56"/>
        <v>1432725.3087847754</v>
      </c>
      <c r="X40">
        <v>1.6632062081703331E-2</v>
      </c>
      <c r="Y40">
        <f t="shared" si="31"/>
        <v>7.7540206150823083</v>
      </c>
      <c r="Z40">
        <f t="shared" si="57"/>
        <v>7.7540206273913039</v>
      </c>
      <c r="AA40">
        <f t="shared" si="32"/>
        <v>-1.2308995600562866E-8</v>
      </c>
      <c r="AB40">
        <f t="shared" si="33"/>
        <v>1.7610239736655148E-5</v>
      </c>
      <c r="AC40">
        <v>645.70229882651449</v>
      </c>
      <c r="AD40">
        <f t="shared" si="58"/>
        <v>32663.370131127485</v>
      </c>
      <c r="AE40">
        <f>+gettm2(AD40,AC40,AK40,AL40,テーブル2[[#This Row],[Fcorr]])</f>
        <v>606.06703106729822</v>
      </c>
      <c r="AF40" s="14">
        <f t="shared" si="34"/>
        <v>4.7324942897830624E-7</v>
      </c>
      <c r="AG40">
        <v>1.7636725667041331E-5</v>
      </c>
      <c r="AH40">
        <f t="shared" si="35"/>
        <v>38.98703151702928</v>
      </c>
      <c r="AI40">
        <f t="shared" si="36"/>
        <v>0.25222748863141375</v>
      </c>
      <c r="AJ40">
        <f t="shared" si="37"/>
        <v>38.605906634278668</v>
      </c>
      <c r="AK40">
        <f t="array" ref="AK40">+S40*テーブル2[[#This Row],[F_form]]/(E40*CpFromTP((テーブル2[[#This Row],[Tin]]+テーブル2[[#This Row],[Tf]])/2,テーブル2[[#This Row],[P]])*AI40)</f>
        <v>2.044854502388056</v>
      </c>
      <c r="AL40">
        <f t="shared" si="38"/>
        <v>1.186598293632519</v>
      </c>
      <c r="AM40">
        <f t="shared" si="39"/>
        <v>612.48370250926735</v>
      </c>
      <c r="AN40">
        <f t="shared" si="40"/>
        <v>4.2028091229440179E-8</v>
      </c>
      <c r="AO40">
        <f t="shared" si="41"/>
        <v>2.6485930386182729E-8</v>
      </c>
      <c r="AP40">
        <v>3.2215018953302987</v>
      </c>
      <c r="AQ40">
        <f t="shared" si="42"/>
        <v>4.3476311583272613E-5</v>
      </c>
      <c r="AR40">
        <f t="shared" si="43"/>
        <v>8.8316057987137569E-6</v>
      </c>
      <c r="AS40">
        <f t="shared" si="44"/>
        <v>19.3319415027843</v>
      </c>
      <c r="AT40">
        <f t="shared" si="45"/>
        <v>11.758793640257608</v>
      </c>
      <c r="AU40">
        <f t="shared" si="46"/>
        <v>2.9658909892172161</v>
      </c>
      <c r="AV40">
        <f t="shared" si="47"/>
        <v>0.25561090611308268</v>
      </c>
      <c r="AW40">
        <f t="shared" si="48"/>
        <v>1.1093158786524464E-2</v>
      </c>
      <c r="AX40">
        <f t="shared" si="49"/>
        <v>0.25561090413600424</v>
      </c>
      <c r="AY40">
        <f t="shared" si="50"/>
        <v>1.9770784454031798E-9</v>
      </c>
      <c r="AZ40">
        <f t="shared" si="51"/>
        <v>1035404.645585787</v>
      </c>
      <c r="BA40">
        <f t="shared" si="52"/>
        <v>1.3495665374679227E-5</v>
      </c>
      <c r="BB40" s="15">
        <f t="shared" si="53"/>
        <v>1245278.1810729781</v>
      </c>
      <c r="BC40" s="20">
        <f t="shared" si="54"/>
        <v>-8090.6868957721163</v>
      </c>
      <c r="BD40" s="19">
        <f t="shared" si="55"/>
        <v>-0.64551522720395504</v>
      </c>
      <c r="BE40" s="15">
        <v>1430613.6046899313</v>
      </c>
      <c r="BF40" s="16">
        <f>テーブル2[[#This Row],[q_P]]/テーブル2[[#This Row],[q_M]]</f>
        <v>0.87045039764100207</v>
      </c>
      <c r="BG40">
        <v>1.363</v>
      </c>
      <c r="BH40">
        <v>-0.214277810891494</v>
      </c>
      <c r="BI40">
        <v>4.5999999999999999E-2</v>
      </c>
      <c r="BJ40">
        <v>5625</v>
      </c>
      <c r="BK40" s="21">
        <f>1+テーブル2[[#This Row],[A_corr]]*EXP(-テーブル2[[#This Row],[(Tsub-40)^2]]/テーブル2[[#This Row],[σ_corr]])</f>
        <v>1.0355048208128148</v>
      </c>
      <c r="BL40">
        <f>テーブル2[[#This Row],[Ts]]-テーブル2[[#This Row],[Tin]]</f>
        <v>78.167035884628831</v>
      </c>
      <c r="BM40">
        <f>テーブル2[[#This Row],[q_P]]*0.000001</f>
        <v>1.2452781810729781</v>
      </c>
      <c r="BN40">
        <f>テーブル2[[#This Row],[Tsub]]</f>
        <v>78.167035884628831</v>
      </c>
      <c r="BO40">
        <f>テーブル2[[#This Row],[Fcorr]]</f>
        <v>1.0355048208128148</v>
      </c>
      <c r="BP40">
        <f>(テーブル2[[#This Row],[Tsub]]-40)^2</f>
        <v>1456.722628218545</v>
      </c>
      <c r="BQ40" s="10">
        <v>0.9764921071792938</v>
      </c>
      <c r="BR40" s="33">
        <v>4.2670000000000003</v>
      </c>
    </row>
    <row r="41" spans="1:70" x14ac:dyDescent="0.15">
      <c r="A41" s="9" t="s">
        <v>125</v>
      </c>
      <c r="B41">
        <v>16650838.154999999</v>
      </c>
      <c r="C41" s="21" cm="1">
        <f t="array" ref="C41">TsatFromP(テーブル2[[#This Row],[P]])</f>
        <v>623.7467472920838</v>
      </c>
      <c r="D41">
        <f t="array" ref="D41">RhoGFromP(テーブル2[[#This Row],[P]])</f>
        <v>115.08174830522883</v>
      </c>
      <c r="E41">
        <f t="array" ref="E41">RhoFFromP(テーブル2[[#This Row],[P]])</f>
        <v>572.29121245744955</v>
      </c>
      <c r="F41">
        <f t="array" ref="F41">HgFromP(テーブル2[[#This Row],[P]])</f>
        <v>2559557.8321399409</v>
      </c>
      <c r="G41">
        <f t="array" ref="G41">HfFromP(テーブル2[[#This Row],[P]])</f>
        <v>1675797.4223693286</v>
      </c>
      <c r="H41">
        <f t="array" ref="H41">MuGFromP(テーブル2[[#This Row],[P]])</f>
        <v>2.3829582904311094E-5</v>
      </c>
      <c r="I41">
        <f t="array" ref="I41">MuFFromP(テーブル2[[#This Row],[P]])</f>
        <v>6.5509940250288218E-5</v>
      </c>
      <c r="J41">
        <f t="array" ref="J41">KfFromP(テーブル2[[#This Row],[P]])</f>
        <v>0.45915472043015876</v>
      </c>
      <c r="K41">
        <f t="array" ref="K41">CpFFromP(テーブル2[[#This Row],[P]])</f>
        <v>10285.252806144354</v>
      </c>
      <c r="L41">
        <f t="array" ref="L41">SigmaFromP(テーブル2[[#This Row],[P]])</f>
        <v>3.5437208597502243E-3</v>
      </c>
      <c r="M41">
        <v>322</v>
      </c>
      <c r="N41">
        <v>2614.3679999999999</v>
      </c>
      <c r="O41" s="8">
        <v>8.7843467213758383E-5</v>
      </c>
      <c r="P41" s="8">
        <v>2.9843873572041598E-2</v>
      </c>
      <c r="Q41">
        <v>1.1773735336561952E-2</v>
      </c>
      <c r="R41">
        <v>3.4036</v>
      </c>
      <c r="S41" s="15">
        <v>1211026.78984375</v>
      </c>
      <c r="T41">
        <v>537.15</v>
      </c>
      <c r="U41" s="12">
        <f>+T41+BG41*S41*テーブル2[[#This Row],[Pw]]*R41/(N41*O41*K41)</f>
        <v>608.13264098004572</v>
      </c>
      <c r="V41">
        <v>0.03</v>
      </c>
      <c r="W41" s="8">
        <f t="shared" si="56"/>
        <v>1191008.0785403857</v>
      </c>
      <c r="X41">
        <v>1.6620262938300233E-2</v>
      </c>
      <c r="Y41">
        <f t="shared" ref="Y41:Y59" si="59">IF(X41&gt;0,1/X41^0.5,1)</f>
        <v>7.756772514055946</v>
      </c>
      <c r="Z41">
        <f t="shared" si="57"/>
        <v>7.7567725268340526</v>
      </c>
      <c r="AA41">
        <f t="shared" ref="AA41:AA59" si="60">+Y41-Z41</f>
        <v>-1.2778106572852721E-8</v>
      </c>
      <c r="AB41">
        <f t="shared" ref="AB41:AB59" si="61">32/X41*L41*V41*E41/N41^2</f>
        <v>1.7138645153259314E-5</v>
      </c>
      <c r="AC41">
        <v>669.4947371541399</v>
      </c>
      <c r="AD41">
        <f t="shared" si="58"/>
        <v>27143.051032429463</v>
      </c>
      <c r="AE41">
        <f>+gettm2(AD41,AC41,AK41,AL41,テーブル2[[#This Row],[Fcorr]])</f>
        <v>608.13264169672357</v>
      </c>
      <c r="AF41" s="14">
        <f t="shared" ref="AF41:AF59" si="62">+AE41-U41</f>
        <v>7.1667784595774719E-7</v>
      </c>
      <c r="AG41">
        <v>1.7176623679539877E-5</v>
      </c>
      <c r="AH41">
        <f t="shared" ref="AH41:AH59" si="63">+X41*N41^2/(8*E41)</f>
        <v>24.81214234657028</v>
      </c>
      <c r="AI41">
        <f t="shared" ref="AI41:AI59" si="64">+(AH41/E41)^0.5</f>
        <v>0.20822055193540023</v>
      </c>
      <c r="AJ41">
        <f t="shared" ref="AJ41:AJ59" si="65">+AG41*AI41/I41*E41</f>
        <v>31.244333747302697</v>
      </c>
      <c r="AK41">
        <f t="array" ref="AK41">+S41*テーブル2[[#This Row],[F_form]]/(E41*CpFromTP((テーブル2[[#This Row],[Tin]]+テーブル2[[#This Row],[Tf]])/2,テーブル2[[#This Row],[P]])*AI41)</f>
        <v>2.5355663248856208</v>
      </c>
      <c r="AL41">
        <f t="shared" ref="AL41:AL59" si="66">+K41*I41/J41</f>
        <v>1.4674493516224545</v>
      </c>
      <c r="AM41">
        <f t="shared" ref="AM41:AM59" si="67">+gettyp(AC41,AJ41,AK41,AL41)</f>
        <v>623.74674728462264</v>
      </c>
      <c r="AN41">
        <f t="shared" ref="AN41:AN59" si="68">+C41-AM41</f>
        <v>7.4611534728319384E-9</v>
      </c>
      <c r="AO41">
        <f t="shared" ref="AO41:AO59" si="69">+AG41-AB41</f>
        <v>3.7978526280562432E-8</v>
      </c>
      <c r="AP41">
        <v>2.4464341326604382</v>
      </c>
      <c r="AQ41">
        <f t="shared" ref="AQ41:AQ59" si="70">2*PI()*L41*(D41+E41)/(D41*E41*AP41^2)</f>
        <v>3.882766147441196E-5</v>
      </c>
      <c r="AR41">
        <f t="shared" ref="AR41:AR59" si="71">+AO41+AB41/2</f>
        <v>8.6073011029102196E-6</v>
      </c>
      <c r="AS41">
        <f t="shared" ref="AS41:AS59" si="72">+AR41*AI41/I41*E41</f>
        <v>15.656708404410796</v>
      </c>
      <c r="AT41">
        <f t="shared" ref="AT41:AT59" si="73">+getublp(AS41)</f>
        <v>10.704497385900755</v>
      </c>
      <c r="AU41">
        <f t="shared" ref="AU41:AU59" si="74">+AT41*AI41</f>
        <v>2.2288963538833042</v>
      </c>
      <c r="AV41">
        <f t="shared" ref="AV41:AV59" si="75">+AP41-AU41</f>
        <v>0.21753777877713398</v>
      </c>
      <c r="AW41">
        <f t="shared" ref="AW41:AW59" si="76">2/3*AB41/(L41/(9.8*(E41-D41)))^0.5</f>
        <v>1.2847721656543536E-2</v>
      </c>
      <c r="AX41">
        <f t="shared" ref="AX41:AX59" si="77">+(2*AQ41*9.8*(E41-D41)/(E41*AW41))^0.5</f>
        <v>0.21753776412604722</v>
      </c>
      <c r="AY41">
        <f t="shared" ref="AY41:AY59" si="78">+AV41-AX41</f>
        <v>1.4651086760464338E-8</v>
      </c>
      <c r="AZ41">
        <f t="shared" ref="AZ41:AZ59" si="79">+F41-G41</f>
        <v>883760.40977061237</v>
      </c>
      <c r="BA41">
        <f t="shared" ref="BA41:BA59" si="80">+AQ41/AP41</f>
        <v>1.5871124816341495E-5</v>
      </c>
      <c r="BB41" s="15">
        <f t="shared" ref="BB41:BB59" si="81">+E41*AO41*AZ41/BA41</f>
        <v>1210269.3110709195</v>
      </c>
      <c r="BC41" s="20">
        <f t="shared" ref="BC41:BC59" si="82">BB41-S41</f>
        <v>-757.47877283045091</v>
      </c>
      <c r="BD41" s="19">
        <f t="shared" ref="BD41:BD59" si="83">+(BB41-S41)/S41*100</f>
        <v>-6.2548473673995506E-2</v>
      </c>
      <c r="BE41" s="15">
        <v>1280487.4856792598</v>
      </c>
      <c r="BF41" s="16">
        <f>テーブル2[[#This Row],[q_P]]/テーブル2[[#This Row],[q_M]]</f>
        <v>0.94516293568375509</v>
      </c>
      <c r="BG41">
        <v>1.363</v>
      </c>
      <c r="BH41">
        <v>-0.36717615925548253</v>
      </c>
      <c r="BI41">
        <v>4.5999999999999999E-2</v>
      </c>
      <c r="BJ41">
        <v>5625</v>
      </c>
      <c r="BK41" s="21">
        <f>1+テーブル2[[#This Row],[A_corr]]*EXP(-テーブル2[[#This Row],[(Tsub-40)^2]]/テーブル2[[#This Row],[σ_corr]])</f>
        <v>1.0312694060564869</v>
      </c>
      <c r="BL41">
        <f>テーブル2[[#This Row],[Ts]]-テーブル2[[#This Row],[Tin]]</f>
        <v>86.596747292083819</v>
      </c>
      <c r="BM41">
        <f>テーブル2[[#This Row],[q_P]]*0.000001</f>
        <v>1.2102693110709195</v>
      </c>
      <c r="BN41">
        <f>テーブル2[[#This Row],[Tsub]]</f>
        <v>86.596747292083819</v>
      </c>
      <c r="BO41">
        <f>テーブル2[[#This Row],[Fcorr]]</f>
        <v>1.0312694060564869</v>
      </c>
      <c r="BP41">
        <f>(テーブル2[[#This Row],[Tsub]]-40)^2</f>
        <v>2171.2568582023209</v>
      </c>
      <c r="BQ41" s="10">
        <v>0.90537682332458891</v>
      </c>
      <c r="BR41" s="33">
        <v>4.2670000000000003</v>
      </c>
    </row>
    <row r="42" spans="1:70" x14ac:dyDescent="0.15">
      <c r="A42" s="9" t="s">
        <v>126</v>
      </c>
      <c r="B42">
        <v>16650838.154999999</v>
      </c>
      <c r="C42" s="21" cm="1">
        <f t="array" ref="C42">TsatFromP(テーブル2[[#This Row],[P]])</f>
        <v>623.7467472920838</v>
      </c>
      <c r="D42">
        <f t="array" ref="D42">RhoGFromP(テーブル2[[#This Row],[P]])</f>
        <v>115.08174830522883</v>
      </c>
      <c r="E42">
        <f t="array" ref="E42">RhoFFromP(テーブル2[[#This Row],[P]])</f>
        <v>572.29121245744955</v>
      </c>
      <c r="F42">
        <f t="array" ref="F42">HgFromP(テーブル2[[#This Row],[P]])</f>
        <v>2559557.8321399409</v>
      </c>
      <c r="G42">
        <f t="array" ref="G42">HfFromP(テーブル2[[#This Row],[P]])</f>
        <v>1675797.4223693286</v>
      </c>
      <c r="H42">
        <f t="array" ref="H42">MuGFromP(テーブル2[[#This Row],[P]])</f>
        <v>2.3829582904311094E-5</v>
      </c>
      <c r="I42">
        <f t="array" ref="I42">MuFFromP(テーブル2[[#This Row],[P]])</f>
        <v>6.5509940250288218E-5</v>
      </c>
      <c r="J42">
        <f t="array" ref="J42">KfFromP(テーブル2[[#This Row],[P]])</f>
        <v>0.45915472043015876</v>
      </c>
      <c r="K42">
        <f t="array" ref="K42">CpFFromP(テーブル2[[#This Row],[P]])</f>
        <v>10285.252806144354</v>
      </c>
      <c r="L42">
        <f t="array" ref="L42">SigmaFromP(テーブル2[[#This Row],[P]])</f>
        <v>3.5437208597502243E-3</v>
      </c>
      <c r="M42" s="22">
        <v>323</v>
      </c>
      <c r="N42">
        <v>3376.44</v>
      </c>
      <c r="O42" s="8">
        <v>8.7843467213758383E-5</v>
      </c>
      <c r="P42" s="8">
        <v>2.9843873572041598E-2</v>
      </c>
      <c r="Q42">
        <v>1.1773735336561952E-2</v>
      </c>
      <c r="R42">
        <v>3.4036</v>
      </c>
      <c r="S42" s="15">
        <v>1465851.15234375</v>
      </c>
      <c r="T42">
        <v>539.03888888888889</v>
      </c>
      <c r="U42" s="12">
        <f>+T42+BG42*S42*テーブル2[[#This Row],[Pw]]*R42/(N42*O42*K42)</f>
        <v>605.56558539559205</v>
      </c>
      <c r="V42">
        <v>0.03</v>
      </c>
      <c r="W42" s="8">
        <f t="shared" si="56"/>
        <v>1538179.5205215563</v>
      </c>
      <c r="X42">
        <v>1.5239010602797311E-2</v>
      </c>
      <c r="Y42">
        <f t="shared" si="59"/>
        <v>8.1006825693876614</v>
      </c>
      <c r="Z42">
        <f t="shared" si="57"/>
        <v>8.1006825721955824</v>
      </c>
      <c r="AA42">
        <f t="shared" si="60"/>
        <v>-2.8079210068199245E-9</v>
      </c>
      <c r="AB42">
        <f t="shared" si="61"/>
        <v>1.1206576779235746E-5</v>
      </c>
      <c r="AC42">
        <v>666.08327695528374</v>
      </c>
      <c r="AD42">
        <f t="shared" si="58"/>
        <v>33566.837125346145</v>
      </c>
      <c r="AE42">
        <f>+gettm2(AD42,AC42,AK42,AL42,テーブル2[[#This Row],[Fcorr]])</f>
        <v>605.56558539559194</v>
      </c>
      <c r="AF42" s="14">
        <f t="shared" si="62"/>
        <v>0</v>
      </c>
      <c r="AG42">
        <v>1.1239803245563605E-5</v>
      </c>
      <c r="AH42">
        <f t="shared" si="63"/>
        <v>37.946155328891386</v>
      </c>
      <c r="AI42">
        <f t="shared" si="64"/>
        <v>0.25749888413851146</v>
      </c>
      <c r="AJ42">
        <f t="shared" si="65"/>
        <v>25.283892451428901</v>
      </c>
      <c r="AK42">
        <f t="array" ref="AK42">+S42*テーブル2[[#This Row],[F_form]]/(E42*CpFromTP((テーブル2[[#This Row],[Tin]]+テーブル2[[#This Row],[Tf]])/2,テーブル2[[#This Row],[P]])*AI42)</f>
        <v>2.4855304456445819</v>
      </c>
      <c r="AL42">
        <f t="shared" si="66"/>
        <v>1.4674493516224545</v>
      </c>
      <c r="AM42">
        <f t="shared" si="67"/>
        <v>623.74674728889806</v>
      </c>
      <c r="AN42">
        <f t="shared" si="68"/>
        <v>3.1857325666351244E-9</v>
      </c>
      <c r="AO42">
        <f t="shared" si="69"/>
        <v>3.3226466327859381E-8</v>
      </c>
      <c r="AP42">
        <v>2.7262387964460237</v>
      </c>
      <c r="AQ42">
        <f t="shared" si="70"/>
        <v>3.1266588763797009E-5</v>
      </c>
      <c r="AR42">
        <f t="shared" si="71"/>
        <v>5.6365148559457321E-6</v>
      </c>
      <c r="AS42">
        <f t="shared" si="72"/>
        <v>12.679317627278182</v>
      </c>
      <c r="AT42">
        <f t="shared" si="73"/>
        <v>9.6498606633879138</v>
      </c>
      <c r="AU42">
        <f t="shared" si="74"/>
        <v>2.4848283529145037</v>
      </c>
      <c r="AV42">
        <f t="shared" si="75"/>
        <v>0.24141044353152008</v>
      </c>
      <c r="AW42">
        <f t="shared" si="76"/>
        <v>8.4008378664006608E-3</v>
      </c>
      <c r="AX42">
        <f t="shared" si="77"/>
        <v>0.24141044249375096</v>
      </c>
      <c r="AY42">
        <f t="shared" si="78"/>
        <v>1.0377691206375772E-9</v>
      </c>
      <c r="AZ42">
        <f t="shared" si="79"/>
        <v>883760.40977061237</v>
      </c>
      <c r="BA42">
        <f t="shared" si="80"/>
        <v>1.1468763779811484E-5</v>
      </c>
      <c r="BB42" s="15">
        <f t="shared" si="81"/>
        <v>1465275.094873362</v>
      </c>
      <c r="BC42" s="20">
        <f t="shared" si="82"/>
        <v>-576.05747038801201</v>
      </c>
      <c r="BD42" s="19">
        <f t="shared" si="83"/>
        <v>-3.9298496949499509E-2</v>
      </c>
      <c r="BE42" s="15">
        <v>1524810.3852456473</v>
      </c>
      <c r="BF42" s="16">
        <f>テーブル2[[#This Row],[q_P]]/テーブル2[[#This Row],[q_M]]</f>
        <v>0.96095561064617607</v>
      </c>
      <c r="BG42">
        <v>1.363</v>
      </c>
      <c r="BH42">
        <v>-0.38118649601439986</v>
      </c>
      <c r="BI42">
        <v>4.5999999999999999E-2</v>
      </c>
      <c r="BJ42">
        <v>5625</v>
      </c>
      <c r="BK42" s="21">
        <f>1+テーブル2[[#This Row],[A_corr]]*EXP(-テーブル2[[#This Row],[(Tsub-40)^2]]/テーブル2[[#This Row],[σ_corr]])</f>
        <v>1.0322429846481616</v>
      </c>
      <c r="BL42">
        <f>テーブル2[[#This Row],[Ts]]-テーブル2[[#This Row],[Tin]]</f>
        <v>84.707858403194905</v>
      </c>
      <c r="BM42">
        <f>テーブル2[[#This Row],[q_P]]*0.000001</f>
        <v>1.4652750948733619</v>
      </c>
      <c r="BN42">
        <f>テーブル2[[#This Row],[Tsub]]</f>
        <v>84.707858403194905</v>
      </c>
      <c r="BO42">
        <f>テーブル2[[#This Row],[Fcorr]]</f>
        <v>1.0322429846481616</v>
      </c>
      <c r="BP42">
        <f>(テーブル2[[#This Row],[Tsub]]-40)^2</f>
        <v>1998.7926030001254</v>
      </c>
      <c r="BQ42" s="10">
        <v>0.94220713325058714</v>
      </c>
      <c r="BR42" s="33">
        <v>4.2670000000000003</v>
      </c>
    </row>
    <row r="43" spans="1:70" x14ac:dyDescent="0.15">
      <c r="A43" s="9" t="s">
        <v>127</v>
      </c>
      <c r="B43">
        <v>16719785.725</v>
      </c>
      <c r="C43" s="21" cm="1">
        <f t="array" ref="C43">TsatFromP(テーブル2[[#This Row],[P]])</f>
        <v>624.08398426992824</v>
      </c>
      <c r="D43">
        <f t="array" ref="D43">RhoGFromP(テーブル2[[#This Row],[P]])</f>
        <v>115.93036328992132</v>
      </c>
      <c r="E43">
        <f t="array" ref="E43">RhoFFromP(テーブル2[[#This Row],[P]])</f>
        <v>570.9092360058894</v>
      </c>
      <c r="F43">
        <f t="array" ref="F43">HgFromP(テーブル2[[#This Row],[P]])</f>
        <v>2557216.0713552916</v>
      </c>
      <c r="G43">
        <f t="array" ref="G43">HfFromP(テーブル2[[#This Row],[P]])</f>
        <v>1678592.8027206569</v>
      </c>
      <c r="H43">
        <f t="array" ref="H43">MuGFromP(テーブル2[[#This Row],[P]])</f>
        <v>2.3881635703930669E-5</v>
      </c>
      <c r="I43">
        <f t="array" ref="I43">MuFFromP(テーブル2[[#This Row],[P]])</f>
        <v>6.5343120666275665E-5</v>
      </c>
      <c r="J43">
        <f t="array" ref="J43">KfFromP(テーブル2[[#This Row],[P]])</f>
        <v>0.45840868995416201</v>
      </c>
      <c r="K43">
        <f t="array" ref="K43">CpFFromP(テーブル2[[#This Row],[P]])</f>
        <v>10385.058717031257</v>
      </c>
      <c r="L43">
        <f t="array" ref="L43">SigmaFromP(テーブル2[[#This Row],[P]])</f>
        <v>3.4813429573410932E-3</v>
      </c>
      <c r="M43" s="22">
        <v>325</v>
      </c>
      <c r="N43">
        <v>2714.7119999999995</v>
      </c>
      <c r="O43" s="8">
        <v>8.7843467213758383E-5</v>
      </c>
      <c r="P43" s="8">
        <v>2.9843873572041598E-2</v>
      </c>
      <c r="Q43">
        <v>1.1773735336561952E-2</v>
      </c>
      <c r="R43">
        <v>3.4036</v>
      </c>
      <c r="S43" s="15">
        <v>1076355.21171875</v>
      </c>
      <c r="T43">
        <v>564.03888888888889</v>
      </c>
      <c r="U43" s="12">
        <f>+T43+BG43*S43*テーブル2[[#This Row],[Pw]]*R43/(N43*O43*K43)</f>
        <v>624.21207285591777</v>
      </c>
      <c r="V43">
        <v>0.03</v>
      </c>
      <c r="W43" s="8">
        <f t="shared" si="56"/>
        <v>1239878.3664814811</v>
      </c>
      <c r="X43">
        <v>1.6351058183422914E-2</v>
      </c>
      <c r="Y43">
        <f t="shared" si="59"/>
        <v>7.8203658043830551</v>
      </c>
      <c r="Z43">
        <f t="shared" si="57"/>
        <v>7.820365817122183</v>
      </c>
      <c r="AA43">
        <f t="shared" si="60"/>
        <v>-1.2739127974725761E-8</v>
      </c>
      <c r="AB43">
        <f t="shared" si="61"/>
        <v>1.5834039417207831E-5</v>
      </c>
      <c r="AC43">
        <v>658.64603839459539</v>
      </c>
      <c r="AD43">
        <f t="shared" si="58"/>
        <v>28027.026571256378</v>
      </c>
      <c r="AE43">
        <f>+gettm2(AD43,AC43,AK43,AL43,テーブル2[[#This Row],[Fcorr]])</f>
        <v>624.212072855918</v>
      </c>
      <c r="AF43" s="14">
        <f t="shared" si="62"/>
        <v>0</v>
      </c>
      <c r="AG43">
        <v>1.5866284153295271E-5</v>
      </c>
      <c r="AH43">
        <f t="shared" si="63"/>
        <v>26.383738468335768</v>
      </c>
      <c r="AI43">
        <f t="shared" si="64"/>
        <v>0.21497335392275246</v>
      </c>
      <c r="AJ43">
        <f t="shared" si="65"/>
        <v>29.800740609496561</v>
      </c>
      <c r="AK43">
        <f t="array" ref="AK43">+S43*テーブル2[[#This Row],[F_form]]/(E43*CpFromTP((テーブル2[[#This Row],[Tin]]+テーブル2[[#This Row],[Tf]])/2,テーブル2[[#This Row],[P]])*AI43)</f>
        <v>1.9192090224708409</v>
      </c>
      <c r="AL43">
        <f t="shared" si="66"/>
        <v>1.4803212935190788</v>
      </c>
      <c r="AM43">
        <f t="shared" si="67"/>
        <v>624.08398424456152</v>
      </c>
      <c r="AN43">
        <f t="shared" si="68"/>
        <v>2.5366716727148741E-8</v>
      </c>
      <c r="AO43">
        <f t="shared" si="69"/>
        <v>3.2244736087440009E-8</v>
      </c>
      <c r="AP43">
        <v>2.4706494058887296</v>
      </c>
      <c r="AQ43">
        <f t="shared" si="70"/>
        <v>3.7187372509097951E-5</v>
      </c>
      <c r="AR43">
        <f t="shared" si="71"/>
        <v>7.9492644446913555E-6</v>
      </c>
      <c r="AS43">
        <f t="shared" si="72"/>
        <v>14.930652033188267</v>
      </c>
      <c r="AT43">
        <f t="shared" si="73"/>
        <v>10.467081416412782</v>
      </c>
      <c r="AU43">
        <f t="shared" si="74"/>
        <v>2.2501435978687701</v>
      </c>
      <c r="AV43">
        <f t="shared" si="75"/>
        <v>0.22050580801995956</v>
      </c>
      <c r="AW43">
        <f t="shared" si="76"/>
        <v>1.1946363115015041E-2</v>
      </c>
      <c r="AX43">
        <f t="shared" si="77"/>
        <v>0.22050579522065233</v>
      </c>
      <c r="AY43">
        <f t="shared" si="78"/>
        <v>1.2799307225197509E-8</v>
      </c>
      <c r="AZ43">
        <f t="shared" si="79"/>
        <v>878623.26863463479</v>
      </c>
      <c r="BA43">
        <f t="shared" si="80"/>
        <v>1.5051659057923314E-5</v>
      </c>
      <c r="BB43" s="15">
        <f t="shared" si="81"/>
        <v>1074593.5360753154</v>
      </c>
      <c r="BC43" s="20">
        <f t="shared" si="82"/>
        <v>-1761.6756434345152</v>
      </c>
      <c r="BD43" s="19">
        <f t="shared" si="83"/>
        <v>-0.16367047088678366</v>
      </c>
      <c r="BE43" s="15">
        <v>1068544.7294288995</v>
      </c>
      <c r="BF43" s="16">
        <f>テーブル2[[#This Row],[q_P]]/テーブル2[[#This Row],[q_M]]</f>
        <v>1.0056607893706506</v>
      </c>
      <c r="BG43">
        <v>1.363</v>
      </c>
      <c r="BH43">
        <v>-0.23077825084822381</v>
      </c>
      <c r="BI43">
        <v>4.5999999999999999E-2</v>
      </c>
      <c r="BJ43">
        <v>5625</v>
      </c>
      <c r="BK43" s="21">
        <f>1+テーブル2[[#This Row],[A_corr]]*EXP(-テーブル2[[#This Row],[(Tsub-40)^2]]/テーブル2[[#This Row],[σ_corr]])</f>
        <v>1.042828734561708</v>
      </c>
      <c r="BL43">
        <f>テーブル2[[#This Row],[Ts]]-テーブル2[[#This Row],[Tin]]</f>
        <v>60.045095381039346</v>
      </c>
      <c r="BM43">
        <f>テーブル2[[#This Row],[q_P]]*0.000001</f>
        <v>1.0745935360753154</v>
      </c>
      <c r="BN43">
        <f>テーブル2[[#This Row],[Tsub]]</f>
        <v>60.045095381039346</v>
      </c>
      <c r="BO43">
        <f>テーブル2[[#This Row],[Fcorr]]</f>
        <v>1.042828734561708</v>
      </c>
      <c r="BP43">
        <f>(テーブル2[[#This Row],[Tsub]]-40)^2</f>
        <v>401.80584883496493</v>
      </c>
      <c r="BQ43" s="10">
        <v>0.95793758465456247</v>
      </c>
      <c r="BR43" s="33">
        <v>4.2670000000000003</v>
      </c>
    </row>
    <row r="44" spans="1:70" x14ac:dyDescent="0.15">
      <c r="A44" s="9" t="s">
        <v>128</v>
      </c>
      <c r="B44">
        <v>16547416.799999999</v>
      </c>
      <c r="C44" s="21" cm="1">
        <f t="array" ref="C44">TsatFromP(テーブル2[[#This Row],[P]])</f>
        <v>623.23870133313642</v>
      </c>
      <c r="D44">
        <f t="array" ref="D44">RhoGFromP(テーブル2[[#This Row],[P]])</f>
        <v>113.82300371015133</v>
      </c>
      <c r="E44">
        <f t="array" ref="E44">RhoFFromP(テーブル2[[#This Row],[P]])</f>
        <v>574.34988711113044</v>
      </c>
      <c r="F44">
        <f t="array" ref="F44">HgFromP(テーブル2[[#This Row],[P]])</f>
        <v>2563035.5779140079</v>
      </c>
      <c r="G44">
        <f t="array" ref="G44">HfFromP(テーブル2[[#This Row],[P]])</f>
        <v>1671616.2807993235</v>
      </c>
      <c r="H44">
        <f t="array" ref="H44">MuGFromP(テーブル2[[#This Row],[P]])</f>
        <v>2.3752482411014488E-5</v>
      </c>
      <c r="I44">
        <f t="array" ref="I44">MuFFromP(テーブル2[[#This Row],[P]])</f>
        <v>6.5759231557403181E-5</v>
      </c>
      <c r="J44">
        <f t="array" ref="J44">KfFromP(テーブル2[[#This Row],[P]])</f>
        <v>0.46027765484939753</v>
      </c>
      <c r="K44">
        <f t="array" ref="K44">CpFFromP(テーブル2[[#This Row],[P]])</f>
        <v>10140.600460117175</v>
      </c>
      <c r="L44">
        <f t="array" ref="L44">SigmaFromP(テーブル2[[#This Row],[P]])</f>
        <v>3.6380461586323874E-3</v>
      </c>
      <c r="M44">
        <v>326</v>
      </c>
      <c r="N44">
        <v>3383.22</v>
      </c>
      <c r="O44" s="8">
        <v>8.7843467213758383E-5</v>
      </c>
      <c r="P44" s="8">
        <v>2.9843873572041598E-2</v>
      </c>
      <c r="Q44">
        <v>1.1773735336561952E-2</v>
      </c>
      <c r="R44">
        <v>3.4036</v>
      </c>
      <c r="S44" s="15">
        <v>1261061.73828125</v>
      </c>
      <c r="T44">
        <v>563.48333333333335</v>
      </c>
      <c r="U44" s="12">
        <f>+T44+BG44*S44*テーブル2[[#This Row],[Pw]]*R44/(N44*O44*K44)</f>
        <v>621.41586808346858</v>
      </c>
      <c r="V44">
        <v>0.03</v>
      </c>
      <c r="W44" s="8">
        <f t="shared" si="56"/>
        <v>1535425.3320047432</v>
      </c>
      <c r="X44">
        <v>1.5299986260567673E-2</v>
      </c>
      <c r="Y44">
        <f t="shared" si="59"/>
        <v>8.0845244645052716</v>
      </c>
      <c r="Z44">
        <f t="shared" si="57"/>
        <v>8.0845244854782194</v>
      </c>
      <c r="AA44">
        <f t="shared" si="60"/>
        <v>-2.0972947822883725E-8</v>
      </c>
      <c r="AB44">
        <f t="shared" si="61"/>
        <v>1.1454191989426209E-5</v>
      </c>
      <c r="AC44">
        <v>655.38168433881174</v>
      </c>
      <c r="AD44">
        <f t="shared" si="58"/>
        <v>33573.702109286634</v>
      </c>
      <c r="AE44">
        <f>+gettm2(AD44,AC44,AK44,AL44,テーブル2[[#This Row],[Fcorr]])</f>
        <v>621.41586808346847</v>
      </c>
      <c r="AF44" s="14">
        <f t="shared" si="62"/>
        <v>0</v>
      </c>
      <c r="AG44">
        <v>1.148231120080524E-5</v>
      </c>
      <c r="AH44">
        <f t="shared" si="63"/>
        <v>38.114040644586403</v>
      </c>
      <c r="AI44">
        <f t="shared" si="64"/>
        <v>0.2576049632996511</v>
      </c>
      <c r="AJ44">
        <f t="shared" si="65"/>
        <v>25.834695677246724</v>
      </c>
      <c r="AK44">
        <f t="array" ref="AK44">+S44*テーブル2[[#This Row],[F_form]]/(E44*CpFromTP((テーブル2[[#This Row],[Tin]]+テーブル2[[#This Row],[Tf]])/2,テーブル2[[#This Row],[P]])*AI44)</f>
        <v>1.8907923106067661</v>
      </c>
      <c r="AL44">
        <f t="shared" si="66"/>
        <v>1.4487735538805233</v>
      </c>
      <c r="AM44">
        <f t="shared" si="67"/>
        <v>623.23870132377056</v>
      </c>
      <c r="AN44">
        <f t="shared" si="68"/>
        <v>9.3658627520198934E-9</v>
      </c>
      <c r="AO44">
        <f t="shared" si="69"/>
        <v>2.8119211379031269E-8</v>
      </c>
      <c r="AP44">
        <v>2.7549925700381723</v>
      </c>
      <c r="AQ44">
        <f t="shared" si="70"/>
        <v>3.1702841377066464E-5</v>
      </c>
      <c r="AR44">
        <f t="shared" si="71"/>
        <v>5.7552152060921359E-6</v>
      </c>
      <c r="AS44">
        <f t="shared" si="72"/>
        <v>12.948981333655727</v>
      </c>
      <c r="AT44">
        <f t="shared" si="73"/>
        <v>9.755085617789014</v>
      </c>
      <c r="AU44">
        <f t="shared" si="74"/>
        <v>2.5129584725554932</v>
      </c>
      <c r="AV44">
        <f t="shared" si="75"/>
        <v>0.24203409748267912</v>
      </c>
      <c r="AW44">
        <f t="shared" si="76"/>
        <v>8.5051039946173763E-3</v>
      </c>
      <c r="AX44">
        <f t="shared" si="77"/>
        <v>0.24203408961910078</v>
      </c>
      <c r="AY44">
        <f t="shared" si="78"/>
        <v>7.8635783440361706E-9</v>
      </c>
      <c r="AZ44">
        <f t="shared" si="79"/>
        <v>891419.29711468448</v>
      </c>
      <c r="BA44">
        <f t="shared" si="80"/>
        <v>1.1507414474307348E-5</v>
      </c>
      <c r="BB44" s="15">
        <f t="shared" si="81"/>
        <v>1251076.7464036869</v>
      </c>
      <c r="BC44" s="20">
        <f t="shared" si="82"/>
        <v>-9984.9918775630649</v>
      </c>
      <c r="BD44" s="19">
        <f t="shared" si="83"/>
        <v>-0.79179246934983527</v>
      </c>
      <c r="BE44" s="15">
        <v>1245163.6929708663</v>
      </c>
      <c r="BF44" s="16">
        <f>テーブル2[[#This Row],[q_P]]/テーブル2[[#This Row],[q_M]]</f>
        <v>1.00474881613253</v>
      </c>
      <c r="BG44">
        <v>1.363</v>
      </c>
      <c r="BH44">
        <v>-0.23592695825831414</v>
      </c>
      <c r="BI44">
        <v>4.5999999999999999E-2</v>
      </c>
      <c r="BJ44">
        <v>5625</v>
      </c>
      <c r="BK44" s="21">
        <f>1+テーブル2[[#This Row],[A_corr]]*EXP(-テーブル2[[#This Row],[(Tsub-40)^2]]/テーブル2[[#This Row],[σ_corr]])</f>
        <v>1.0429166237825809</v>
      </c>
      <c r="BL44">
        <f>テーブル2[[#This Row],[Ts]]-テーブル2[[#This Row],[Tin]]</f>
        <v>59.75536799980307</v>
      </c>
      <c r="BM44">
        <f>テーブル2[[#This Row],[q_P]]*0.000001</f>
        <v>1.2510767464036869</v>
      </c>
      <c r="BN44">
        <f>テーブル2[[#This Row],[Tsub]]</f>
        <v>59.75536799980307</v>
      </c>
      <c r="BO44">
        <f>テーブル2[[#This Row],[Fcorr]]</f>
        <v>1.0429166237825809</v>
      </c>
      <c r="BP44">
        <f>(テーブル2[[#This Row],[Tsub]]-40)^2</f>
        <v>390.27456480764317</v>
      </c>
      <c r="BQ44" s="10">
        <v>0.98823260572126292</v>
      </c>
      <c r="BR44" s="33">
        <v>4.2670000000000003</v>
      </c>
    </row>
    <row r="45" spans="1:70" x14ac:dyDescent="0.15">
      <c r="A45" s="9" t="s">
        <v>129</v>
      </c>
      <c r="B45">
        <v>16581890.584999999</v>
      </c>
      <c r="C45" s="21" cm="1">
        <f t="array" ref="C45">TsatFromP(テーブル2[[#This Row],[P]])</f>
        <v>623.40834329200698</v>
      </c>
      <c r="D45">
        <f t="array" ref="D45">RhoGFromP(テーブル2[[#This Row],[P]])</f>
        <v>114.24072089270538</v>
      </c>
      <c r="E45">
        <f t="array" ref="E45">RhoFFromP(テーブル2[[#This Row],[P]])</f>
        <v>573.66553119769708</v>
      </c>
      <c r="F45">
        <f t="array" ref="F45">HgFromP(テーブル2[[#This Row],[P]])</f>
        <v>2561880.926064556</v>
      </c>
      <c r="G45">
        <f t="array" ref="G45">HfFromP(テーブル2[[#This Row],[P]])</f>
        <v>1673008.4528857057</v>
      </c>
      <c r="H45">
        <f t="array" ref="H45">MuGFromP(テーブル2[[#This Row],[P]])</f>
        <v>2.3778054068935119E-5</v>
      </c>
      <c r="I45">
        <f t="array" ref="I45">MuFFromP(テーブル2[[#This Row],[P]])</f>
        <v>6.5676255486798709E-5</v>
      </c>
      <c r="J45">
        <f t="array" ref="J45">KfFromP(テーブル2[[#This Row],[P]])</f>
        <v>0.4599028461125329</v>
      </c>
      <c r="K45">
        <f t="array" ref="K45">CpFFromP(テーブル2[[#This Row],[P]])</f>
        <v>10188.161618072991</v>
      </c>
      <c r="L45">
        <f t="array" ref="L45">SigmaFromP(テーブル2[[#This Row],[P]])</f>
        <v>3.6065031383353337E-3</v>
      </c>
      <c r="M45" s="22">
        <v>327</v>
      </c>
      <c r="N45">
        <v>4040.88</v>
      </c>
      <c r="O45" s="8">
        <v>8.7843467213758383E-5</v>
      </c>
      <c r="P45" s="8">
        <v>2.9843873572041598E-2</v>
      </c>
      <c r="Q45">
        <v>1.1773735336561952E-2</v>
      </c>
      <c r="R45">
        <v>3.4036</v>
      </c>
      <c r="S45" s="15">
        <v>1445298.3982812501</v>
      </c>
      <c r="T45">
        <v>564.26111111111106</v>
      </c>
      <c r="U45" s="12">
        <f>+T45+BG45*S45*テーブル2[[#This Row],[Pw]]*R45/(N45*O45*K45)</f>
        <v>619.59176914517298</v>
      </c>
      <c r="V45">
        <v>0.03</v>
      </c>
      <c r="W45" s="8">
        <f t="shared" si="56"/>
        <v>1836211.7472429869</v>
      </c>
      <c r="X45">
        <v>1.441578214700232E-2</v>
      </c>
      <c r="Y45">
        <f t="shared" si="59"/>
        <v>8.3287704901266437</v>
      </c>
      <c r="Z45">
        <f t="shared" si="57"/>
        <v>8.3287704957889623</v>
      </c>
      <c r="AA45">
        <f t="shared" si="60"/>
        <v>-5.6623186139859172E-9</v>
      </c>
      <c r="AB45">
        <f t="shared" si="61"/>
        <v>8.4377409085819746E-6</v>
      </c>
      <c r="AC45">
        <v>653.84186747973786</v>
      </c>
      <c r="AD45">
        <f t="shared" si="58"/>
        <v>38973.272817071345</v>
      </c>
      <c r="AE45">
        <f>+gettm2(AD45,AC45,AK45,AL45,テーブル2[[#This Row],[Fcorr]])</f>
        <v>619.59176970679607</v>
      </c>
      <c r="AF45" s="14">
        <f t="shared" si="62"/>
        <v>5.6162309647334041E-7</v>
      </c>
      <c r="AG45">
        <v>8.4641877614644715E-6</v>
      </c>
      <c r="AH45">
        <f t="shared" si="63"/>
        <v>51.291024610635041</v>
      </c>
      <c r="AI45">
        <f t="shared" si="64"/>
        <v>0.29901385313628526</v>
      </c>
      <c r="AJ45">
        <f t="shared" si="65"/>
        <v>22.106855399059686</v>
      </c>
      <c r="AK45">
        <f t="array" ref="AK45">+S45*テーブル2[[#This Row],[F_form]]/(E45*CpFromTP((テーブル2[[#This Row],[Tin]]+テーブル2[[#This Row],[Tf]])/2,テーブル2[[#This Row],[P]])*AI45)</f>
        <v>1.8768916107324418</v>
      </c>
      <c r="AL45">
        <f t="shared" si="66"/>
        <v>1.4549166438635874</v>
      </c>
      <c r="AM45">
        <f t="shared" si="67"/>
        <v>623.40834329974211</v>
      </c>
      <c r="AN45">
        <f t="shared" si="68"/>
        <v>-7.735138751741033E-9</v>
      </c>
      <c r="AO45">
        <f t="shared" si="69"/>
        <v>2.6446852882496937E-8</v>
      </c>
      <c r="AP45">
        <v>2.9465124384393402</v>
      </c>
      <c r="AQ45">
        <f t="shared" si="70"/>
        <v>2.7396759093330484E-5</v>
      </c>
      <c r="AR45">
        <f t="shared" si="71"/>
        <v>4.2453173071734842E-6</v>
      </c>
      <c r="AS45">
        <f t="shared" si="72"/>
        <v>11.087964785007518</v>
      </c>
      <c r="AT45">
        <f t="shared" si="73"/>
        <v>8.9793013324359698</v>
      </c>
      <c r="AU45">
        <f t="shared" si="74"/>
        <v>2.6849354898834594</v>
      </c>
      <c r="AV45">
        <f t="shared" si="75"/>
        <v>0.26157694855588076</v>
      </c>
      <c r="AW45">
        <f t="shared" si="76"/>
        <v>6.2850976500719233E-3</v>
      </c>
      <c r="AX45">
        <f t="shared" si="77"/>
        <v>0.26157694342488247</v>
      </c>
      <c r="AY45">
        <f t="shared" si="78"/>
        <v>5.1309982929126363E-9</v>
      </c>
      <c r="AZ45">
        <f t="shared" si="79"/>
        <v>888872.47317885025</v>
      </c>
      <c r="BA45">
        <f t="shared" si="80"/>
        <v>9.2980293366219579E-6</v>
      </c>
      <c r="BB45" s="15">
        <f t="shared" si="81"/>
        <v>1450378.3231232387</v>
      </c>
      <c r="BC45" s="20">
        <f t="shared" si="82"/>
        <v>5079.9248419885989</v>
      </c>
      <c r="BD45" s="19">
        <f t="shared" si="83"/>
        <v>0.35147931029534446</v>
      </c>
      <c r="BE45" s="15">
        <v>1483599.293752522</v>
      </c>
      <c r="BF45" s="16">
        <f>テーブル2[[#This Row],[q_P]]/テーブル2[[#This Row],[q_M]]</f>
        <v>0.97760785491798385</v>
      </c>
      <c r="BG45">
        <v>1.363</v>
      </c>
      <c r="BH45">
        <v>-0.23405491166652889</v>
      </c>
      <c r="BI45">
        <v>4.5999999999999999E-2</v>
      </c>
      <c r="BJ45">
        <v>5625</v>
      </c>
      <c r="BK45" s="21">
        <f>1+テーブル2[[#This Row],[A_corr]]*EXP(-テーブル2[[#This Row],[(Tsub-40)^2]]/テーブル2[[#This Row],[σ_corr]])</f>
        <v>1.0430975059906309</v>
      </c>
      <c r="BL45">
        <f>テーブル2[[#This Row],[Ts]]-テーブル2[[#This Row],[Tin]]</f>
        <v>59.147232180895912</v>
      </c>
      <c r="BM45">
        <f>テーブル2[[#This Row],[q_P]]*0.000001</f>
        <v>1.4503783231232388</v>
      </c>
      <c r="BN45">
        <f>テーブル2[[#This Row],[Tsub]]</f>
        <v>59.147232180895912</v>
      </c>
      <c r="BO45">
        <f>テーブル2[[#This Row],[Fcorr]]</f>
        <v>1.0430975059906309</v>
      </c>
      <c r="BP45">
        <f>(テーブル2[[#This Row],[Tsub]]-40)^2</f>
        <v>366.61650018913605</v>
      </c>
      <c r="BQ45" s="10">
        <v>0.99152204853823289</v>
      </c>
      <c r="BR45" s="33">
        <v>4.2670000000000003</v>
      </c>
    </row>
    <row r="46" spans="1:70" x14ac:dyDescent="0.15">
      <c r="A46" s="9" t="s">
        <v>130</v>
      </c>
      <c r="B46">
        <v>14547937.27</v>
      </c>
      <c r="C46" s="21" cm="1">
        <f t="array" ref="C46">TsatFromP(テーブル2[[#This Row],[P]])</f>
        <v>612.8617754030106</v>
      </c>
      <c r="D46">
        <f t="array" ref="D46">RhoGFromP(テーブル2[[#This Row],[P]])</f>
        <v>92.246204919594888</v>
      </c>
      <c r="E46">
        <f t="array" ref="E46">RhoFFromP(テーブル2[[#This Row],[P]])</f>
        <v>611.60316925921416</v>
      </c>
      <c r="F46">
        <f t="array" ref="F46">HgFromP(テーブル2[[#This Row],[P]])</f>
        <v>2623286.9751734058</v>
      </c>
      <c r="G46">
        <f t="array" ref="G46">HfFromP(テーブル2[[#This Row],[P]])</f>
        <v>1592460.3576735058</v>
      </c>
      <c r="H46">
        <f t="array" ref="H46">MuGFromP(テーブル2[[#This Row],[P]])</f>
        <v>2.2446211956304489E-5</v>
      </c>
      <c r="I46">
        <f t="array" ref="I46">MuFFromP(テーブル2[[#This Row],[P]])</f>
        <v>7.0453794027894906E-5</v>
      </c>
      <c r="J46">
        <f t="array" ref="J46">KfFromP(テーブル2[[#This Row],[P]])</f>
        <v>0.482528845552468</v>
      </c>
      <c r="K46">
        <f t="array" ref="K46">CpFFromP(テーブル2[[#This Row],[P]])</f>
        <v>8170.133161316754</v>
      </c>
      <c r="L46">
        <f t="array" ref="L46">SigmaFromP(テーブル2[[#This Row],[P]])</f>
        <v>5.6457194724596916E-3</v>
      </c>
      <c r="M46" s="22">
        <v>329</v>
      </c>
      <c r="N46">
        <v>2770.3080000000004</v>
      </c>
      <c r="O46" s="8">
        <v>8.7843467213758383E-5</v>
      </c>
      <c r="P46" s="8">
        <v>2.9843873572041598E-2</v>
      </c>
      <c r="Q46">
        <v>1.1773735336561952E-2</v>
      </c>
      <c r="R46">
        <v>3.4036</v>
      </c>
      <c r="S46" s="15">
        <v>862506.77734375</v>
      </c>
      <c r="T46">
        <v>561.48333333333335</v>
      </c>
      <c r="U46" s="12">
        <f>+T46+BG46*S46*テーブル2[[#This Row],[Pw]]*R46/(N46*O46*K46)</f>
        <v>621.54334584443325</v>
      </c>
      <c r="V46">
        <v>0.03</v>
      </c>
      <c r="W46" s="8">
        <f t="shared" si="56"/>
        <v>1173488.5657808729</v>
      </c>
      <c r="X46">
        <v>1.7826663453641606E-2</v>
      </c>
      <c r="Y46">
        <f t="shared" si="59"/>
        <v>7.4897093958670071</v>
      </c>
      <c r="Z46">
        <f t="shared" si="57"/>
        <v>7.4897094000483806</v>
      </c>
      <c r="AA46">
        <f t="shared" si="60"/>
        <v>-4.1813734696916072E-9</v>
      </c>
      <c r="AB46">
        <f t="shared" si="61"/>
        <v>2.4228921185705779E-5</v>
      </c>
      <c r="AC46">
        <v>637.45030133490764</v>
      </c>
      <c r="AD46">
        <f t="shared" si="58"/>
        <v>27697.393805640302</v>
      </c>
      <c r="AE46">
        <f>+gettm2(AD46,AC46,AK46,AL46,テーブル2[[#This Row],[Fcorr]])</f>
        <v>621.54334584443313</v>
      </c>
      <c r="AF46" s="14">
        <f t="shared" si="62"/>
        <v>0</v>
      </c>
      <c r="AG46">
        <v>2.4253570825356353E-5</v>
      </c>
      <c r="AH46">
        <f t="shared" si="63"/>
        <v>27.961886189751461</v>
      </c>
      <c r="AI46">
        <f t="shared" si="64"/>
        <v>0.21382002119158272</v>
      </c>
      <c r="AJ46">
        <f t="shared" si="65"/>
        <v>45.018331867764218</v>
      </c>
      <c r="AK46">
        <f t="array" ref="AK46">+S46*テーブル2[[#This Row],[F_form]]/(E46*CpFromTP((テーブル2[[#This Row],[Tin]]+テーブル2[[#This Row],[Tf]])/2,テーブル2[[#This Row],[P]])*AI46)</f>
        <v>1.4738268491599102</v>
      </c>
      <c r="AL46">
        <f t="shared" si="66"/>
        <v>1.1929170333202277</v>
      </c>
      <c r="AM46">
        <f t="shared" si="67"/>
        <v>612.86177536271157</v>
      </c>
      <c r="AN46">
        <f t="shared" si="68"/>
        <v>4.0299028114532121E-8</v>
      </c>
      <c r="AO46">
        <f t="shared" si="69"/>
        <v>2.4649639650574574E-8</v>
      </c>
      <c r="AP46">
        <v>2.9157124229830997</v>
      </c>
      <c r="AQ46">
        <f t="shared" si="70"/>
        <v>5.2056058568209342E-5</v>
      </c>
      <c r="AR46">
        <f t="shared" si="71"/>
        <v>1.2139110232503464E-5</v>
      </c>
      <c r="AS46">
        <f t="shared" si="72"/>
        <v>22.53204268193296</v>
      </c>
      <c r="AT46">
        <f t="shared" si="73"/>
        <v>12.524692076556917</v>
      </c>
      <c r="AU46">
        <f t="shared" si="74"/>
        <v>2.6780299252274484</v>
      </c>
      <c r="AV46">
        <f t="shared" si="75"/>
        <v>0.23768249775565131</v>
      </c>
      <c r="AW46">
        <f t="shared" si="76"/>
        <v>1.5336603449944272E-2</v>
      </c>
      <c r="AX46">
        <f t="shared" si="77"/>
        <v>0.23768249565254265</v>
      </c>
      <c r="AY46">
        <f t="shared" si="78"/>
        <v>2.1031086594458515E-9</v>
      </c>
      <c r="AZ46">
        <f t="shared" si="79"/>
        <v>1030826.6174999001</v>
      </c>
      <c r="BA46">
        <f t="shared" si="80"/>
        <v>1.7853632668941396E-5</v>
      </c>
      <c r="BB46" s="15">
        <f t="shared" si="81"/>
        <v>870440.98362094501</v>
      </c>
      <c r="BC46" s="20">
        <f t="shared" si="82"/>
        <v>7934.206277195015</v>
      </c>
      <c r="BD46" s="19">
        <f t="shared" si="83"/>
        <v>0.91990074578079017</v>
      </c>
      <c r="BE46" s="15">
        <v>965517.00069608551</v>
      </c>
      <c r="BF46" s="16">
        <f>テーブル2[[#This Row],[q_P]]/テーブル2[[#This Row],[q_M]]</f>
        <v>0.9015283863395509</v>
      </c>
      <c r="BG46">
        <v>1.363</v>
      </c>
      <c r="BH46">
        <v>-0.10561999248083931</v>
      </c>
      <c r="BI46">
        <v>4.5999999999999999E-2</v>
      </c>
      <c r="BJ46">
        <v>5625</v>
      </c>
      <c r="BK46" s="21">
        <f>1+テーブル2[[#This Row],[A_corr]]*EXP(-テーブル2[[#This Row],[(Tsub-40)^2]]/テーブル2[[#This Row],[σ_corr]])</f>
        <v>1.0449533234753887</v>
      </c>
      <c r="BL46">
        <f>テーブル2[[#This Row],[Ts]]-テーブル2[[#This Row],[Tin]]</f>
        <v>51.378442069677249</v>
      </c>
      <c r="BM46">
        <f>テーブル2[[#This Row],[q_P]]*0.000001</f>
        <v>0.87044098362094502</v>
      </c>
      <c r="BN46">
        <f>テーブル2[[#This Row],[Tsub]]</f>
        <v>51.378442069677249</v>
      </c>
      <c r="BO46">
        <f>テーブル2[[#This Row],[Fcorr]]</f>
        <v>1.0449533234753887</v>
      </c>
      <c r="BP46">
        <f>(テーブル2[[#This Row],[Tsub]]-40)^2</f>
        <v>129.46894393300107</v>
      </c>
      <c r="BQ46" s="10">
        <v>0.97565557400218594</v>
      </c>
      <c r="BR46" s="33">
        <v>4.2670000000000003</v>
      </c>
    </row>
    <row r="47" spans="1:70" x14ac:dyDescent="0.15">
      <c r="A47" s="9" t="s">
        <v>131</v>
      </c>
      <c r="B47">
        <v>14513463.484999999</v>
      </c>
      <c r="C47" s="21" cm="1">
        <f t="array" ref="C47">TsatFromP(テーブル2[[#This Row],[P]])</f>
        <v>612.67292008461743</v>
      </c>
      <c r="D47">
        <f t="array" ref="D47">RhoGFromP(テーブル2[[#This Row],[P]])</f>
        <v>91.91255897533145</v>
      </c>
      <c r="E47">
        <f t="array" ref="E47">RhoFFromP(テーブル2[[#This Row],[P]])</f>
        <v>612.21368217827785</v>
      </c>
      <c r="F47">
        <f t="array" ref="F47">HgFromP(テーブル2[[#This Row],[P]])</f>
        <v>2624225.3455417412</v>
      </c>
      <c r="G47">
        <f t="array" ref="G47">HfFromP(テーブル2[[#This Row],[P]])</f>
        <v>1591108.2176913612</v>
      </c>
      <c r="H47">
        <f t="array" ref="H47">MuGFromP(テーブル2[[#This Row],[P]])</f>
        <v>2.2426155999369982E-5</v>
      </c>
      <c r="I47">
        <f t="array" ref="I47">MuFFromP(テーブル2[[#This Row],[P]])</f>
        <v>7.053398392243067E-5</v>
      </c>
      <c r="J47">
        <f t="array" ref="J47">KfFromP(テーブル2[[#This Row],[P]])</f>
        <v>0.48291804642989189</v>
      </c>
      <c r="K47">
        <f t="array" ref="K47">CpFFromP(テーブル2[[#This Row],[P]])</f>
        <v>8145.6939161944201</v>
      </c>
      <c r="L47">
        <f t="array" ref="L47">SigmaFromP(テーブル2[[#This Row],[P]])</f>
        <v>5.6835159172802328E-3</v>
      </c>
      <c r="M47">
        <v>330</v>
      </c>
      <c r="N47">
        <v>3388.6439999999998</v>
      </c>
      <c r="O47" s="8">
        <v>8.7843467213758383E-5</v>
      </c>
      <c r="P47" s="8">
        <v>2.9843873572041598E-2</v>
      </c>
      <c r="Q47">
        <v>1.1773735336561952E-2</v>
      </c>
      <c r="R47">
        <v>3.4036</v>
      </c>
      <c r="S47" s="15">
        <v>1034597.91015625</v>
      </c>
      <c r="T47">
        <v>560.37222222222226</v>
      </c>
      <c r="U47" s="12">
        <f>+T47+BG47*S47*テーブル2[[#This Row],[Pw]]*R47/(N47*O47*K47)</f>
        <v>619.44639615242488</v>
      </c>
      <c r="V47">
        <v>0.03</v>
      </c>
      <c r="W47" s="8">
        <f t="shared" si="56"/>
        <v>1433780.6755375497</v>
      </c>
      <c r="X47">
        <v>1.6612978490425593E-2</v>
      </c>
      <c r="Y47">
        <f t="shared" si="59"/>
        <v>7.7584729199315809</v>
      </c>
      <c r="Z47">
        <f t="shared" si="57"/>
        <v>7.7584729328430893</v>
      </c>
      <c r="AA47">
        <f t="shared" si="60"/>
        <v>-1.2911508306956421E-8</v>
      </c>
      <c r="AB47">
        <f t="shared" si="61"/>
        <v>1.751023404007341E-5</v>
      </c>
      <c r="AC47">
        <v>637.30649164675685</v>
      </c>
      <c r="AD47">
        <f t="shared" si="58"/>
        <v>32668.672329907775</v>
      </c>
      <c r="AE47">
        <f>+gettm2(AD47,AC47,AK47,AL47,テーブル2[[#This Row],[Fcorr]])</f>
        <v>619.44639615242477</v>
      </c>
      <c r="AF47" s="14">
        <f t="shared" si="62"/>
        <v>0</v>
      </c>
      <c r="AG47">
        <v>1.753244716399902E-5</v>
      </c>
      <c r="AH47">
        <f t="shared" si="63"/>
        <v>38.949902583413362</v>
      </c>
      <c r="AI47">
        <f t="shared" si="64"/>
        <v>0.2522328646447749</v>
      </c>
      <c r="AJ47">
        <f t="shared" si="65"/>
        <v>38.383876017936259</v>
      </c>
      <c r="AK47">
        <f t="array" ref="AK47">+S47*テーブル2[[#This Row],[F_form]]/(E47*CpFromTP((テーブル2[[#This Row],[Tin]]+テーブル2[[#This Row],[Tf]])/2,テーブル2[[#This Row],[P]])*AI47)</f>
        <v>1.5152037446784805</v>
      </c>
      <c r="AL47">
        <f t="shared" si="66"/>
        <v>1.1897427482145444</v>
      </c>
      <c r="AM47">
        <f t="shared" si="67"/>
        <v>612.67292006085904</v>
      </c>
      <c r="AN47">
        <f t="shared" si="68"/>
        <v>2.375838903390104E-8</v>
      </c>
      <c r="AO47">
        <f t="shared" si="69"/>
        <v>2.2213123925609479E-8</v>
      </c>
      <c r="AP47">
        <v>3.2136943749850886</v>
      </c>
      <c r="AQ47">
        <f t="shared" si="70"/>
        <v>4.3267364728556735E-5</v>
      </c>
      <c r="AR47">
        <f t="shared" si="71"/>
        <v>8.7773301439623145E-6</v>
      </c>
      <c r="AS47">
        <f t="shared" si="72"/>
        <v>19.21625366173344</v>
      </c>
      <c r="AT47">
        <f t="shared" si="73"/>
        <v>11.728782328993304</v>
      </c>
      <c r="AU47">
        <f t="shared" si="74"/>
        <v>2.9583843656369959</v>
      </c>
      <c r="AV47">
        <f t="shared" si="75"/>
        <v>0.25531000934809267</v>
      </c>
      <c r="AW47">
        <f t="shared" si="76"/>
        <v>1.1056879359041134E-2</v>
      </c>
      <c r="AX47">
        <f t="shared" si="77"/>
        <v>0.25531000758014666</v>
      </c>
      <c r="AY47">
        <f t="shared" si="78"/>
        <v>1.7679460118102952E-9</v>
      </c>
      <c r="AZ47">
        <f t="shared" si="79"/>
        <v>1033117.12785038</v>
      </c>
      <c r="BA47">
        <f t="shared" si="80"/>
        <v>1.346343481363485E-5</v>
      </c>
      <c r="BB47" s="15">
        <f t="shared" si="81"/>
        <v>1043533.415885238</v>
      </c>
      <c r="BC47" s="20">
        <f t="shared" si="82"/>
        <v>8935.5057289879769</v>
      </c>
      <c r="BD47" s="19">
        <f t="shared" si="83"/>
        <v>0.86366941603801362</v>
      </c>
      <c r="BE47" s="15">
        <v>1139192.3148456863</v>
      </c>
      <c r="BF47" s="16">
        <f>テーブル2[[#This Row],[q_P]]/テーブル2[[#This Row],[q_M]]</f>
        <v>0.91602919216198697</v>
      </c>
      <c r="BG47">
        <v>1.363</v>
      </c>
      <c r="BH47">
        <v>-0.11832822227729516</v>
      </c>
      <c r="BI47">
        <v>4.5999999999999999E-2</v>
      </c>
      <c r="BJ47">
        <v>5625</v>
      </c>
      <c r="BK47" s="21">
        <f>1+テーブル2[[#This Row],[A_corr]]*EXP(-テーブル2[[#This Row],[(Tsub-40)^2]]/テーブル2[[#This Row],[σ_corr]])</f>
        <v>1.0447791372431134</v>
      </c>
      <c r="BL47">
        <f>テーブル2[[#This Row],[Ts]]-テーブル2[[#This Row],[Tin]]</f>
        <v>52.300697862395168</v>
      </c>
      <c r="BM47">
        <f>テーブル2[[#This Row],[q_P]]*0.000001</f>
        <v>1.0435334158852378</v>
      </c>
      <c r="BN47">
        <f>テーブル2[[#This Row],[Tsub]]</f>
        <v>52.300697862395168</v>
      </c>
      <c r="BO47">
        <f>テーブル2[[#This Row],[Fcorr]]</f>
        <v>1.0447791372431134</v>
      </c>
      <c r="BP47">
        <f>(テーブル2[[#This Row],[Tsub]]-40)^2</f>
        <v>151.30716790193307</v>
      </c>
      <c r="BQ47" s="10">
        <v>0.99934587905901207</v>
      </c>
      <c r="BR47" s="33">
        <v>4.2670000000000003</v>
      </c>
    </row>
    <row r="48" spans="1:70" x14ac:dyDescent="0.15">
      <c r="A48" s="9" t="s">
        <v>132</v>
      </c>
      <c r="B48">
        <v>14582411.055</v>
      </c>
      <c r="C48" s="21" cm="1">
        <f t="array" ref="C48">TsatFromP(テーブル2[[#This Row],[P]])</f>
        <v>613.05026988781367</v>
      </c>
      <c r="D48">
        <f t="array" ref="D48">RhoGFromP(テーブル2[[#This Row],[P]])</f>
        <v>92.580958140603215</v>
      </c>
      <c r="E48">
        <f t="array" ref="E48">RhoFFromP(テーブル2[[#This Row],[P]])</f>
        <v>610.99184656446221</v>
      </c>
      <c r="F48">
        <f t="array" ref="F48">HgFromP(テーブル2[[#This Row],[P]])</f>
        <v>2622345.5985878608</v>
      </c>
      <c r="G48">
        <f t="array" ref="G48">HfFromP(テーブル2[[#This Row],[P]])</f>
        <v>1593812.5192969192</v>
      </c>
      <c r="H48">
        <f t="array" ref="H48">MuGFromP(テーブル2[[#This Row],[P]])</f>
        <v>2.2466336042427335E-5</v>
      </c>
      <c r="I48">
        <f t="array" ref="I48">MuFFromP(テーブル2[[#This Row],[P]])</f>
        <v>7.0373614625891007E-5</v>
      </c>
      <c r="J48">
        <f t="array" ref="J48">KfFromP(テーブル2[[#This Row],[P]])</f>
        <v>0.48213977909987105</v>
      </c>
      <c r="K48">
        <f t="array" ref="K48">CpFFromP(テーブル2[[#This Row],[P]])</f>
        <v>8194.8014383951322</v>
      </c>
      <c r="L48">
        <f t="array" ref="L48">SigmaFromP(テーブル2[[#This Row],[P]])</f>
        <v>5.6080351609815058E-3</v>
      </c>
      <c r="M48" s="22">
        <v>331</v>
      </c>
      <c r="N48">
        <v>4065.288</v>
      </c>
      <c r="O48" s="8">
        <v>8.7843467213758383E-5</v>
      </c>
      <c r="P48" s="8">
        <v>2.9843873572041598E-2</v>
      </c>
      <c r="Q48">
        <v>1.1773735336561952E-2</v>
      </c>
      <c r="R48">
        <v>3.4036</v>
      </c>
      <c r="S48" s="15">
        <v>1221952.3635937502</v>
      </c>
      <c r="T48">
        <v>560.26111111111106</v>
      </c>
      <c r="U48" s="12">
        <f>+T48+BG48*S48*テーブル2[[#This Row],[Pw]]*R48/(N48*O48*K48)</f>
        <v>618.07133027845975</v>
      </c>
      <c r="V48">
        <v>0.03</v>
      </c>
      <c r="W48" s="8">
        <f t="shared" si="56"/>
        <v>1723997.5770876748</v>
      </c>
      <c r="X48">
        <v>1.5563670290763042E-2</v>
      </c>
      <c r="Y48">
        <f t="shared" si="59"/>
        <v>8.0157467765279247</v>
      </c>
      <c r="Z48">
        <f t="shared" si="57"/>
        <v>8.0157467977573926</v>
      </c>
      <c r="AA48">
        <f t="shared" si="60"/>
        <v>-2.1229467961347837E-8</v>
      </c>
      <c r="AB48">
        <f t="shared" si="61"/>
        <v>1.2788591577026091E-5</v>
      </c>
      <c r="AC48">
        <v>637.69642779947208</v>
      </c>
      <c r="AD48">
        <f t="shared" si="58"/>
        <v>38020.486783513152</v>
      </c>
      <c r="AE48">
        <f>+gettm2(AD48,AC48,AK48,AL48,テーブル2[[#This Row],[Fcorr]])</f>
        <v>618.07133027845987</v>
      </c>
      <c r="AF48" s="14">
        <f t="shared" si="62"/>
        <v>0</v>
      </c>
      <c r="AG48">
        <v>1.2808771509983487E-5</v>
      </c>
      <c r="AH48">
        <f t="shared" si="63"/>
        <v>52.622230936416727</v>
      </c>
      <c r="AI48">
        <f t="shared" si="64"/>
        <v>0.29347216821424105</v>
      </c>
      <c r="AJ48">
        <f t="shared" si="65"/>
        <v>32.636227782749714</v>
      </c>
      <c r="AK48">
        <f t="array" ref="AK48">+S48*テーブル2[[#This Row],[F_form]]/(E48*CpFromTP((テーブル2[[#This Row],[Tin]]+テーブル2[[#This Row],[Tf]])/2,テーブル2[[#This Row],[P]])*AI48)</f>
        <v>1.549405126538081</v>
      </c>
      <c r="AL48">
        <f t="shared" si="66"/>
        <v>1.1961215883036658</v>
      </c>
      <c r="AM48">
        <f t="shared" si="67"/>
        <v>613.05026988281111</v>
      </c>
      <c r="AN48">
        <f t="shared" si="68"/>
        <v>5.0025619202642702E-9</v>
      </c>
      <c r="AO48">
        <f t="shared" si="69"/>
        <v>2.0179932957395283E-8</v>
      </c>
      <c r="AP48">
        <v>3.4770599353407006</v>
      </c>
      <c r="AQ48">
        <f t="shared" si="70"/>
        <v>3.6250850560013501E-5</v>
      </c>
      <c r="AR48">
        <f t="shared" si="71"/>
        <v>6.4144757214704409E-6</v>
      </c>
      <c r="AS48">
        <f t="shared" si="72"/>
        <v>16.343822714743467</v>
      </c>
      <c r="AT48">
        <f t="shared" si="73"/>
        <v>10.919250051704708</v>
      </c>
      <c r="AU48">
        <f t="shared" si="74"/>
        <v>3.2044959879472441</v>
      </c>
      <c r="AV48">
        <f t="shared" si="75"/>
        <v>0.27256394739345646</v>
      </c>
      <c r="AW48">
        <f t="shared" si="76"/>
        <v>8.1147695318668136E-3</v>
      </c>
      <c r="AX48">
        <f t="shared" si="77"/>
        <v>0.27256393538779405</v>
      </c>
      <c r="AY48">
        <f t="shared" si="78"/>
        <v>1.2005662408665074E-8</v>
      </c>
      <c r="AZ48">
        <f t="shared" si="79"/>
        <v>1028533.0792909416</v>
      </c>
      <c r="BA48">
        <f t="shared" si="80"/>
        <v>1.042571920937033E-5</v>
      </c>
      <c r="BB48" s="15">
        <f t="shared" si="81"/>
        <v>1216374.6864839722</v>
      </c>
      <c r="BC48" s="20">
        <f t="shared" si="82"/>
        <v>-5577.6771097779274</v>
      </c>
      <c r="BD48" s="19">
        <f t="shared" si="83"/>
        <v>-0.45645618241402081</v>
      </c>
      <c r="BE48" s="15">
        <v>1357022.3698807789</v>
      </c>
      <c r="BF48" s="16">
        <f>テーブル2[[#This Row],[q_P]]/テーブル2[[#This Row],[q_M]]</f>
        <v>0.89635566331219485</v>
      </c>
      <c r="BG48">
        <v>1.363</v>
      </c>
      <c r="BH48">
        <v>-0.12475207352738613</v>
      </c>
      <c r="BI48">
        <v>4.5999999999999999E-2</v>
      </c>
      <c r="BJ48">
        <v>5625</v>
      </c>
      <c r="BK48" s="21">
        <f>1+テーブル2[[#This Row],[A_corr]]*EXP(-テーブル2[[#This Row],[(Tsub-40)^2]]/テーブル2[[#This Row],[σ_corr]])</f>
        <v>1.0446816813353066</v>
      </c>
      <c r="BL48">
        <f>テーブル2[[#This Row],[Ts]]-テーブル2[[#This Row],[Tin]]</f>
        <v>52.789158776702607</v>
      </c>
      <c r="BM48">
        <f>テーブル2[[#This Row],[q_P]]*0.000001</f>
        <v>1.2163746864839722</v>
      </c>
      <c r="BN48">
        <f>テーブル2[[#This Row],[Tsub]]</f>
        <v>52.789158776702607</v>
      </c>
      <c r="BO48">
        <f>テーブル2[[#This Row],[Fcorr]]</f>
        <v>1.0446816813353066</v>
      </c>
      <c r="BP48">
        <f>(テーブル2[[#This Row],[Tsub]]-40)^2</f>
        <v>163.56258221570931</v>
      </c>
      <c r="BQ48" s="10">
        <v>1.0026263254038306</v>
      </c>
      <c r="BR48" s="33">
        <v>4.2670000000000003</v>
      </c>
    </row>
    <row r="49" spans="1:70" x14ac:dyDescent="0.15">
      <c r="A49" s="9" t="s">
        <v>133</v>
      </c>
      <c r="B49">
        <v>16547416.799999999</v>
      </c>
      <c r="C49" s="21" cm="1">
        <f t="array" ref="C49">TsatFromP(テーブル2[[#This Row],[P]])</f>
        <v>623.23870133313642</v>
      </c>
      <c r="D49">
        <f t="array" ref="D49">RhoGFromP(テーブル2[[#This Row],[P]])</f>
        <v>113.82300371015133</v>
      </c>
      <c r="E49">
        <f t="array" ref="E49">RhoFFromP(テーブル2[[#This Row],[P]])</f>
        <v>574.34988711113044</v>
      </c>
      <c r="F49">
        <f t="array" ref="F49">HgFromP(テーブル2[[#This Row],[P]])</f>
        <v>2563035.5779140079</v>
      </c>
      <c r="G49">
        <f t="array" ref="G49">HfFromP(テーブル2[[#This Row],[P]])</f>
        <v>1671616.2807993235</v>
      </c>
      <c r="H49">
        <f t="array" ref="H49">MuGFromP(テーブル2[[#This Row],[P]])</f>
        <v>2.3752482411014488E-5</v>
      </c>
      <c r="I49">
        <f t="array" ref="I49">MuFFromP(テーブル2[[#This Row],[P]])</f>
        <v>6.5759231557403181E-5</v>
      </c>
      <c r="J49">
        <f t="array" ref="J49">KfFromP(テーブル2[[#This Row],[P]])</f>
        <v>0.46027765484939753</v>
      </c>
      <c r="K49">
        <f t="array" ref="K49">CpFFromP(テーブル2[[#This Row],[P]])</f>
        <v>10140.600460117175</v>
      </c>
      <c r="L49">
        <f t="array" ref="L49">SigmaFromP(テーブル2[[#This Row],[P]])</f>
        <v>3.6380461586323874E-3</v>
      </c>
      <c r="M49">
        <v>334</v>
      </c>
      <c r="N49">
        <v>2703.864</v>
      </c>
      <c r="O49" s="8">
        <v>8.7843467213758383E-5</v>
      </c>
      <c r="P49" s="8">
        <v>2.9843873572041598E-2</v>
      </c>
      <c r="Q49">
        <v>1.1773735336561952E-2</v>
      </c>
      <c r="R49">
        <v>3.4036</v>
      </c>
      <c r="S49" s="15">
        <v>834452.48046875</v>
      </c>
      <c r="T49">
        <v>587.59444444444443</v>
      </c>
      <c r="U49" s="12">
        <f>+T49+BG49*S49*テーブル2[[#This Row],[Pw]]*R49/(N49*O49*K49)</f>
        <v>635.56040961360054</v>
      </c>
      <c r="V49">
        <v>0.03</v>
      </c>
      <c r="W49" s="8">
        <f t="shared" si="56"/>
        <v>1227109.4637344524</v>
      </c>
      <c r="X49">
        <v>1.6508472429758583E-2</v>
      </c>
      <c r="Y49">
        <f t="shared" si="59"/>
        <v>7.7829914905227708</v>
      </c>
      <c r="Z49">
        <f t="shared" si="57"/>
        <v>7.7829915049323635</v>
      </c>
      <c r="AA49">
        <f t="shared" si="60"/>
        <v>-1.4409592630215684E-8</v>
      </c>
      <c r="AB49">
        <f t="shared" si="61"/>
        <v>1.6620320805582792E-5</v>
      </c>
      <c r="AC49">
        <v>644.4896310093377</v>
      </c>
      <c r="AD49">
        <f t="shared" si="58"/>
        <v>27871.591023882043</v>
      </c>
      <c r="AE49">
        <f>+gettm2(AD49,AC49,AK49,AL49,テーブル2[[#This Row],[Fcorr]])</f>
        <v>635.56041007889303</v>
      </c>
      <c r="AF49" s="14">
        <f t="shared" si="62"/>
        <v>4.6529248720617034E-7</v>
      </c>
      <c r="AG49">
        <v>1.6645506027282347E-5</v>
      </c>
      <c r="AH49">
        <f t="shared" si="63"/>
        <v>26.266974274602656</v>
      </c>
      <c r="AI49">
        <f t="shared" si="64"/>
        <v>0.21385369297191797</v>
      </c>
      <c r="AJ49">
        <f t="shared" si="65"/>
        <v>31.090919565656066</v>
      </c>
      <c r="AK49">
        <f t="array" ref="AK49">+S49*テーブル2[[#This Row],[F_form]]/(E49*CpFromTP((テーブル2[[#This Row],[Tin]]+テーブル2[[#This Row],[Tf]])/2,テーブル2[[#This Row],[P]])*AI49)</f>
        <v>1.1884967139943277</v>
      </c>
      <c r="AL49">
        <f t="shared" si="66"/>
        <v>1.4487735538805233</v>
      </c>
      <c r="AM49">
        <f t="shared" si="67"/>
        <v>623.23870133053947</v>
      </c>
      <c r="AN49">
        <f t="shared" si="68"/>
        <v>2.596948434074875E-9</v>
      </c>
      <c r="AO49">
        <f t="shared" si="69"/>
        <v>2.5185221699554192E-8</v>
      </c>
      <c r="AP49">
        <v>2.5042350132561477</v>
      </c>
      <c r="AQ49">
        <f t="shared" si="70"/>
        <v>3.8369742515845099E-5</v>
      </c>
      <c r="AR49">
        <f t="shared" si="71"/>
        <v>8.3353456244909504E-6</v>
      </c>
      <c r="AS49">
        <f t="shared" si="72"/>
        <v>15.56898059681893</v>
      </c>
      <c r="AT49">
        <f t="shared" si="73"/>
        <v>10.676402557182699</v>
      </c>
      <c r="AU49">
        <f t="shared" si="74"/>
        <v>2.283188114508349</v>
      </c>
      <c r="AV49">
        <f t="shared" si="75"/>
        <v>0.2210468987477987</v>
      </c>
      <c r="AW49">
        <f t="shared" si="76"/>
        <v>1.2341119915387914E-2</v>
      </c>
      <c r="AX49">
        <f t="shared" si="77"/>
        <v>0.2210468933597006</v>
      </c>
      <c r="AY49">
        <f t="shared" si="78"/>
        <v>5.3880981065734801E-9</v>
      </c>
      <c r="AZ49">
        <f t="shared" si="79"/>
        <v>891419.29711468448</v>
      </c>
      <c r="BA49">
        <f t="shared" si="80"/>
        <v>1.532194155609804E-5</v>
      </c>
      <c r="BB49" s="15">
        <f t="shared" si="81"/>
        <v>841570.58637707972</v>
      </c>
      <c r="BC49" s="20">
        <f t="shared" si="82"/>
        <v>7118.105908329715</v>
      </c>
      <c r="BD49" s="19">
        <f t="shared" si="83"/>
        <v>0.8530271135788523</v>
      </c>
      <c r="BE49" s="15">
        <v>835996.42743197642</v>
      </c>
      <c r="BF49" s="16">
        <f>テーブル2[[#This Row],[q_P]]/テーブル2[[#This Row],[q_M]]</f>
        <v>1.0066676827342744</v>
      </c>
      <c r="BG49">
        <v>1.363</v>
      </c>
      <c r="BH49">
        <v>-8.5063307902018923E-2</v>
      </c>
      <c r="BI49">
        <v>4.5999999999999999E-2</v>
      </c>
      <c r="BJ49">
        <v>5625</v>
      </c>
      <c r="BK49" s="21">
        <f>1+テーブル2[[#This Row],[A_corr]]*EXP(-テーブル2[[#This Row],[(Tsub-40)^2]]/テーブル2[[#This Row],[σ_corr]])</f>
        <v>1.045845108489786</v>
      </c>
      <c r="BL49">
        <f>テーブル2[[#This Row],[Ts]]-テーブル2[[#This Row],[Tin]]</f>
        <v>35.644256888691984</v>
      </c>
      <c r="BM49">
        <f>テーブル2[[#This Row],[q_P]]*0.000001</f>
        <v>0.84157058637707971</v>
      </c>
      <c r="BN49">
        <f>テーブル2[[#This Row],[Tsub]]</f>
        <v>35.644256888691984</v>
      </c>
      <c r="BO49">
        <f>テーブル2[[#This Row],[Fcorr]]</f>
        <v>1.045845108489786</v>
      </c>
      <c r="BP49">
        <f>(テーブル2[[#This Row],[Tsub]]-40)^2</f>
        <v>18.97249805170723</v>
      </c>
      <c r="BQ49" s="10">
        <v>0.9742323718113659</v>
      </c>
      <c r="BR49" s="33">
        <v>4.2670000000000003</v>
      </c>
    </row>
    <row r="50" spans="1:70" x14ac:dyDescent="0.15">
      <c r="A50" s="9" t="s">
        <v>134</v>
      </c>
      <c r="B50">
        <v>16581890.584999999</v>
      </c>
      <c r="C50" s="21" cm="1">
        <f t="array" ref="C50">TsatFromP(テーブル2[[#This Row],[P]])</f>
        <v>623.40834329200698</v>
      </c>
      <c r="D50">
        <f t="array" ref="D50">RhoGFromP(テーブル2[[#This Row],[P]])</f>
        <v>114.24072089270538</v>
      </c>
      <c r="E50">
        <f t="array" ref="E50">RhoFFromP(テーブル2[[#This Row],[P]])</f>
        <v>573.66553119769708</v>
      </c>
      <c r="F50">
        <f t="array" ref="F50">HgFromP(テーブル2[[#This Row],[P]])</f>
        <v>2561880.926064556</v>
      </c>
      <c r="G50">
        <f t="array" ref="G50">HfFromP(テーブル2[[#This Row],[P]])</f>
        <v>1673008.4528857057</v>
      </c>
      <c r="H50">
        <f t="array" ref="H50">MuGFromP(テーブル2[[#This Row],[P]])</f>
        <v>2.3778054068935119E-5</v>
      </c>
      <c r="I50">
        <f t="array" ref="I50">MuFFromP(テーブル2[[#This Row],[P]])</f>
        <v>6.5676255486798709E-5</v>
      </c>
      <c r="J50">
        <f t="array" ref="J50">KfFromP(テーブル2[[#This Row],[P]])</f>
        <v>0.4599028461125329</v>
      </c>
      <c r="K50">
        <f t="array" ref="K50">CpFFromP(テーブル2[[#This Row],[P]])</f>
        <v>10188.161618072991</v>
      </c>
      <c r="L50">
        <f t="array" ref="L50">SigmaFromP(テーブル2[[#This Row],[P]])</f>
        <v>3.6065031383353337E-3</v>
      </c>
      <c r="M50" s="22">
        <v>335</v>
      </c>
      <c r="N50">
        <v>3330.3359999999998</v>
      </c>
      <c r="O50" s="8">
        <v>8.7843467213758383E-5</v>
      </c>
      <c r="P50" s="8">
        <v>2.9843873572041598E-2</v>
      </c>
      <c r="Q50">
        <v>1.1773735336561952E-2</v>
      </c>
      <c r="R50">
        <v>3.4036</v>
      </c>
      <c r="S50" s="15">
        <v>933685.21484375</v>
      </c>
      <c r="T50">
        <v>592.03888888888889</v>
      </c>
      <c r="U50" s="12">
        <f>+T50+BG50*S50*テーブル2[[#This Row],[Pw]]*R50/(N50*O50*K50)</f>
        <v>635.40961539629188</v>
      </c>
      <c r="V50">
        <v>0.03</v>
      </c>
      <c r="W50" s="8">
        <f t="shared" si="56"/>
        <v>1513334.2453787837</v>
      </c>
      <c r="X50">
        <v>1.5356531069890664E-2</v>
      </c>
      <c r="Y50">
        <f t="shared" si="59"/>
        <v>8.0696265855658424</v>
      </c>
      <c r="Z50">
        <f t="shared" si="57"/>
        <v>8.0696265975257386</v>
      </c>
      <c r="AA50">
        <f t="shared" si="60"/>
        <v>-1.1959896184521313E-8</v>
      </c>
      <c r="AB50">
        <f t="shared" si="61"/>
        <v>1.1661302913555442E-5</v>
      </c>
      <c r="AC50">
        <v>641.94859192507204</v>
      </c>
      <c r="AD50">
        <f t="shared" si="58"/>
        <v>33151.747970074437</v>
      </c>
      <c r="AE50">
        <f>+gettm2(AD50,AC50,AK50,AL50,テーブル2[[#This Row],[Fcorr]])</f>
        <v>635.40961539629188</v>
      </c>
      <c r="AF50" s="14">
        <f t="shared" si="62"/>
        <v>0</v>
      </c>
      <c r="AG50">
        <v>1.1682582075750344E-5</v>
      </c>
      <c r="AH50">
        <f t="shared" si="63"/>
        <v>37.112523343953569</v>
      </c>
      <c r="AI50">
        <f t="shared" si="64"/>
        <v>0.25434948574277533</v>
      </c>
      <c r="AJ50">
        <f t="shared" si="65"/>
        <v>25.954942858209524</v>
      </c>
      <c r="AK50">
        <f t="array" ref="AK50">+S50*テーブル2[[#This Row],[F_form]]/(E50*CpFromTP((テーブル2[[#This Row],[Tin]]+テーブル2[[#This Row],[Tf]])/2,テーブル2[[#This Row],[P]])*AI50)</f>
        <v>1.085919115432755</v>
      </c>
      <c r="AL50">
        <f t="shared" si="66"/>
        <v>1.4549166438635874</v>
      </c>
      <c r="AM50">
        <f t="shared" si="67"/>
        <v>623.4083432905087</v>
      </c>
      <c r="AN50">
        <f t="shared" si="68"/>
        <v>1.4982788343331777E-9</v>
      </c>
      <c r="AO50">
        <f t="shared" si="69"/>
        <v>2.1279162194901984E-8</v>
      </c>
      <c r="AP50">
        <v>2.7267478791064712</v>
      </c>
      <c r="AQ50">
        <f t="shared" si="70"/>
        <v>3.1990850067801588E-5</v>
      </c>
      <c r="AR50">
        <f t="shared" si="71"/>
        <v>5.8519306189726231E-6</v>
      </c>
      <c r="AS50">
        <f t="shared" si="72"/>
        <v>13.001109158985797</v>
      </c>
      <c r="AT50">
        <f t="shared" si="73"/>
        <v>9.7751733687199174</v>
      </c>
      <c r="AU50">
        <f t="shared" si="74"/>
        <v>2.4863103193803835</v>
      </c>
      <c r="AV50">
        <f t="shared" si="75"/>
        <v>0.24043755972608771</v>
      </c>
      <c r="AW50">
        <f t="shared" si="76"/>
        <v>8.6862619192560053E-3</v>
      </c>
      <c r="AX50">
        <f t="shared" si="77"/>
        <v>0.24043755882820234</v>
      </c>
      <c r="AY50">
        <f t="shared" si="78"/>
        <v>8.9788537716017913E-10</v>
      </c>
      <c r="AZ50">
        <f t="shared" si="79"/>
        <v>888872.47317885025</v>
      </c>
      <c r="BA50">
        <f t="shared" si="80"/>
        <v>1.1732236160493385E-5</v>
      </c>
      <c r="BB50" s="15">
        <f t="shared" si="81"/>
        <v>924851.36430743453</v>
      </c>
      <c r="BC50" s="20">
        <f t="shared" si="82"/>
        <v>-8833.8505363154691</v>
      </c>
      <c r="BD50" s="19">
        <f t="shared" si="83"/>
        <v>-0.94612728100163745</v>
      </c>
      <c r="BE50" s="15">
        <v>959629.70191135327</v>
      </c>
      <c r="BF50" s="16">
        <f>テーブル2[[#This Row],[q_P]]/テーブル2[[#This Row],[q_M]]</f>
        <v>0.9637585856975367</v>
      </c>
      <c r="BG50">
        <v>1.363</v>
      </c>
      <c r="BH50">
        <v>-6.6745540728911701E-2</v>
      </c>
      <c r="BI50">
        <v>4.5999999999999999E-2</v>
      </c>
      <c r="BJ50">
        <v>5625</v>
      </c>
      <c r="BK50" s="21">
        <f>1+テーブル2[[#This Row],[A_corr]]*EXP(-テーブル2[[#This Row],[(Tsub-40)^2]]/テーブル2[[#This Row],[σ_corr]])</f>
        <v>1.0453948827766861</v>
      </c>
      <c r="BL50">
        <f>テーブル2[[#This Row],[Ts]]-テーブル2[[#This Row],[Tin]]</f>
        <v>31.369454403118084</v>
      </c>
      <c r="BM50">
        <f>テーブル2[[#This Row],[q_P]]*0.000001</f>
        <v>0.92485136430743453</v>
      </c>
      <c r="BN50">
        <f>テーブル2[[#This Row],[Tsub]]</f>
        <v>31.369454403118084</v>
      </c>
      <c r="BO50">
        <f>テーブル2[[#This Row],[Fcorr]]</f>
        <v>1.0453948827766861</v>
      </c>
      <c r="BP50">
        <f>(テーブル2[[#This Row],[Tsub]]-40)^2</f>
        <v>74.486317299857831</v>
      </c>
      <c r="BQ50" s="10">
        <v>0.98033521825462788</v>
      </c>
      <c r="BR50" s="33">
        <v>4.2670000000000003</v>
      </c>
    </row>
    <row r="51" spans="1:70" x14ac:dyDescent="0.15">
      <c r="A51" s="9" t="s">
        <v>135</v>
      </c>
      <c r="B51">
        <v>16547416.799999999</v>
      </c>
      <c r="C51" s="21" cm="1">
        <f t="array" ref="C51">TsatFromP(テーブル2[[#This Row],[P]])</f>
        <v>623.23870133313642</v>
      </c>
      <c r="D51">
        <f t="array" ref="D51">RhoGFromP(テーブル2[[#This Row],[P]])</f>
        <v>113.82300371015133</v>
      </c>
      <c r="E51">
        <f t="array" ref="E51">RhoFFromP(テーブル2[[#This Row],[P]])</f>
        <v>574.34988711113044</v>
      </c>
      <c r="F51">
        <f t="array" ref="F51">HgFromP(テーブル2[[#This Row],[P]])</f>
        <v>2563035.5779140079</v>
      </c>
      <c r="G51">
        <f t="array" ref="G51">HfFromP(テーブル2[[#This Row],[P]])</f>
        <v>1671616.2807993235</v>
      </c>
      <c r="H51">
        <f t="array" ref="H51">MuGFromP(テーブル2[[#This Row],[P]])</f>
        <v>2.3752482411014488E-5</v>
      </c>
      <c r="I51">
        <f t="array" ref="I51">MuFFromP(テーブル2[[#This Row],[P]])</f>
        <v>6.5759231557403181E-5</v>
      </c>
      <c r="J51">
        <f t="array" ref="J51">KfFromP(テーブル2[[#This Row],[P]])</f>
        <v>0.46027765484939753</v>
      </c>
      <c r="K51">
        <f t="array" ref="K51">CpFFromP(テーブル2[[#This Row],[P]])</f>
        <v>10140.600460117175</v>
      </c>
      <c r="L51">
        <f t="array" ref="L51">SigmaFromP(テーブル2[[#This Row],[P]])</f>
        <v>3.6380461586323874E-3</v>
      </c>
      <c r="M51">
        <v>336</v>
      </c>
      <c r="N51">
        <v>4016.4720000000002</v>
      </c>
      <c r="O51" s="8">
        <v>8.7843467213758383E-5</v>
      </c>
      <c r="P51" s="8">
        <v>2.9843873572041598E-2</v>
      </c>
      <c r="Q51">
        <v>1.1773735336561952E-2</v>
      </c>
      <c r="R51">
        <v>3.4036</v>
      </c>
      <c r="S51" s="15">
        <v>1093372.39890625</v>
      </c>
      <c r="T51">
        <v>591.48333333333335</v>
      </c>
      <c r="U51" s="12">
        <f>+T51+BG51*S51*テーブル2[[#This Row],[Pw]]*R51/(N51*O51*K51)</f>
        <v>633.79301754990399</v>
      </c>
      <c r="V51">
        <v>0.03</v>
      </c>
      <c r="W51" s="8">
        <f t="shared" si="56"/>
        <v>1822817.5684962124</v>
      </c>
      <c r="X51">
        <v>1.4465325434657367E-2</v>
      </c>
      <c r="Y51">
        <f t="shared" si="59"/>
        <v>8.3144953673293447</v>
      </c>
      <c r="Z51">
        <f t="shared" si="57"/>
        <v>8.3144953753275956</v>
      </c>
      <c r="AA51">
        <f t="shared" si="60"/>
        <v>-7.9982509504361587E-9</v>
      </c>
      <c r="AB51">
        <f t="shared" si="61"/>
        <v>8.5960371149621762E-6</v>
      </c>
      <c r="AC51">
        <v>641.01246081096724</v>
      </c>
      <c r="AD51">
        <f t="shared" si="58"/>
        <v>38755.408675020262</v>
      </c>
      <c r="AE51">
        <f>+gettm2(AD51,AC51,AK51,AL51,テーブル2[[#This Row],[Fcorr]])</f>
        <v>633.79301797866765</v>
      </c>
      <c r="AF51" s="14">
        <f t="shared" si="62"/>
        <v>4.2876365569100017E-7</v>
      </c>
      <c r="AG51">
        <v>8.6161448095411319E-6</v>
      </c>
      <c r="AH51">
        <f t="shared" si="63"/>
        <v>50.786837376028174</v>
      </c>
      <c r="AI51">
        <f t="shared" si="64"/>
        <v>0.29736326357140308</v>
      </c>
      <c r="AJ51">
        <f t="shared" si="65"/>
        <v>22.377940483553502</v>
      </c>
      <c r="AK51">
        <f t="array" ref="AK51">+S51*テーブル2[[#This Row],[F_form]]/(E51*CpFromTP((テーブル2[[#This Row],[Tin]]+テーブル2[[#This Row],[Tf]])/2,テーブル2[[#This Row],[P]])*AI51)</f>
        <v>1.0949807741160424</v>
      </c>
      <c r="AL51">
        <f t="shared" si="66"/>
        <v>1.4487735538805233</v>
      </c>
      <c r="AM51">
        <f t="shared" si="67"/>
        <v>623.23870132522336</v>
      </c>
      <c r="AN51">
        <f t="shared" si="68"/>
        <v>7.9130586527753621E-9</v>
      </c>
      <c r="AO51">
        <f t="shared" si="69"/>
        <v>2.0107694578955687E-8</v>
      </c>
      <c r="AP51">
        <v>2.9481472914383535</v>
      </c>
      <c r="AQ51">
        <f t="shared" si="70"/>
        <v>2.7684755787022171E-5</v>
      </c>
      <c r="AR51">
        <f t="shared" si="71"/>
        <v>4.3181262520600438E-6</v>
      </c>
      <c r="AS51">
        <f t="shared" si="72"/>
        <v>11.215082198022607</v>
      </c>
      <c r="AT51">
        <f t="shared" si="73"/>
        <v>9.0362974861922822</v>
      </c>
      <c r="AU51">
        <f t="shared" si="74"/>
        <v>2.6870629110962025</v>
      </c>
      <c r="AV51">
        <f t="shared" si="75"/>
        <v>0.26108438034215098</v>
      </c>
      <c r="AW51">
        <f t="shared" si="76"/>
        <v>6.3828325622474957E-3</v>
      </c>
      <c r="AX51">
        <f t="shared" si="77"/>
        <v>0.26108437513170674</v>
      </c>
      <c r="AY51">
        <f t="shared" si="78"/>
        <v>5.2104442427314268E-9</v>
      </c>
      <c r="AZ51">
        <f t="shared" si="79"/>
        <v>891419.29711468448</v>
      </c>
      <c r="BA51">
        <f t="shared" si="80"/>
        <v>9.3905605962839205E-6</v>
      </c>
      <c r="BB51" s="15">
        <f t="shared" si="81"/>
        <v>1096299.7923444812</v>
      </c>
      <c r="BC51" s="20">
        <f t="shared" si="82"/>
        <v>2927.3934382312</v>
      </c>
      <c r="BD51" s="19">
        <f t="shared" si="83"/>
        <v>0.26773983330470058</v>
      </c>
      <c r="BE51" s="15">
        <v>1097981.2233525608</v>
      </c>
      <c r="BF51" s="16">
        <f>テーブル2[[#This Row],[q_P]]/テーブル2[[#This Row],[q_M]]</f>
        <v>0.99846861588129399</v>
      </c>
      <c r="BG51">
        <v>1.363</v>
      </c>
      <c r="BH51">
        <v>-8.0044111975005328E-2</v>
      </c>
      <c r="BI51">
        <v>4.5999999999999999E-2</v>
      </c>
      <c r="BJ51">
        <v>5625</v>
      </c>
      <c r="BK51" s="21">
        <f>1+テーブル2[[#This Row],[A_corr]]*EXP(-テーブル2[[#This Row],[(Tsub-40)^2]]/テーブル2[[#This Row],[σ_corr]])</f>
        <v>1.0454474692724571</v>
      </c>
      <c r="BL51">
        <f>テーブル2[[#This Row],[Ts]]-テーブル2[[#This Row],[Tin]]</f>
        <v>31.75536799980307</v>
      </c>
      <c r="BM51">
        <f>テーブル2[[#This Row],[q_P]]*0.000001</f>
        <v>1.0962997923444813</v>
      </c>
      <c r="BN51">
        <f>テーブル2[[#This Row],[Tsub]]</f>
        <v>31.75536799980307</v>
      </c>
      <c r="BO51">
        <f>テーブル2[[#This Row],[Fcorr]]</f>
        <v>1.0454474692724571</v>
      </c>
      <c r="BP51">
        <f>(テーブル2[[#This Row],[Tsub]]-40)^2</f>
        <v>67.973956818671226</v>
      </c>
      <c r="BQ51" s="10">
        <v>0.98831413185070449</v>
      </c>
      <c r="BR51" s="33">
        <v>4.2670000000000003</v>
      </c>
    </row>
    <row r="52" spans="1:70" x14ac:dyDescent="0.15">
      <c r="A52" s="9" t="s">
        <v>136</v>
      </c>
      <c r="B52">
        <v>14478989.699999999</v>
      </c>
      <c r="C52" s="21" cm="1">
        <f t="array" ref="C52">TsatFromP(テーブル2[[#This Row],[P]])</f>
        <v>612.48370255129544</v>
      </c>
      <c r="D52">
        <f t="array" ref="D52">RhoGFromP(テーブル2[[#This Row],[P]])</f>
        <v>91.580011978832957</v>
      </c>
      <c r="E52">
        <f t="array" ref="E52">RhoFFromP(テーブル2[[#This Row],[P]])</f>
        <v>612.82339669043313</v>
      </c>
      <c r="F52">
        <f t="array" ref="F52">HgFromP(テーブル2[[#This Row],[P]])</f>
        <v>2625160.7264840975</v>
      </c>
      <c r="G52">
        <f t="array" ref="G52">HfFromP(テーブル2[[#This Row],[P]])</f>
        <v>1589756.0808983105</v>
      </c>
      <c r="H52">
        <f t="array" ref="H52">MuGFromP(テーブル2[[#This Row],[P]])</f>
        <v>2.2406167499944594E-5</v>
      </c>
      <c r="I52">
        <f t="array" ref="I52">MuFFromP(テーブル2[[#This Row],[P]])</f>
        <v>7.0614185977515193E-5</v>
      </c>
      <c r="J52">
        <f t="array" ref="J52">KfFromP(テーブル2[[#This Row],[P]])</f>
        <v>0.48330738078477459</v>
      </c>
      <c r="K52">
        <f t="array" ref="K52">CpFFromP(テーブル2[[#This Row],[P]])</f>
        <v>8121.4802011854335</v>
      </c>
      <c r="L52">
        <f t="array" ref="L52">SigmaFromP(テーブル2[[#This Row],[P]])</f>
        <v>5.7214247636284644E-3</v>
      </c>
      <c r="M52">
        <v>338</v>
      </c>
      <c r="N52">
        <v>2674.0320000000002</v>
      </c>
      <c r="O52" s="8">
        <v>8.7843467213758383E-5</v>
      </c>
      <c r="P52" s="8">
        <v>2.9843873572041598E-2</v>
      </c>
      <c r="Q52">
        <v>1.1773735336561952E-2</v>
      </c>
      <c r="R52">
        <v>3.4036</v>
      </c>
      <c r="S52" s="15">
        <v>510218.61340624996</v>
      </c>
      <c r="T52">
        <v>592.70555555555552</v>
      </c>
      <c r="U52" s="12">
        <f>+T52+BG52*S52*テーブル2[[#This Row],[Pw]]*R52/(N52*O52*K52)</f>
        <v>629.73392611393319</v>
      </c>
      <c r="V52">
        <v>0.03</v>
      </c>
      <c r="W52" s="8">
        <f t="shared" si="56"/>
        <v>1130133.7235694311</v>
      </c>
      <c r="X52">
        <v>1.8106595159717832E-2</v>
      </c>
      <c r="Y52">
        <f t="shared" si="59"/>
        <v>7.4315876491124939</v>
      </c>
      <c r="Z52">
        <f t="shared" si="57"/>
        <v>7.4315876495924504</v>
      </c>
      <c r="AA52">
        <f t="shared" si="60"/>
        <v>-4.7995651897281277E-10</v>
      </c>
      <c r="AB52">
        <f t="shared" si="61"/>
        <v>2.5998049742769597E-5</v>
      </c>
      <c r="AC52">
        <v>624.30718223387214</v>
      </c>
      <c r="AD52">
        <f t="shared" si="58"/>
        <v>26882.722014285268</v>
      </c>
      <c r="AE52">
        <f>+gettm2(AD52,AC52,AK52,AL52,テーブル2[[#This Row],[Fcorr]])</f>
        <v>629.7339263674022</v>
      </c>
      <c r="AF52" s="14">
        <f t="shared" si="62"/>
        <v>2.5346901111333864E-7</v>
      </c>
      <c r="AG52">
        <v>2.6013213060223388E-5</v>
      </c>
      <c r="AH52">
        <f t="shared" si="63"/>
        <v>26.408556735158957</v>
      </c>
      <c r="AI52">
        <f t="shared" si="64"/>
        <v>0.20758915672262077</v>
      </c>
      <c r="AJ52">
        <f t="shared" si="65"/>
        <v>46.8642901671776</v>
      </c>
      <c r="AK52">
        <f t="array" ref="AK52">+S52*テーブル2[[#This Row],[F_form]]/(E52*CpFromTP((テーブル2[[#This Row],[Tin]]+テーブル2[[#This Row],[Tf]])/2,テーブル2[[#This Row],[P]])*AI52)</f>
        <v>0.70674034571066546</v>
      </c>
      <c r="AL52">
        <f t="shared" si="66"/>
        <v>1.186598293632519</v>
      </c>
      <c r="AM52">
        <f t="shared" si="67"/>
        <v>612.48370253995881</v>
      </c>
      <c r="AN52">
        <f t="shared" si="68"/>
        <v>1.1336624083924107E-8</v>
      </c>
      <c r="AO52">
        <f t="shared" si="69"/>
        <v>1.5163317453791231E-8</v>
      </c>
      <c r="AP52">
        <v>2.8768304108246348</v>
      </c>
      <c r="AQ52">
        <f t="shared" si="70"/>
        <v>5.4518130263495671E-5</v>
      </c>
      <c r="AR52">
        <f t="shared" si="71"/>
        <v>1.3014188188838589E-5</v>
      </c>
      <c r="AS52">
        <f t="shared" si="72"/>
        <v>23.445803875130746</v>
      </c>
      <c r="AT52">
        <f t="shared" si="73"/>
        <v>12.723457698269604</v>
      </c>
      <c r="AU52">
        <f t="shared" si="74"/>
        <v>2.6412518541797243</v>
      </c>
      <c r="AV52">
        <f t="shared" si="75"/>
        <v>0.23557855664491045</v>
      </c>
      <c r="AW52">
        <f t="shared" si="76"/>
        <v>1.6376863588983871E-2</v>
      </c>
      <c r="AX52">
        <f t="shared" si="77"/>
        <v>0.23557855613938389</v>
      </c>
      <c r="AY52">
        <f t="shared" si="78"/>
        <v>5.0552656505331584E-10</v>
      </c>
      <c r="AZ52">
        <f t="shared" si="79"/>
        <v>1035404.645585787</v>
      </c>
      <c r="BA52">
        <f t="shared" si="80"/>
        <v>1.8950762637366663E-5</v>
      </c>
      <c r="BB52" s="15">
        <f t="shared" si="81"/>
        <v>507706.80231073819</v>
      </c>
      <c r="BC52" s="20">
        <f t="shared" si="82"/>
        <v>-2511.8110955117736</v>
      </c>
      <c r="BD52" s="19">
        <f t="shared" si="83"/>
        <v>-0.49230095286856995</v>
      </c>
      <c r="BE52" s="15">
        <v>762405.19262282364</v>
      </c>
      <c r="BF52" s="16">
        <f>テーブル2[[#This Row],[q_P]]/テーブル2[[#This Row],[q_M]]</f>
        <v>0.66592778646237583</v>
      </c>
      <c r="BG52">
        <v>1.363</v>
      </c>
      <c r="BH52">
        <v>4.9337707216532509E-2</v>
      </c>
      <c r="BI52">
        <v>4.5999999999999999E-2</v>
      </c>
      <c r="BJ52">
        <v>5625</v>
      </c>
      <c r="BK52" s="21">
        <f>1+テーブル2[[#This Row],[A_corr]]*EXP(-テーブル2[[#This Row],[(Tsub-40)^2]]/テーブル2[[#This Row],[σ_corr]])</f>
        <v>1.0427745762830058</v>
      </c>
      <c r="BL52">
        <f>テーブル2[[#This Row],[Ts]]-テーブル2[[#This Row],[Tin]]</f>
        <v>19.778146995739917</v>
      </c>
      <c r="BM52">
        <f>テーブル2[[#This Row],[q_P]]*0.000001</f>
        <v>0.50770680231073817</v>
      </c>
      <c r="BN52">
        <f>テーブル2[[#This Row],[Tsub]]</f>
        <v>19.778146995739917</v>
      </c>
      <c r="BO52">
        <f>テーブル2[[#This Row],[Fcorr]]</f>
        <v>1.0427745762830058</v>
      </c>
      <c r="BP52">
        <f>(テーブル2[[#This Row],[Tsub]]-40)^2</f>
        <v>408.92333892590256</v>
      </c>
      <c r="BQ52" s="10">
        <v>0.98822371252465069</v>
      </c>
      <c r="BR52" s="33">
        <v>4.2670000000000003</v>
      </c>
    </row>
    <row r="53" spans="1:70" x14ac:dyDescent="0.15">
      <c r="A53" s="9" t="s">
        <v>136</v>
      </c>
      <c r="B53">
        <v>14478989.699999999</v>
      </c>
      <c r="C53" s="21" cm="1">
        <f t="array" ref="C53">TsatFromP(テーブル2[[#This Row],[P]])</f>
        <v>612.48370255129544</v>
      </c>
      <c r="D53">
        <f t="array" ref="D53">RhoGFromP(テーブル2[[#This Row],[P]])</f>
        <v>91.580011978832957</v>
      </c>
      <c r="E53">
        <f t="array" ref="E53">RhoFFromP(テーブル2[[#This Row],[P]])</f>
        <v>612.82339669043313</v>
      </c>
      <c r="F53">
        <f t="array" ref="F53">HgFromP(テーブル2[[#This Row],[P]])</f>
        <v>2625160.7264840975</v>
      </c>
      <c r="G53">
        <f t="array" ref="G53">HfFromP(テーブル2[[#This Row],[P]])</f>
        <v>1589756.0808983105</v>
      </c>
      <c r="H53">
        <f t="array" ref="H53">MuGFromP(テーブル2[[#This Row],[P]])</f>
        <v>2.2406167499944594E-5</v>
      </c>
      <c r="I53">
        <f t="array" ref="I53">MuFFromP(テーブル2[[#This Row],[P]])</f>
        <v>7.0614185977515193E-5</v>
      </c>
      <c r="J53">
        <f t="array" ref="J53">KfFromP(テーブル2[[#This Row],[P]])</f>
        <v>0.48330738078477459</v>
      </c>
      <c r="K53">
        <f t="array" ref="K53">CpFFromP(テーブル2[[#This Row],[P]])</f>
        <v>8121.4802011854335</v>
      </c>
      <c r="L53">
        <f t="array" ref="L53">SigmaFromP(テーブル2[[#This Row],[P]])</f>
        <v>5.7214247636284644E-3</v>
      </c>
      <c r="M53" s="22">
        <v>339</v>
      </c>
      <c r="N53">
        <v>2674.0320000000002</v>
      </c>
      <c r="O53" s="8">
        <v>8.7843467213758383E-5</v>
      </c>
      <c r="P53" s="8">
        <v>2.9843873572041598E-2</v>
      </c>
      <c r="Q53">
        <v>1.1773735336561952E-2</v>
      </c>
      <c r="R53">
        <v>2.8447999999999998</v>
      </c>
      <c r="S53" s="15">
        <v>787808.02734375</v>
      </c>
      <c r="T53">
        <v>592.70555555555552</v>
      </c>
      <c r="U53" s="12">
        <f>+T53+BG53*S53*テーブル2[[#This Row],[Pw]]*R53/(N53*O53*K53)</f>
        <v>628.256736214395</v>
      </c>
      <c r="V53">
        <v>0.03</v>
      </c>
      <c r="W53" s="8">
        <f t="shared" si="56"/>
        <v>1130133.7235694311</v>
      </c>
      <c r="X53">
        <v>1.8106595159717832E-2</v>
      </c>
      <c r="Y53">
        <f t="shared" si="59"/>
        <v>7.4315876491124939</v>
      </c>
      <c r="Z53">
        <f t="shared" si="57"/>
        <v>7.4315876495924504</v>
      </c>
      <c r="AA53">
        <f t="shared" si="60"/>
        <v>-4.7995651897281277E-10</v>
      </c>
      <c r="AB53">
        <f t="shared" si="61"/>
        <v>2.5998049742769597E-5</v>
      </c>
      <c r="AC53">
        <v>626.26051430389487</v>
      </c>
      <c r="AD53">
        <f t="shared" si="58"/>
        <v>26882.722014285268</v>
      </c>
      <c r="AE53">
        <f>+gettm2(AD53,AC53,AK53,AL53,テーブル2[[#This Row],[Fcorr]])</f>
        <v>628.25673648823295</v>
      </c>
      <c r="AF53" s="14">
        <f t="shared" si="62"/>
        <v>2.7383794076740742E-7</v>
      </c>
      <c r="AG53">
        <v>2.6021457759196671E-5</v>
      </c>
      <c r="AH53">
        <f t="shared" si="63"/>
        <v>26.408556735158957</v>
      </c>
      <c r="AI53">
        <f t="shared" si="64"/>
        <v>0.20758915672262077</v>
      </c>
      <c r="AJ53">
        <f t="shared" si="65"/>
        <v>46.879143463620856</v>
      </c>
      <c r="AK53">
        <f t="array" ref="AK53">+S53*テーブル2[[#This Row],[F_form]]/(E53*CpFromTP((テーブル2[[#This Row],[Tin]]+テーブル2[[#This Row],[Tf]])/2,テーブル2[[#This Row],[P]])*AI53)</f>
        <v>0.82346042754717585</v>
      </c>
      <c r="AL53">
        <f t="shared" si="66"/>
        <v>1.186598293632519</v>
      </c>
      <c r="AM53">
        <f t="shared" si="67"/>
        <v>612.48370255126702</v>
      </c>
      <c r="AN53">
        <f t="shared" si="68"/>
        <v>2.8421709430404007E-11</v>
      </c>
      <c r="AO53">
        <f t="shared" si="69"/>
        <v>2.3408016427074778E-8</v>
      </c>
      <c r="AP53">
        <v>2.8774380131363761</v>
      </c>
      <c r="AQ53">
        <f t="shared" si="70"/>
        <v>5.4495108502859494E-5</v>
      </c>
      <c r="AR53">
        <f t="shared" si="71"/>
        <v>1.3022432887811873E-5</v>
      </c>
      <c r="AS53">
        <f t="shared" si="72"/>
        <v>23.460657171573995</v>
      </c>
      <c r="AT53">
        <f t="shared" si="73"/>
        <v>12.726624276307739</v>
      </c>
      <c r="AU53">
        <f t="shared" si="74"/>
        <v>2.6419092014443573</v>
      </c>
      <c r="AV53">
        <f t="shared" si="75"/>
        <v>0.23552881169201889</v>
      </c>
      <c r="AW53">
        <f t="shared" si="76"/>
        <v>1.6376863588983871E-2</v>
      </c>
      <c r="AX53">
        <f t="shared" si="77"/>
        <v>0.23552881116671948</v>
      </c>
      <c r="AY53">
        <f t="shared" si="78"/>
        <v>5.2529941507728495E-10</v>
      </c>
      <c r="AZ53">
        <f t="shared" si="79"/>
        <v>1035404.645585787</v>
      </c>
      <c r="BA53">
        <f t="shared" si="80"/>
        <v>1.8938760193641987E-5</v>
      </c>
      <c r="BB53" s="15">
        <f t="shared" si="81"/>
        <v>784257.20176150277</v>
      </c>
      <c r="BC53" s="20">
        <f t="shared" si="82"/>
        <v>-3550.8255822472274</v>
      </c>
      <c r="BD53" s="19">
        <f t="shared" si="83"/>
        <v>-0.45072218852853474</v>
      </c>
      <c r="BE53" s="15">
        <v>1138098.2303985937</v>
      </c>
      <c r="BF53" s="16">
        <f>テーブル2[[#This Row],[q_P]]/テーブル2[[#This Row],[q_M]]</f>
        <v>0.68909447428525927</v>
      </c>
      <c r="BG53">
        <v>1.014</v>
      </c>
      <c r="BH53">
        <v>9.5434411906638122E-2</v>
      </c>
      <c r="BI53">
        <v>4.5999999999999999E-2</v>
      </c>
      <c r="BJ53">
        <v>5625</v>
      </c>
      <c r="BK53" s="21">
        <f>1+テーブル2[[#This Row],[A_corr]]*EXP(-テーブル2[[#This Row],[(Tsub-40)^2]]/テーブル2[[#This Row],[σ_corr]])</f>
        <v>1.0427745762830058</v>
      </c>
      <c r="BL53">
        <f>テーブル2[[#This Row],[Ts]]-テーブル2[[#This Row],[Tin]]</f>
        <v>19.778146995739917</v>
      </c>
      <c r="BM53">
        <f>テーブル2[[#This Row],[q_P]]*0.000001</f>
        <v>0.78425720176150271</v>
      </c>
      <c r="BN53">
        <f>テーブル2[[#This Row],[Tsub]]</f>
        <v>19.778146995739917</v>
      </c>
      <c r="BO53">
        <f>テーブル2[[#This Row],[Fcorr]]</f>
        <v>1.0427745762830058</v>
      </c>
      <c r="BP53">
        <f>(テーブル2[[#This Row],[Tsub]]-40)^2</f>
        <v>408.92333892590256</v>
      </c>
      <c r="BQ53" s="10">
        <v>0.98822371252465069</v>
      </c>
      <c r="BR53" s="33">
        <v>4.2670000000000003</v>
      </c>
    </row>
    <row r="54" spans="1:70" x14ac:dyDescent="0.15">
      <c r="A54" s="9" t="s">
        <v>137</v>
      </c>
      <c r="B54">
        <v>14444515.914999999</v>
      </c>
      <c r="C54" s="21" cm="1">
        <f t="array" ref="C54">TsatFromP(テーブル2[[#This Row],[P]])</f>
        <v>612.29412141213845</v>
      </c>
      <c r="D54">
        <f t="array" ref="D54">RhoGFromP(テーブル2[[#This Row],[P]])</f>
        <v>91.248555698911844</v>
      </c>
      <c r="E54">
        <f t="array" ref="E54">RhoFFromP(テーブル2[[#This Row],[P]])</f>
        <v>613.43232402419449</v>
      </c>
      <c r="F54">
        <f t="array" ref="F54">HgFromP(テーブル2[[#This Row],[P]])</f>
        <v>2626093.1345668421</v>
      </c>
      <c r="G54">
        <f t="array" ref="G54">HfFromP(テーブル2[[#This Row],[P]])</f>
        <v>1588403.9289842495</v>
      </c>
      <c r="H54">
        <f t="array" ref="H54">MuGFromP(テーブル2[[#This Row],[P]])</f>
        <v>2.2386245793773059E-5</v>
      </c>
      <c r="I54">
        <f t="array" ref="I54">MuFFromP(テーブル2[[#This Row],[P]])</f>
        <v>7.0694401850615891E-5</v>
      </c>
      <c r="J54">
        <f t="array" ref="J54">KfFromP(テーブル2[[#This Row],[P]])</f>
        <v>0.48369684775438243</v>
      </c>
      <c r="K54">
        <f t="array" ref="K54">CpFFromP(テーブル2[[#This Row],[P]])</f>
        <v>8097.4885849811244</v>
      </c>
      <c r="L54">
        <f t="array" ref="L54">SigmaFromP(テーブル2[[#This Row],[P]])</f>
        <v>5.7594462826100956E-3</v>
      </c>
      <c r="M54">
        <v>340</v>
      </c>
      <c r="N54">
        <v>3380.5079999999998</v>
      </c>
      <c r="O54" s="8">
        <v>8.7843467213758383E-5</v>
      </c>
      <c r="P54" s="8">
        <v>2.9843873572041598E-2</v>
      </c>
      <c r="Q54">
        <v>1.1773735336561952E-2</v>
      </c>
      <c r="R54">
        <v>3.4036</v>
      </c>
      <c r="S54" s="15">
        <v>702480.08988124994</v>
      </c>
      <c r="T54">
        <v>587.26111111111106</v>
      </c>
      <c r="U54" s="12">
        <f>+T54+BG54*S54*テーブル2[[#This Row],[Pw]]*R54/(N54*O54*K54)</f>
        <v>627.70769064916351</v>
      </c>
      <c r="V54">
        <v>0.03</v>
      </c>
      <c r="W54" s="8">
        <f t="shared" si="56"/>
        <v>1427092.5380267045</v>
      </c>
      <c r="X54">
        <v>1.6669843355385523E-2</v>
      </c>
      <c r="Y54">
        <f t="shared" si="59"/>
        <v>7.7452286021736381</v>
      </c>
      <c r="Z54">
        <f t="shared" si="57"/>
        <v>7.7452286128938992</v>
      </c>
      <c r="AA54">
        <f t="shared" si="60"/>
        <v>-1.0720261123253749E-8</v>
      </c>
      <c r="AB54">
        <f t="shared" si="61"/>
        <v>1.7804228812400651E-5</v>
      </c>
      <c r="AC54">
        <v>626.19975829464829</v>
      </c>
      <c r="AD54">
        <f t="shared" si="58"/>
        <v>32571.88595880197</v>
      </c>
      <c r="AE54">
        <f>+gettm2(AD54,AC54,AK54,AL54,テーブル2[[#This Row],[Fcorr]])</f>
        <v>627.70769064916317</v>
      </c>
      <c r="AF54" s="14">
        <f t="shared" si="62"/>
        <v>0</v>
      </c>
      <c r="AG54">
        <v>1.7819260057541551E-5</v>
      </c>
      <c r="AH54">
        <f t="shared" si="63"/>
        <v>38.818505490776253</v>
      </c>
      <c r="AI54">
        <f t="shared" si="64"/>
        <v>0.2515568090321792</v>
      </c>
      <c r="AJ54">
        <f t="shared" si="65"/>
        <v>38.896218016967907</v>
      </c>
      <c r="AK54">
        <f t="array" ref="AK54">+S54*テーブル2[[#This Row],[F_form]]/(E54*CpFromTP((テーブル2[[#This Row],[Tin]]+テーブル2[[#This Row],[Tf]])/2,テーブル2[[#This Row],[P]])*AI54)</f>
        <v>0.85642312785751817</v>
      </c>
      <c r="AL54">
        <f t="shared" si="66"/>
        <v>1.1834832388614511</v>
      </c>
      <c r="AM54">
        <f t="shared" si="67"/>
        <v>612.29412140636578</v>
      </c>
      <c r="AN54">
        <f t="shared" si="68"/>
        <v>5.7726765589904971E-9</v>
      </c>
      <c r="AO54">
        <f t="shared" si="69"/>
        <v>1.5031245140900132E-8</v>
      </c>
      <c r="AP54">
        <v>3.2223861613429117</v>
      </c>
      <c r="AQ54">
        <f t="shared" si="70"/>
        <v>4.3873801372180574E-5</v>
      </c>
      <c r="AR54">
        <f t="shared" si="71"/>
        <v>8.9171456513412258E-6</v>
      </c>
      <c r="AS54">
        <f t="shared" si="72"/>
        <v>19.464514251636</v>
      </c>
      <c r="AT54">
        <f t="shared" si="73"/>
        <v>11.792965128937828</v>
      </c>
      <c r="AU54">
        <f t="shared" si="74"/>
        <v>2.9666006768633619</v>
      </c>
      <c r="AV54">
        <f t="shared" si="75"/>
        <v>0.25578548447954974</v>
      </c>
      <c r="AW54">
        <f t="shared" si="76"/>
        <v>1.1188355668573437E-2</v>
      </c>
      <c r="AX54">
        <f t="shared" si="77"/>
        <v>0.25578548247314686</v>
      </c>
      <c r="AY54">
        <f t="shared" si="78"/>
        <v>2.0064028771749065E-9</v>
      </c>
      <c r="AZ54">
        <f t="shared" si="79"/>
        <v>1037689.2055825926</v>
      </c>
      <c r="BA54">
        <f t="shared" si="80"/>
        <v>1.3615314607078752E-5</v>
      </c>
      <c r="BB54" s="15">
        <f t="shared" si="81"/>
        <v>702750.61217032222</v>
      </c>
      <c r="BC54" s="20">
        <f t="shared" si="82"/>
        <v>270.52228907227982</v>
      </c>
      <c r="BD54" s="19">
        <f t="shared" si="83"/>
        <v>3.8509602331648997E-2</v>
      </c>
      <c r="BE54" s="15">
        <v>941967.80555715668</v>
      </c>
      <c r="BF54" s="16">
        <f>テーブル2[[#This Row],[q_P]]/テーブル2[[#This Row],[q_M]]</f>
        <v>0.74604525550069956</v>
      </c>
      <c r="BG54">
        <v>1.363</v>
      </c>
      <c r="BH54">
        <v>1.2025339245325124E-2</v>
      </c>
      <c r="BI54">
        <v>4.5999999999999999E-2</v>
      </c>
      <c r="BJ54">
        <v>5625</v>
      </c>
      <c r="BK54" s="21">
        <f>1+テーブル2[[#This Row],[A_corr]]*EXP(-テーブル2[[#This Row],[(Tsub-40)^2]]/テーブル2[[#This Row],[σ_corr]])</f>
        <v>1.0442040873021237</v>
      </c>
      <c r="BL54">
        <f>テーブル2[[#This Row],[Ts]]-テーブル2[[#This Row],[Tin]]</f>
        <v>25.033010301027389</v>
      </c>
      <c r="BM54">
        <f>テーブル2[[#This Row],[q_P]]*0.000001</f>
        <v>0.7027506121703222</v>
      </c>
      <c r="BN54">
        <f>テーブル2[[#This Row],[Tsub]]</f>
        <v>25.033010301027389</v>
      </c>
      <c r="BO54">
        <f>テーブル2[[#This Row],[Fcorr]]</f>
        <v>1.0442040873021237</v>
      </c>
      <c r="BP54">
        <f>(テーブル2[[#This Row],[Tsub]]-40)^2</f>
        <v>224.01078064915225</v>
      </c>
      <c r="BQ54" s="10">
        <v>0.9941011311494754</v>
      </c>
      <c r="BR54" s="33">
        <v>4.2670000000000003</v>
      </c>
    </row>
    <row r="55" spans="1:70" x14ac:dyDescent="0.15">
      <c r="A55" s="9" t="s">
        <v>138</v>
      </c>
      <c r="B55">
        <v>14547937.27</v>
      </c>
      <c r="C55" s="21" cm="1">
        <f t="array" ref="C55">TsatFromP(テーブル2[[#This Row],[P]])</f>
        <v>612.8617754030106</v>
      </c>
      <c r="D55">
        <f t="array" ref="D55">RhoGFromP(テーブル2[[#This Row],[P]])</f>
        <v>92.246204919594888</v>
      </c>
      <c r="E55">
        <f t="array" ref="E55">RhoFFromP(テーブル2[[#This Row],[P]])</f>
        <v>611.60316925921416</v>
      </c>
      <c r="F55">
        <f t="array" ref="F55">HgFromP(テーブル2[[#This Row],[P]])</f>
        <v>2623286.9751734058</v>
      </c>
      <c r="G55">
        <f t="array" ref="G55">HfFromP(テーブル2[[#This Row],[P]])</f>
        <v>1592460.3576735058</v>
      </c>
      <c r="H55">
        <f t="array" ref="H55">MuGFromP(テーブル2[[#This Row],[P]])</f>
        <v>2.2446211956304489E-5</v>
      </c>
      <c r="I55">
        <f t="array" ref="I55">MuFFromP(テーブル2[[#This Row],[P]])</f>
        <v>7.0453794027894906E-5</v>
      </c>
      <c r="J55">
        <f t="array" ref="J55">KfFromP(テーブル2[[#This Row],[P]])</f>
        <v>0.482528845552468</v>
      </c>
      <c r="K55">
        <f t="array" ref="K55">CpFFromP(テーブル2[[#This Row],[P]])</f>
        <v>8170.133161316754</v>
      </c>
      <c r="L55">
        <f t="array" ref="L55">SigmaFromP(テーブル2[[#This Row],[P]])</f>
        <v>5.6457194724596916E-3</v>
      </c>
      <c r="M55" s="22">
        <v>341</v>
      </c>
      <c r="N55">
        <v>4031.3879999999999</v>
      </c>
      <c r="O55" s="8">
        <v>8.7843467213758383E-5</v>
      </c>
      <c r="P55" s="8">
        <v>2.9843873572041598E-2</v>
      </c>
      <c r="Q55">
        <v>1.1773735336561952E-2</v>
      </c>
      <c r="R55">
        <v>3.4036</v>
      </c>
      <c r="S55" s="15">
        <v>763468.51296874986</v>
      </c>
      <c r="T55">
        <v>591.65</v>
      </c>
      <c r="U55" s="12">
        <f>+T55+BG55*S55*テーブル2[[#This Row],[Pw]]*R55/(N55*O55*K55)</f>
        <v>628.18318112121494</v>
      </c>
      <c r="V55">
        <v>0.03</v>
      </c>
      <c r="W55" s="8">
        <f t="shared" si="56"/>
        <v>1707675.7249469089</v>
      </c>
      <c r="X55">
        <v>1.5627386106411484E-2</v>
      </c>
      <c r="Y55">
        <f t="shared" si="59"/>
        <v>7.9993892267115339</v>
      </c>
      <c r="Z55">
        <f t="shared" si="57"/>
        <v>7.9993892316620592</v>
      </c>
      <c r="AA55">
        <f t="shared" si="60"/>
        <v>-4.9505253230108792E-9</v>
      </c>
      <c r="AB55">
        <f t="shared" si="61"/>
        <v>1.3051628850669111E-5</v>
      </c>
      <c r="AC55">
        <v>625.176400450438</v>
      </c>
      <c r="AD55">
        <f t="shared" si="58"/>
        <v>37737.540046979542</v>
      </c>
      <c r="AE55">
        <f>+gettm2(AD55,AC55,AK55,AL55,テーブル2[[#This Row],[Fcorr]])</f>
        <v>628.1831811212146</v>
      </c>
      <c r="AF55" s="14">
        <f t="shared" si="62"/>
        <v>0</v>
      </c>
      <c r="AG55">
        <v>1.3064487561708907E-5</v>
      </c>
      <c r="AH55">
        <f t="shared" si="63"/>
        <v>51.908182836537719</v>
      </c>
      <c r="AI55">
        <f t="shared" si="64"/>
        <v>0.2913285513137408</v>
      </c>
      <c r="AJ55">
        <f t="shared" si="65"/>
        <v>33.0400556994136</v>
      </c>
      <c r="AK55">
        <f t="array" ref="AK55">+S55*テーブル2[[#This Row],[F_form]]/(E55*CpFromTP((テーブル2[[#This Row],[Tin]]+テーブル2[[#This Row],[Tf]])/2,テーブル2[[#This Row],[P]])*AI55)</f>
        <v>0.7740138528076036</v>
      </c>
      <c r="AL55">
        <f t="shared" si="66"/>
        <v>1.1929170333202277</v>
      </c>
      <c r="AM55">
        <f t="shared" si="67"/>
        <v>612.86177540094707</v>
      </c>
      <c r="AN55">
        <f t="shared" si="68"/>
        <v>2.0635297914850526E-9</v>
      </c>
      <c r="AO55">
        <f t="shared" si="69"/>
        <v>1.2858711039796314E-8</v>
      </c>
      <c r="AP55">
        <v>3.4702356744223453</v>
      </c>
      <c r="AQ55">
        <f t="shared" si="70"/>
        <v>3.6748762308048081E-5</v>
      </c>
      <c r="AR55">
        <f t="shared" si="71"/>
        <v>6.5386731363743519E-6</v>
      </c>
      <c r="AS55">
        <f t="shared" si="72"/>
        <v>16.536287673407148</v>
      </c>
      <c r="AT55">
        <f t="shared" si="73"/>
        <v>10.977786095117242</v>
      </c>
      <c r="AU55">
        <f t="shared" si="74"/>
        <v>3.1981425197226336</v>
      </c>
      <c r="AV55">
        <f t="shared" si="75"/>
        <v>0.27209315469971163</v>
      </c>
      <c r="AW55">
        <f t="shared" si="76"/>
        <v>8.2615174866578888E-3</v>
      </c>
      <c r="AX55">
        <f t="shared" si="77"/>
        <v>0.27209314284514202</v>
      </c>
      <c r="AY55">
        <f t="shared" si="78"/>
        <v>1.185456960373088E-8</v>
      </c>
      <c r="AZ55">
        <f t="shared" si="79"/>
        <v>1030826.6174999001</v>
      </c>
      <c r="BA55">
        <f t="shared" si="80"/>
        <v>1.0589702186196697E-5</v>
      </c>
      <c r="BB55" s="15">
        <f t="shared" si="81"/>
        <v>765542.03403313283</v>
      </c>
      <c r="BC55" s="20">
        <f t="shared" si="82"/>
        <v>2073.5210643829778</v>
      </c>
      <c r="BD55" s="19">
        <f t="shared" si="83"/>
        <v>0.2715922175126888</v>
      </c>
      <c r="BE55" s="15">
        <v>1024389.9885434078</v>
      </c>
      <c r="BF55" s="16">
        <f>テーブル2[[#This Row],[q_P]]/テーブル2[[#This Row],[q_M]]</f>
        <v>0.7473150290366134</v>
      </c>
      <c r="BG55">
        <v>1.363</v>
      </c>
      <c r="BH55">
        <v>1.9365652581519007E-2</v>
      </c>
      <c r="BI55">
        <v>4.5999999999999999E-2</v>
      </c>
      <c r="BJ55">
        <v>5625</v>
      </c>
      <c r="BK55" s="21">
        <f>1+テーブル2[[#This Row],[A_corr]]*EXP(-テーブル2[[#This Row],[(Tsub-40)^2]]/テーブル2[[#This Row],[σ_corr]])</f>
        <v>1.0432019790735241</v>
      </c>
      <c r="BL55">
        <f>テーブル2[[#This Row],[Ts]]-テーブル2[[#This Row],[Tin]]</f>
        <v>21.21177540301062</v>
      </c>
      <c r="BM55">
        <f>テーブル2[[#This Row],[q_P]]*0.000001</f>
        <v>0.76554203403313281</v>
      </c>
      <c r="BN55">
        <f>テーブル2[[#This Row],[Tsub]]</f>
        <v>21.21177540301062</v>
      </c>
      <c r="BO55">
        <f>テーブル2[[#This Row],[Fcorr]]</f>
        <v>1.0432019790735241</v>
      </c>
      <c r="BP55">
        <f>(テーブル2[[#This Row],[Tsub]]-40)^2</f>
        <v>352.99738350691678</v>
      </c>
      <c r="BQ55" s="10">
        <v>0.99037230949849897</v>
      </c>
      <c r="BR55" s="33">
        <v>4.2670000000000003</v>
      </c>
    </row>
    <row r="56" spans="1:70" x14ac:dyDescent="0.15">
      <c r="A56" s="9" t="s">
        <v>139</v>
      </c>
      <c r="B56">
        <v>14513463.484999999</v>
      </c>
      <c r="C56" s="21" cm="1">
        <f t="array" ref="C56">TsatFromP(テーブル2[[#This Row],[P]])</f>
        <v>612.67292008461743</v>
      </c>
      <c r="D56">
        <f t="array" ref="D56">RhoGFromP(テーブル2[[#This Row],[P]])</f>
        <v>91.91255897533145</v>
      </c>
      <c r="E56">
        <f t="array" ref="E56">RhoFFromP(テーブル2[[#This Row],[P]])</f>
        <v>612.21368217827785</v>
      </c>
      <c r="F56">
        <f t="array" ref="F56">HgFromP(テーブル2[[#This Row],[P]])</f>
        <v>2624225.3455417412</v>
      </c>
      <c r="G56">
        <f t="array" ref="G56">HfFromP(テーブル2[[#This Row],[P]])</f>
        <v>1591108.2176913612</v>
      </c>
      <c r="H56">
        <f t="array" ref="H56">MuGFromP(テーブル2[[#This Row],[P]])</f>
        <v>2.2426155999369982E-5</v>
      </c>
      <c r="I56">
        <f t="array" ref="I56">MuFFromP(テーブル2[[#This Row],[P]])</f>
        <v>7.053398392243067E-5</v>
      </c>
      <c r="J56">
        <f t="array" ref="J56">KfFromP(テーブル2[[#This Row],[P]])</f>
        <v>0.48291804642989189</v>
      </c>
      <c r="K56">
        <f t="array" ref="K56">CpFFromP(テーブル2[[#This Row],[P]])</f>
        <v>8145.6939161944201</v>
      </c>
      <c r="L56">
        <f t="array" ref="L56">SigmaFromP(テーブル2[[#This Row],[P]])</f>
        <v>5.6835159172802328E-3</v>
      </c>
      <c r="M56">
        <v>360</v>
      </c>
      <c r="N56">
        <v>3998.8440000000001</v>
      </c>
      <c r="O56" s="8">
        <v>8.7843467213758383E-5</v>
      </c>
      <c r="P56" s="8">
        <v>2.9843873572041598E-2</v>
      </c>
      <c r="Q56">
        <v>1.1773735336561952E-2</v>
      </c>
      <c r="R56">
        <v>3.4036</v>
      </c>
      <c r="S56" s="15">
        <v>1249224.1325312499</v>
      </c>
      <c r="T56">
        <v>555.37222222222226</v>
      </c>
      <c r="U56" s="12">
        <f>+T56+BG56*S56*テーブル2[[#This Row],[Pw]]*R56/(N56*O56*K56)</f>
        <v>615.81687810561698</v>
      </c>
      <c r="V56">
        <v>0.03</v>
      </c>
      <c r="W56" s="8">
        <f t="shared" si="56"/>
        <v>1691964.4706523549</v>
      </c>
      <c r="X56">
        <v>1.5690019581589582E-2</v>
      </c>
      <c r="Y56">
        <f t="shared" si="59"/>
        <v>7.9834067557107096</v>
      </c>
      <c r="Z56">
        <f t="shared" si="57"/>
        <v>7.9834067631711267</v>
      </c>
      <c r="AA56">
        <f t="shared" si="60"/>
        <v>-7.460417172922007E-9</v>
      </c>
      <c r="AB56">
        <f t="shared" si="61"/>
        <v>1.3313705165212129E-5</v>
      </c>
      <c r="AC56">
        <v>638.81657480807496</v>
      </c>
      <c r="AD56">
        <f t="shared" si="58"/>
        <v>37465.194600950781</v>
      </c>
      <c r="AE56">
        <f>+gettm2(AD56,AC56,AK56,AL56,テーブル2[[#This Row],[Fcorr]])</f>
        <v>615.81687810561698</v>
      </c>
      <c r="AF56" s="14">
        <f t="shared" si="62"/>
        <v>0</v>
      </c>
      <c r="AG56">
        <v>1.3335089157674064E-5</v>
      </c>
      <c r="AH56">
        <f t="shared" si="63"/>
        <v>51.227055249481417</v>
      </c>
      <c r="AI56">
        <f t="shared" si="64"/>
        <v>0.2892665261459203</v>
      </c>
      <c r="AJ56">
        <f t="shared" si="65"/>
        <v>33.481023105614923</v>
      </c>
      <c r="AK56">
        <f t="array" ref="AK56">+S56*テーブル2[[#This Row],[F_form]]/(E56*CpFromTP((テーブル2[[#This Row],[Tin]]+テーブル2[[#This Row],[Tf]])/2,テーブル2[[#This Row],[P]])*AI56)</f>
        <v>1.6426072268176648</v>
      </c>
      <c r="AL56">
        <f t="shared" si="66"/>
        <v>1.1897427482145444</v>
      </c>
      <c r="AM56">
        <f t="shared" si="67"/>
        <v>612.67292008202844</v>
      </c>
      <c r="AN56">
        <f t="shared" si="68"/>
        <v>2.5889903554343618E-9</v>
      </c>
      <c r="AO56">
        <f t="shared" si="69"/>
        <v>2.1383992461934367E-8</v>
      </c>
      <c r="AP56">
        <v>3.4669811430439523</v>
      </c>
      <c r="AQ56">
        <f t="shared" si="70"/>
        <v>3.7176339947391693E-5</v>
      </c>
      <c r="AR56">
        <f t="shared" si="71"/>
        <v>6.678236575067999E-6</v>
      </c>
      <c r="AS56">
        <f t="shared" si="72"/>
        <v>16.767356440653458</v>
      </c>
      <c r="AT56">
        <f t="shared" si="73"/>
        <v>11.047169635964856</v>
      </c>
      <c r="AU56">
        <f t="shared" si="74"/>
        <v>3.1955763843402449</v>
      </c>
      <c r="AV56">
        <f t="shared" si="75"/>
        <v>0.27140475870370739</v>
      </c>
      <c r="AW56">
        <f t="shared" si="76"/>
        <v>8.4069711173875416E-3</v>
      </c>
      <c r="AX56">
        <f t="shared" si="77"/>
        <v>0.27140474702021306</v>
      </c>
      <c r="AY56">
        <f t="shared" si="78"/>
        <v>1.1683494338665668E-8</v>
      </c>
      <c r="AZ56">
        <f t="shared" si="79"/>
        <v>1033117.12785038</v>
      </c>
      <c r="BA56">
        <f t="shared" si="80"/>
        <v>1.0722971488316628E-5</v>
      </c>
      <c r="BB56" s="15">
        <f t="shared" si="81"/>
        <v>1261322.7656665966</v>
      </c>
      <c r="BC56" s="20">
        <f t="shared" si="82"/>
        <v>12098.633135346696</v>
      </c>
      <c r="BD56" s="19">
        <f t="shared" si="83"/>
        <v>0.96849178784528833</v>
      </c>
      <c r="BE56" s="15">
        <v>1339360.4735265824</v>
      </c>
      <c r="BF56" s="16">
        <f>テーブル2[[#This Row],[q_P]]/テーブル2[[#This Row],[q_M]]</f>
        <v>0.94173509715834025</v>
      </c>
      <c r="BG56">
        <v>1.363</v>
      </c>
      <c r="BH56">
        <v>-0.14908507284211994</v>
      </c>
      <c r="BI56">
        <v>4.5999999999999999E-2</v>
      </c>
      <c r="BJ56">
        <v>5625</v>
      </c>
      <c r="BK56" s="21">
        <f>1+テーブル2[[#This Row],[A_corr]]*EXP(-テーブル2[[#This Row],[(Tsub-40)^2]]/テーブル2[[#This Row],[σ_corr]])</f>
        <v>1.0436162589554223</v>
      </c>
      <c r="BL56">
        <f>テーブル2[[#This Row],[Ts]]-テーブル2[[#This Row],[Tin]]</f>
        <v>57.300697862395168</v>
      </c>
      <c r="BM56">
        <f>テーブル2[[#This Row],[q_P]]*0.000001</f>
        <v>1.2613227656665966</v>
      </c>
      <c r="BN56">
        <f>テーブル2[[#This Row],[Tsub]]</f>
        <v>57.300697862395168</v>
      </c>
      <c r="BO56">
        <f>テーブル2[[#This Row],[Fcorr]]</f>
        <v>1.0436162589554223</v>
      </c>
      <c r="BP56">
        <f>(テーブル2[[#This Row],[Tsub]]-40)^2</f>
        <v>299.31414652588472</v>
      </c>
      <c r="BQ56" s="10">
        <v>1.0031176864628686</v>
      </c>
      <c r="BR56" s="33">
        <v>4.2670000000000003</v>
      </c>
    </row>
    <row r="57" spans="1:70" x14ac:dyDescent="0.15">
      <c r="A57" s="9" t="s">
        <v>140</v>
      </c>
      <c r="B57">
        <v>16581890.584999999</v>
      </c>
      <c r="C57" s="21" cm="1">
        <f t="array" ref="C57">TsatFromP(テーブル2[[#This Row],[P]])</f>
        <v>623.40834329200698</v>
      </c>
      <c r="D57">
        <f t="array" ref="D57">RhoGFromP(テーブル2[[#This Row],[P]])</f>
        <v>114.24072089270538</v>
      </c>
      <c r="E57">
        <f t="array" ref="E57">RhoFFromP(テーブル2[[#This Row],[P]])</f>
        <v>573.66553119769708</v>
      </c>
      <c r="F57">
        <f t="array" ref="F57">HgFromP(テーブル2[[#This Row],[P]])</f>
        <v>2561880.926064556</v>
      </c>
      <c r="G57">
        <f t="array" ref="G57">HfFromP(テーブル2[[#This Row],[P]])</f>
        <v>1673008.4528857057</v>
      </c>
      <c r="H57">
        <f t="array" ref="H57">MuGFromP(テーブル2[[#This Row],[P]])</f>
        <v>2.3778054068935119E-5</v>
      </c>
      <c r="I57">
        <f t="array" ref="I57">MuFFromP(テーブル2[[#This Row],[P]])</f>
        <v>6.5676255486798709E-5</v>
      </c>
      <c r="J57">
        <f t="array" ref="J57">KfFromP(テーブル2[[#This Row],[P]])</f>
        <v>0.4599028461125329</v>
      </c>
      <c r="K57">
        <f t="array" ref="K57">CpFFromP(テーブル2[[#This Row],[P]])</f>
        <v>10188.161618072991</v>
      </c>
      <c r="L57">
        <f t="array" ref="L57">SigmaFromP(テーブル2[[#This Row],[P]])</f>
        <v>3.6065031383353337E-3</v>
      </c>
      <c r="M57" s="22">
        <v>371</v>
      </c>
      <c r="N57">
        <v>2615.7240000000002</v>
      </c>
      <c r="O57" s="8">
        <v>8.7843467213758383E-5</v>
      </c>
      <c r="P57" s="8">
        <v>2.9843873572041598E-2</v>
      </c>
      <c r="Q57">
        <v>1.1773735336561952E-2</v>
      </c>
      <c r="R57">
        <v>3.4036</v>
      </c>
      <c r="S57" s="15">
        <v>1351470.21484375</v>
      </c>
      <c r="T57">
        <v>512.59444444444443</v>
      </c>
      <c r="U57" s="12">
        <f>+T57+BG57*S57*テーブル2[[#This Row],[Pw]]*R57/(N57*O57*K57)</f>
        <v>592.52242290820504</v>
      </c>
      <c r="V57">
        <v>0.03</v>
      </c>
      <c r="W57" s="8">
        <f t="shared" si="56"/>
        <v>1188608.2081985644</v>
      </c>
      <c r="X57">
        <v>1.6672181447234841E-2</v>
      </c>
      <c r="Y57">
        <f t="shared" si="59"/>
        <v>7.7446854911576279</v>
      </c>
      <c r="Z57">
        <f t="shared" si="57"/>
        <v>7.7446855018271785</v>
      </c>
      <c r="AA57">
        <f t="shared" si="60"/>
        <v>-1.0669550576380971E-8</v>
      </c>
      <c r="AB57">
        <f t="shared" si="61"/>
        <v>1.741165450435356E-5</v>
      </c>
      <c r="AC57">
        <v>678.04136791634414</v>
      </c>
      <c r="AD57">
        <f t="shared" si="58"/>
        <v>27130.634457357668</v>
      </c>
      <c r="AE57">
        <f>+gettm2(AD57,AC57,AK57,AL57,テーブル2[[#This Row],[Fcorr]])</f>
        <v>592.52242290820493</v>
      </c>
      <c r="AF57" s="14">
        <f t="shared" si="62"/>
        <v>0</v>
      </c>
      <c r="AG57">
        <v>1.7453491964297398E-5</v>
      </c>
      <c r="AH57">
        <f t="shared" si="63"/>
        <v>24.855787052978158</v>
      </c>
      <c r="AI57">
        <f t="shared" si="64"/>
        <v>0.20815381826422133</v>
      </c>
      <c r="AJ57">
        <f t="shared" si="65"/>
        <v>31.733434960761276</v>
      </c>
      <c r="AK57">
        <f t="array" ref="AK57">+S57*テーブル2[[#This Row],[F_form]]/(E57*CpFromTP((テーブル2[[#This Row],[Tin]]+テーブル2[[#This Row],[Tf]])/2,テーブル2[[#This Row],[P]])*AI57)</f>
        <v>3.0383820245237461</v>
      </c>
      <c r="AL57">
        <f t="shared" si="66"/>
        <v>1.4549166438635874</v>
      </c>
      <c r="AM57">
        <f t="shared" si="67"/>
        <v>623.40834326196864</v>
      </c>
      <c r="AN57">
        <f t="shared" si="68"/>
        <v>3.0038336262805387E-8</v>
      </c>
      <c r="AO57">
        <f t="shared" si="69"/>
        <v>4.183745994383844E-8</v>
      </c>
      <c r="AP57">
        <v>2.4624309766800287</v>
      </c>
      <c r="AQ57">
        <f t="shared" si="70"/>
        <v>3.9227227735402607E-5</v>
      </c>
      <c r="AR57">
        <f t="shared" si="71"/>
        <v>8.7476647121206184E-6</v>
      </c>
      <c r="AS57">
        <f t="shared" si="72"/>
        <v>15.904751310996513</v>
      </c>
      <c r="AT57">
        <f t="shared" si="73"/>
        <v>10.78308944588993</v>
      </c>
      <c r="AU57">
        <f t="shared" si="74"/>
        <v>2.2445412408466154</v>
      </c>
      <c r="AV57">
        <f t="shared" si="75"/>
        <v>0.21788973583341331</v>
      </c>
      <c r="AW57">
        <f t="shared" si="76"/>
        <v>1.2969579179407153E-2</v>
      </c>
      <c r="AX57">
        <f t="shared" si="77"/>
        <v>0.21788972260072678</v>
      </c>
      <c r="AY57">
        <f t="shared" si="78"/>
        <v>1.3232686529862647E-8</v>
      </c>
      <c r="AZ57">
        <f t="shared" si="79"/>
        <v>888872.47317885025</v>
      </c>
      <c r="BA57">
        <f t="shared" si="80"/>
        <v>1.5930285196578666E-5</v>
      </c>
      <c r="BB57" s="15">
        <f t="shared" si="81"/>
        <v>1339183.1358655822</v>
      </c>
      <c r="BC57" s="20">
        <f t="shared" si="82"/>
        <v>-12287.078978167847</v>
      </c>
      <c r="BD57" s="19">
        <f t="shared" si="83"/>
        <v>-0.90916387525332287</v>
      </c>
      <c r="BE57" s="15">
        <v>1474768.3455754232</v>
      </c>
      <c r="BF57" s="16">
        <f>テーブル2[[#This Row],[q_P]]/テーブル2[[#This Row],[q_M]]</f>
        <v>0.90806338492643834</v>
      </c>
      <c r="BG57">
        <v>1.363</v>
      </c>
      <c r="BH57">
        <v>-0.49547366238389035</v>
      </c>
      <c r="BI57">
        <v>4.5999999999999999E-2</v>
      </c>
      <c r="BJ57">
        <v>5625</v>
      </c>
      <c r="BK57" s="21">
        <f>1+テーブル2[[#This Row],[A_corr]]*EXP(-テーブル2[[#This Row],[(Tsub-40)^2]]/テーブル2[[#This Row],[σ_corr]])</f>
        <v>1.01886211629783</v>
      </c>
      <c r="BL57">
        <f>テーブル2[[#This Row],[Ts]]-テーブル2[[#This Row],[Tin]]</f>
        <v>110.81389884756254</v>
      </c>
      <c r="BM57">
        <f>テーブル2[[#This Row],[q_P]]*0.000001</f>
        <v>1.3391831358655821</v>
      </c>
      <c r="BN57">
        <f>テーブル2[[#This Row],[Tsub]]</f>
        <v>110.81389884756254</v>
      </c>
      <c r="BO57">
        <f>テーブル2[[#This Row],[Fcorr]]</f>
        <v>1.01886211629783</v>
      </c>
      <c r="BP57">
        <f>(テーブル2[[#This Row],[Tsub]]-40)^2</f>
        <v>5014.6082699928193</v>
      </c>
      <c r="BQ57" s="10">
        <v>0.84144793974330867</v>
      </c>
      <c r="BR57" s="33">
        <v>4.2670000000000003</v>
      </c>
    </row>
    <row r="58" spans="1:70" x14ac:dyDescent="0.15">
      <c r="A58" s="9" t="s">
        <v>141</v>
      </c>
      <c r="B58">
        <v>14547937.27</v>
      </c>
      <c r="C58" s="21" cm="1">
        <f t="array" ref="C58">TsatFromP(テーブル2[[#This Row],[P]])</f>
        <v>612.8617754030106</v>
      </c>
      <c r="D58">
        <f t="array" ref="D58">RhoGFromP(テーブル2[[#This Row],[P]])</f>
        <v>92.246204919594888</v>
      </c>
      <c r="E58">
        <f t="array" ref="E58">RhoFFromP(テーブル2[[#This Row],[P]])</f>
        <v>611.60316925921416</v>
      </c>
      <c r="F58">
        <f t="array" ref="F58">HgFromP(テーブル2[[#This Row],[P]])</f>
        <v>2623286.9751734058</v>
      </c>
      <c r="G58">
        <f t="array" ref="G58">HfFromP(テーブル2[[#This Row],[P]])</f>
        <v>1592460.3576735058</v>
      </c>
      <c r="H58">
        <f t="array" ref="H58">MuGFromP(テーブル2[[#This Row],[P]])</f>
        <v>2.2446211956304489E-5</v>
      </c>
      <c r="I58">
        <f t="array" ref="I58">MuFFromP(テーブル2[[#This Row],[P]])</f>
        <v>7.0453794027894906E-5</v>
      </c>
      <c r="J58">
        <f t="array" ref="J58">KfFromP(テーブル2[[#This Row],[P]])</f>
        <v>0.482528845552468</v>
      </c>
      <c r="K58">
        <f t="array" ref="K58">CpFFromP(テーブル2[[#This Row],[P]])</f>
        <v>8170.133161316754</v>
      </c>
      <c r="L58">
        <f t="array" ref="L58">SigmaFromP(テーブル2[[#This Row],[P]])</f>
        <v>5.6457194724596916E-3</v>
      </c>
      <c r="M58">
        <v>380</v>
      </c>
      <c r="N58">
        <v>4008.3359999999998</v>
      </c>
      <c r="O58" s="8">
        <v>8.7843467213758383E-5</v>
      </c>
      <c r="P58" s="8">
        <v>2.9843873572041598E-2</v>
      </c>
      <c r="Q58">
        <v>1.1773735336561952E-2</v>
      </c>
      <c r="R58">
        <v>3.4036</v>
      </c>
      <c r="S58" s="15">
        <v>1313587.66015625</v>
      </c>
      <c r="T58">
        <v>549.81666666666661</v>
      </c>
      <c r="U58" s="12">
        <f>+T58+BG58*S58*テーブル2[[#This Row],[Pw]]*R58/(N58*O58*K58)</f>
        <v>613.03541586527524</v>
      </c>
      <c r="V58">
        <v>0.03</v>
      </c>
      <c r="W58" s="8">
        <f t="shared" ref="W58:W59" si="84">+N58*P58/I58</f>
        <v>1697911.0134352716</v>
      </c>
      <c r="X58">
        <v>1.5657845583178065E-2</v>
      </c>
      <c r="Y58">
        <f t="shared" si="59"/>
        <v>7.991604764218172</v>
      </c>
      <c r="Z58">
        <f t="shared" ref="Z58:Z59" si="85">IF(X58&gt;0,1.14-2*LOG((0.72*L58*E58)/(X58*P58*N58^2)+9.35/(W58*X58^0.5)),0)</f>
        <v>7.9916047703163455</v>
      </c>
      <c r="AA58">
        <f t="shared" si="60"/>
        <v>-6.0981735217069399E-9</v>
      </c>
      <c r="AB58">
        <f t="shared" si="61"/>
        <v>1.3176498316423431E-5</v>
      </c>
      <c r="AC58">
        <v>641.02064585739743</v>
      </c>
      <c r="AD58">
        <f t="shared" ref="AD58:AD59" si="86">+P58/2*AI58/I58*E58</f>
        <v>37558.301081999904</v>
      </c>
      <c r="AE58">
        <f>+gettm2(AD58,AC58,AK58,AL58,テーブル2[[#This Row],[Fcorr]])</f>
        <v>613.03541629265112</v>
      </c>
      <c r="AF58" s="14">
        <f t="shared" si="62"/>
        <v>4.273758804629324E-7</v>
      </c>
      <c r="AG58">
        <v>1.3198602431615086E-5</v>
      </c>
      <c r="AH58">
        <f t="shared" si="63"/>
        <v>51.416265568123777</v>
      </c>
      <c r="AI58">
        <f t="shared" si="64"/>
        <v>0.28994485147688109</v>
      </c>
      <c r="AJ58">
        <f t="shared" si="65"/>
        <v>33.220693204692708</v>
      </c>
      <c r="AK58">
        <f t="array" ref="AK58">+S58*テーブル2[[#This Row],[F_form]]/(E58*CpFromTP((テーブル2[[#This Row],[Tin]]+テーブル2[[#This Row],[Tf]])/2,テーブル2[[#This Row],[P]])*AI58)</f>
        <v>1.7683606861698438</v>
      </c>
      <c r="AL58">
        <f t="shared" si="66"/>
        <v>1.1929170333202277</v>
      </c>
      <c r="AM58">
        <f t="shared" si="67"/>
        <v>612.8617753897903</v>
      </c>
      <c r="AN58">
        <f t="shared" si="68"/>
        <v>1.3220301298133563E-8</v>
      </c>
      <c r="AO58">
        <f t="shared" si="69"/>
        <v>2.2104115191654721E-8</v>
      </c>
      <c r="AP58">
        <v>3.4632070340211047</v>
      </c>
      <c r="AQ58">
        <f t="shared" si="70"/>
        <v>3.6898078210265499E-5</v>
      </c>
      <c r="AR58">
        <f t="shared" si="71"/>
        <v>6.6103532734033703E-6</v>
      </c>
      <c r="AS58">
        <f t="shared" si="72"/>
        <v>16.638164472956056</v>
      </c>
      <c r="AT58">
        <f t="shared" si="73"/>
        <v>11.008495605965267</v>
      </c>
      <c r="AU58">
        <f t="shared" si="74"/>
        <v>3.1918566234554975</v>
      </c>
      <c r="AV58">
        <f t="shared" si="75"/>
        <v>0.27135041056560727</v>
      </c>
      <c r="AW58">
        <f t="shared" si="76"/>
        <v>8.3405582934937394E-3</v>
      </c>
      <c r="AX58">
        <f t="shared" si="77"/>
        <v>0.27135039894200674</v>
      </c>
      <c r="AY58">
        <f t="shared" si="78"/>
        <v>1.1623600526533551E-8</v>
      </c>
      <c r="AZ58">
        <f t="shared" si="79"/>
        <v>1030826.6174999001</v>
      </c>
      <c r="BA58">
        <f t="shared" si="80"/>
        <v>1.065430909783739E-5</v>
      </c>
      <c r="BB58" s="15">
        <f t="shared" si="81"/>
        <v>1307986.2975773658</v>
      </c>
      <c r="BC58" s="20">
        <f t="shared" si="82"/>
        <v>-5601.3625788842328</v>
      </c>
      <c r="BD58" s="19">
        <f t="shared" si="83"/>
        <v>-0.4264171131310685</v>
      </c>
      <c r="BE58" s="15">
        <v>1527754.0346380137</v>
      </c>
      <c r="BF58" s="16">
        <f>テーブル2[[#This Row],[q_P]]/テーブル2[[#This Row],[q_M]]</f>
        <v>0.85614979108026401</v>
      </c>
      <c r="BG58">
        <v>1.363</v>
      </c>
      <c r="BH58">
        <v>-0.15423248870421483</v>
      </c>
      <c r="BI58">
        <v>4.5999999999999999E-2</v>
      </c>
      <c r="BJ58">
        <v>5625</v>
      </c>
      <c r="BK58" s="21">
        <f>1+テーブル2[[#This Row],[A_corr]]*EXP(-テーブル2[[#This Row],[(Tsub-40)^2]]/テーブル2[[#This Row],[σ_corr]])</f>
        <v>1.0418556879749954</v>
      </c>
      <c r="BL58">
        <f>テーブル2[[#This Row],[Ts]]-テーブル2[[#This Row],[Tin]]</f>
        <v>63.045108736343991</v>
      </c>
      <c r="BM58">
        <f>テーブル2[[#This Row],[q_P]]*0.000001</f>
        <v>1.3079862975773657</v>
      </c>
      <c r="BN58">
        <f>テーブル2[[#This Row],[Tsub]]</f>
        <v>63.045108736343991</v>
      </c>
      <c r="BO58">
        <f>テーブル2[[#This Row],[Fcorr]]</f>
        <v>1.0418556879749954</v>
      </c>
      <c r="BP58">
        <f>(テーブル2[[#This Row],[Tsub]]-40)^2</f>
        <v>531.07703666991813</v>
      </c>
      <c r="BQ58" s="10">
        <v>0.99973876398184058</v>
      </c>
      <c r="BR58" s="33">
        <v>4.2670000000000003</v>
      </c>
    </row>
    <row r="59" spans="1:70" x14ac:dyDescent="0.15">
      <c r="A59" s="9" t="s">
        <v>142</v>
      </c>
      <c r="B59">
        <v>14513463.484999999</v>
      </c>
      <c r="C59" s="21" cm="1">
        <f t="array" ref="C59">TsatFromP(テーブル2[[#This Row],[P]])</f>
        <v>612.67292008461743</v>
      </c>
      <c r="D59">
        <f t="array" ref="D59">RhoGFromP(テーブル2[[#This Row],[P]])</f>
        <v>91.91255897533145</v>
      </c>
      <c r="E59">
        <f t="array" ref="E59">RhoFFromP(テーブル2[[#This Row],[P]])</f>
        <v>612.21368217827785</v>
      </c>
      <c r="F59">
        <f t="array" ref="F59">HgFromP(テーブル2[[#This Row],[P]])</f>
        <v>2624225.3455417412</v>
      </c>
      <c r="G59">
        <f t="array" ref="G59">HfFromP(テーブル2[[#This Row],[P]])</f>
        <v>1591108.2176913612</v>
      </c>
      <c r="H59">
        <f t="array" ref="H59">MuGFromP(テーブル2[[#This Row],[P]])</f>
        <v>2.2426155999369982E-5</v>
      </c>
      <c r="I59">
        <f t="array" ref="I59">MuFFromP(テーブル2[[#This Row],[P]])</f>
        <v>7.053398392243067E-5</v>
      </c>
      <c r="J59">
        <f t="array" ref="J59">KfFromP(テーブル2[[#This Row],[P]])</f>
        <v>0.48291804642989189</v>
      </c>
      <c r="K59">
        <f t="array" ref="K59">CpFFromP(テーブル2[[#This Row],[P]])</f>
        <v>8145.6939161944201</v>
      </c>
      <c r="L59">
        <f t="array" ref="L59">SigmaFromP(テーブル2[[#This Row],[P]])</f>
        <v>5.6835159172802328E-3</v>
      </c>
      <c r="M59" s="22">
        <v>381</v>
      </c>
      <c r="N59">
        <v>2743.1880000000001</v>
      </c>
      <c r="O59" s="8">
        <v>8.7843467213758383E-5</v>
      </c>
      <c r="P59" s="8">
        <v>2.9843873572041598E-2</v>
      </c>
      <c r="Q59">
        <v>1.1773735336561952E-2</v>
      </c>
      <c r="R59">
        <v>3.4036</v>
      </c>
      <c r="S59" s="15">
        <v>1033049.6051562499</v>
      </c>
      <c r="T59">
        <v>536.65</v>
      </c>
      <c r="U59" s="12">
        <f>+T59+BG59*S59*テーブル2[[#This Row],[Pw]]*R59/(N59*O59*K59)</f>
        <v>609.51477193890651</v>
      </c>
      <c r="V59">
        <v>0.03</v>
      </c>
      <c r="W59" s="8">
        <f t="shared" si="84"/>
        <v>1160679.5944827786</v>
      </c>
      <c r="X59">
        <v>1.7914606230257365E-2</v>
      </c>
      <c r="Y59">
        <f t="shared" si="59"/>
        <v>7.4713032927839338</v>
      </c>
      <c r="Z59">
        <f t="shared" si="85"/>
        <v>7.4713033004926528</v>
      </c>
      <c r="AA59">
        <f t="shared" si="60"/>
        <v>-7.7087189964686331E-9</v>
      </c>
      <c r="AB59">
        <f t="shared" si="61"/>
        <v>2.4778381409831509E-5</v>
      </c>
      <c r="AC59">
        <v>645.74799292073089</v>
      </c>
      <c r="AD59">
        <f t="shared" si="86"/>
        <v>27462.558401166487</v>
      </c>
      <c r="AE59">
        <f>+gettm2(AD59,AC59,AK59,AL59,テーブル2[[#This Row],[Fcorr]])</f>
        <v>609.51477193890662</v>
      </c>
      <c r="AF59" s="14">
        <f t="shared" si="62"/>
        <v>0</v>
      </c>
      <c r="AG59">
        <v>2.4808206250862252E-5</v>
      </c>
      <c r="AH59">
        <f t="shared" si="63"/>
        <v>27.52487738375909</v>
      </c>
      <c r="AI59">
        <f t="shared" si="64"/>
        <v>0.21203677045850144</v>
      </c>
      <c r="AJ59">
        <f t="shared" si="65"/>
        <v>45.657398416989814</v>
      </c>
      <c r="AK59">
        <f t="array" ref="AK59">+S59*テーブル2[[#This Row],[F_form]]/(E59*CpFromTP((テーブル2[[#This Row],[Tin]]+テーブル2[[#This Row],[Tf]])/2,テーブル2[[#This Row],[P]])*AI59)</f>
        <v>1.9815616798802969</v>
      </c>
      <c r="AL59">
        <f t="shared" si="66"/>
        <v>1.1897427482145444</v>
      </c>
      <c r="AM59">
        <f t="shared" si="67"/>
        <v>612.67292003894966</v>
      </c>
      <c r="AN59">
        <f t="shared" si="68"/>
        <v>4.5667775339097716E-8</v>
      </c>
      <c r="AO59">
        <f t="shared" si="69"/>
        <v>2.9824841030742978E-8</v>
      </c>
      <c r="AP59">
        <v>2.9080198818566751</v>
      </c>
      <c r="AQ59">
        <f t="shared" si="70"/>
        <v>5.2841464669330904E-5</v>
      </c>
      <c r="AR59">
        <f t="shared" si="71"/>
        <v>1.2419015545946497E-5</v>
      </c>
      <c r="AS59">
        <f t="shared" si="72"/>
        <v>22.856144253007475</v>
      </c>
      <c r="AT59">
        <f t="shared" si="73"/>
        <v>12.596099881466007</v>
      </c>
      <c r="AU59">
        <f t="shared" si="74"/>
        <v>2.6708363392387651</v>
      </c>
      <c r="AV59">
        <f t="shared" si="75"/>
        <v>0.23718354261791008</v>
      </c>
      <c r="AW59">
        <f t="shared" si="76"/>
        <v>1.5646368479930721E-2</v>
      </c>
      <c r="AX59">
        <f t="shared" si="77"/>
        <v>0.23718354087630961</v>
      </c>
      <c r="AY59">
        <f t="shared" si="78"/>
        <v>1.7416004749470915E-9</v>
      </c>
      <c r="AZ59">
        <f t="shared" si="79"/>
        <v>1033117.12785038</v>
      </c>
      <c r="BA59">
        <f t="shared" si="80"/>
        <v>1.8170943396574497E-5</v>
      </c>
      <c r="BB59" s="15">
        <f t="shared" si="81"/>
        <v>1038133.6177103469</v>
      </c>
      <c r="BC59" s="20">
        <f t="shared" si="82"/>
        <v>5084.0125540969893</v>
      </c>
      <c r="BD59" s="19">
        <f t="shared" si="83"/>
        <v>0.49213634357161645</v>
      </c>
      <c r="BE59" s="15">
        <v>1183347.055731178</v>
      </c>
      <c r="BF59" s="16">
        <f>テーブル2[[#This Row],[q_P]]/テーブル2[[#This Row],[q_M]]</f>
        <v>0.87728584161549694</v>
      </c>
      <c r="BG59">
        <v>1.363</v>
      </c>
      <c r="BH59">
        <v>-0.19698048897518766</v>
      </c>
      <c r="BI59">
        <v>4.5999999999999999E-2</v>
      </c>
      <c r="BJ59">
        <v>5625</v>
      </c>
      <c r="BK59" s="21">
        <f>1+テーブル2[[#This Row],[A_corr]]*EXP(-テーブル2[[#This Row],[(Tsub-40)^2]]/テーブル2[[#This Row],[σ_corr]])</f>
        <v>1.0365232091638805</v>
      </c>
      <c r="BL59">
        <f>テーブル2[[#This Row],[Ts]]-テーブル2[[#This Row],[Tin]]</f>
        <v>76.022920084617454</v>
      </c>
      <c r="BM59">
        <f>テーブル2[[#This Row],[q_P]]*0.000001</f>
        <v>1.0381336177103468</v>
      </c>
      <c r="BN59">
        <f>テーブル2[[#This Row],[Tsub]]</f>
        <v>76.022920084617454</v>
      </c>
      <c r="BO59">
        <f>テーブル2[[#This Row],[Fcorr]]</f>
        <v>1.0365232091638805</v>
      </c>
      <c r="BP59">
        <f>(テーブル2[[#This Row],[Tsub]]-40)^2</f>
        <v>1297.6507714227355</v>
      </c>
      <c r="BQ59" s="10">
        <v>0.9592297620789777</v>
      </c>
      <c r="BR59" s="33">
        <v>4.2670000000000003</v>
      </c>
    </row>
  </sheetData>
  <phoneticPr fontId="1"/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81307-0BAE-420C-A7CB-852E8F63448B}">
  <sheetPr codeName="ws_Log"/>
  <dimension ref="A1:H1442"/>
  <sheetViews>
    <sheetView workbookViewId="0">
      <selection activeCell="J25" sqref="J25"/>
    </sheetView>
  </sheetViews>
  <sheetFormatPr defaultRowHeight="13.5" x14ac:dyDescent="0.15"/>
  <sheetData>
    <row r="1" spans="1:8" x14ac:dyDescent="0.15">
      <c r="A1" t="s">
        <v>83</v>
      </c>
      <c r="B1" t="s">
        <v>54</v>
      </c>
      <c r="C1" t="s">
        <v>56</v>
      </c>
      <c r="D1" t="s">
        <v>67</v>
      </c>
      <c r="E1" t="s">
        <v>58</v>
      </c>
      <c r="F1" t="s">
        <v>84</v>
      </c>
      <c r="G1" t="s">
        <v>30</v>
      </c>
      <c r="H1" t="s">
        <v>85</v>
      </c>
    </row>
    <row r="2" spans="1:8" x14ac:dyDescent="0.15">
      <c r="A2">
        <v>2</v>
      </c>
      <c r="B2">
        <v>1</v>
      </c>
      <c r="C2">
        <v>6050000</v>
      </c>
      <c r="D2">
        <v>10299410006809.086</v>
      </c>
      <c r="E2">
        <v>1.2576908448690235E-2</v>
      </c>
      <c r="F2">
        <v>1.5632156766115513E-5</v>
      </c>
      <c r="G2">
        <v>1.256127629192412E-2</v>
      </c>
      <c r="H2" t="b">
        <v>0</v>
      </c>
    </row>
    <row r="3" spans="1:8" x14ac:dyDescent="0.15">
      <c r="A3">
        <v>2</v>
      </c>
      <c r="B3">
        <v>2</v>
      </c>
      <c r="C3">
        <v>3075000</v>
      </c>
      <c r="D3">
        <v>894180207.26041007</v>
      </c>
      <c r="E3">
        <v>2.4954903066466606E-5</v>
      </c>
      <c r="F3">
        <v>1.5632156766116078E-5</v>
      </c>
      <c r="G3">
        <v>9.322746300350528E-6</v>
      </c>
      <c r="H3" t="b">
        <v>0</v>
      </c>
    </row>
    <row r="4" spans="1:8" x14ac:dyDescent="0.15">
      <c r="A4">
        <v>2</v>
      </c>
      <c r="B4">
        <v>3</v>
      </c>
      <c r="C4">
        <v>1587500</v>
      </c>
      <c r="D4">
        <v>-58354.593549169927</v>
      </c>
      <c r="E4">
        <v>-2.8804640589977384E-6</v>
      </c>
      <c r="F4">
        <v>1.5632156766116078E-5</v>
      </c>
      <c r="G4">
        <v>-1.8512620825113816E-5</v>
      </c>
      <c r="H4" t="b">
        <v>1</v>
      </c>
    </row>
    <row r="5" spans="1:8" x14ac:dyDescent="0.15">
      <c r="A5">
        <v>2</v>
      </c>
      <c r="B5">
        <v>4</v>
      </c>
      <c r="C5">
        <v>2331250</v>
      </c>
      <c r="D5">
        <v>-437363.14829507924</v>
      </c>
      <c r="E5">
        <v>3.4610108695687605E-6</v>
      </c>
      <c r="F5">
        <v>1.5632156766116078E-5</v>
      </c>
      <c r="G5">
        <v>-1.2171145896547318E-5</v>
      </c>
      <c r="H5" t="b">
        <v>1</v>
      </c>
    </row>
    <row r="6" spans="1:8" x14ac:dyDescent="0.15">
      <c r="A6">
        <v>2</v>
      </c>
      <c r="B6">
        <v>5</v>
      </c>
      <c r="C6">
        <v>2703125</v>
      </c>
      <c r="D6">
        <v>-17071989.940909252</v>
      </c>
      <c r="E6">
        <v>8.6508463013563463E-6</v>
      </c>
      <c r="F6">
        <v>1.5632156766116078E-5</v>
      </c>
      <c r="G6">
        <v>-6.981310464759732E-6</v>
      </c>
      <c r="H6" t="b">
        <v>1</v>
      </c>
    </row>
    <row r="7" spans="1:8" x14ac:dyDescent="0.15">
      <c r="A7">
        <v>2</v>
      </c>
      <c r="B7">
        <v>6</v>
      </c>
      <c r="C7">
        <v>2889062.5</v>
      </c>
      <c r="D7">
        <v>-79045568.063325047</v>
      </c>
      <c r="E7">
        <v>1.2772650889319416E-5</v>
      </c>
      <c r="F7">
        <v>1.5632156766116078E-5</v>
      </c>
      <c r="G7">
        <v>-2.8595058767966625E-6</v>
      </c>
      <c r="H7" t="b">
        <v>1</v>
      </c>
    </row>
    <row r="8" spans="1:8" x14ac:dyDescent="0.15">
      <c r="A8">
        <v>2</v>
      </c>
      <c r="B8">
        <v>7</v>
      </c>
      <c r="C8">
        <v>2982031.25</v>
      </c>
      <c r="D8">
        <v>121443673.97780092</v>
      </c>
      <c r="E8">
        <v>1.7600743185468536E-5</v>
      </c>
      <c r="F8">
        <v>1.5632156766116078E-5</v>
      </c>
      <c r="G8">
        <v>1.9685864193524581E-6</v>
      </c>
      <c r="H8" t="b">
        <v>0</v>
      </c>
    </row>
    <row r="9" spans="1:8" x14ac:dyDescent="0.15">
      <c r="A9">
        <v>2</v>
      </c>
      <c r="B9">
        <v>8</v>
      </c>
      <c r="C9">
        <v>2935546.875</v>
      </c>
      <c r="D9">
        <v>-40125276.224390924</v>
      </c>
      <c r="E9">
        <v>1.4662788466416109E-5</v>
      </c>
      <c r="F9">
        <v>1.5632156766116078E-5</v>
      </c>
      <c r="G9">
        <v>-9.6936829969996926E-7</v>
      </c>
      <c r="H9" t="b">
        <v>1</v>
      </c>
    </row>
    <row r="10" spans="1:8" x14ac:dyDescent="0.15">
      <c r="A10">
        <v>2</v>
      </c>
      <c r="B10">
        <v>9</v>
      </c>
      <c r="C10">
        <v>2958789.0625</v>
      </c>
      <c r="D10">
        <v>22735325.819458283</v>
      </c>
      <c r="E10">
        <v>1.6075052354526795E-5</v>
      </c>
      <c r="F10">
        <v>1.5632156766116078E-5</v>
      </c>
      <c r="G10">
        <v>4.4289558841071708E-7</v>
      </c>
      <c r="H10" t="b">
        <v>0</v>
      </c>
    </row>
    <row r="11" spans="1:8" x14ac:dyDescent="0.15">
      <c r="A11">
        <v>2</v>
      </c>
      <c r="B11">
        <v>10</v>
      </c>
      <c r="C11">
        <v>2947167.96875</v>
      </c>
      <c r="D11">
        <v>-12826049.354682814</v>
      </c>
      <c r="E11">
        <v>1.5355182780902845E-5</v>
      </c>
      <c r="F11">
        <v>1.5632156766116078E-5</v>
      </c>
      <c r="G11">
        <v>-2.769739852132338E-7</v>
      </c>
      <c r="H11" t="b">
        <v>1</v>
      </c>
    </row>
    <row r="12" spans="1:8" x14ac:dyDescent="0.15">
      <c r="A12">
        <v>2</v>
      </c>
      <c r="B12">
        <v>11</v>
      </c>
      <c r="C12">
        <v>2952978.515625</v>
      </c>
      <c r="D12">
        <v>3878768.6076660692</v>
      </c>
      <c r="E12">
        <v>1.5711628054182201E-5</v>
      </c>
      <c r="F12">
        <v>1.5632156766116078E-5</v>
      </c>
      <c r="G12">
        <v>7.9471288066122644E-8</v>
      </c>
      <c r="H12" t="b">
        <v>0</v>
      </c>
    </row>
    <row r="13" spans="1:8" x14ac:dyDescent="0.15">
      <c r="A13">
        <v>2</v>
      </c>
      <c r="B13">
        <v>12</v>
      </c>
      <c r="C13">
        <v>2950073.2421875</v>
      </c>
      <c r="D13">
        <v>-4737211.7957645236</v>
      </c>
      <c r="E13">
        <v>1.5532539369809076E-5</v>
      </c>
      <c r="F13">
        <v>1.5632156766116078E-5</v>
      </c>
      <c r="G13">
        <v>-9.9617396307001869E-8</v>
      </c>
      <c r="H13" t="b">
        <v>1</v>
      </c>
    </row>
    <row r="14" spans="1:8" x14ac:dyDescent="0.15">
      <c r="A14">
        <v>2</v>
      </c>
      <c r="B14">
        <v>13</v>
      </c>
      <c r="C14">
        <v>2951525.87890625</v>
      </c>
      <c r="D14">
        <v>-495711.06823511486</v>
      </c>
      <c r="E14">
        <v>1.562186798823004E-5</v>
      </c>
      <c r="F14">
        <v>1.5632156766116078E-5</v>
      </c>
      <c r="G14">
        <v>-1.0288777886038793E-8</v>
      </c>
      <c r="H14" t="b">
        <v>1</v>
      </c>
    </row>
    <row r="15" spans="1:8" x14ac:dyDescent="0.15">
      <c r="A15">
        <v>2</v>
      </c>
      <c r="B15">
        <v>14</v>
      </c>
      <c r="C15">
        <v>2952025.87890625</v>
      </c>
      <c r="D15">
        <v>994925.13316692226</v>
      </c>
      <c r="E15">
        <v>1.5652714963644066E-5</v>
      </c>
      <c r="F15">
        <v>1.5632156766116078E-5</v>
      </c>
      <c r="G15">
        <v>2.0558197527987973E-8</v>
      </c>
      <c r="H15" t="b">
        <v>0</v>
      </c>
    </row>
    <row r="16" spans="1:8" x14ac:dyDescent="0.15">
      <c r="A16">
        <v>2</v>
      </c>
      <c r="B16">
        <v>15</v>
      </c>
      <c r="C16">
        <v>2952625.87890625</v>
      </c>
      <c r="D16">
        <v>2804584.4773758771</v>
      </c>
      <c r="E16">
        <v>1.5689799363849468E-5</v>
      </c>
      <c r="F16">
        <v>1.5632156766116078E-5</v>
      </c>
      <c r="G16">
        <v>5.7642597733389425E-8</v>
      </c>
      <c r="H16" t="b">
        <v>0</v>
      </c>
    </row>
    <row r="17" spans="1:8" x14ac:dyDescent="0.15">
      <c r="A17">
        <v>2</v>
      </c>
      <c r="B17">
        <v>16</v>
      </c>
      <c r="C17">
        <v>2953345.87890625</v>
      </c>
      <c r="D17">
        <v>5006317.7161738249</v>
      </c>
      <c r="E17">
        <v>1.5734397248037042E-5</v>
      </c>
      <c r="F17">
        <v>1.5632156766116078E-5</v>
      </c>
      <c r="G17">
        <v>1.0224048192096393E-7</v>
      </c>
      <c r="H17" t="b">
        <v>0</v>
      </c>
    </row>
    <row r="18" spans="1:8" x14ac:dyDescent="0.15">
      <c r="A18">
        <v>2</v>
      </c>
      <c r="B18">
        <v>17</v>
      </c>
      <c r="C18">
        <v>2952985.87890625</v>
      </c>
      <c r="D18">
        <v>3901284.2098681638</v>
      </c>
      <c r="E18">
        <v>1.571208415670812E-5</v>
      </c>
      <c r="F18">
        <v>1.5632156766116078E-5</v>
      </c>
      <c r="G18">
        <v>7.992739059204163E-8</v>
      </c>
      <c r="H18" t="b">
        <v>0</v>
      </c>
    </row>
    <row r="19" spans="1:8" x14ac:dyDescent="0.15">
      <c r="A19">
        <v>2</v>
      </c>
      <c r="B19">
        <v>18</v>
      </c>
      <c r="C19">
        <v>2952553.87890625</v>
      </c>
      <c r="D19">
        <v>2586218.8748813746</v>
      </c>
      <c r="E19">
        <v>1.5685345313692743E-5</v>
      </c>
      <c r="F19">
        <v>1.5632156766116078E-5</v>
      </c>
      <c r="G19">
        <v>5.3188547576664939E-8</v>
      </c>
      <c r="H19" t="b">
        <v>0</v>
      </c>
    </row>
    <row r="20" spans="1:8" x14ac:dyDescent="0.15">
      <c r="A20">
        <v>2</v>
      </c>
      <c r="B20">
        <v>19</v>
      </c>
      <c r="C20">
        <v>2952769.87890625</v>
      </c>
      <c r="D20">
        <v>3242304.5082303388</v>
      </c>
      <c r="E20">
        <v>1.5698710675327659E-5</v>
      </c>
      <c r="F20">
        <v>1.5632156766116078E-5</v>
      </c>
      <c r="G20">
        <v>6.6553909211581117E-8</v>
      </c>
      <c r="H20" t="b">
        <v>0</v>
      </c>
    </row>
    <row r="21" spans="1:8" x14ac:dyDescent="0.15">
      <c r="A21">
        <v>2</v>
      </c>
      <c r="B21">
        <v>20</v>
      </c>
      <c r="C21">
        <v>2952661.87890625</v>
      </c>
      <c r="D21">
        <v>2913816.4932654514</v>
      </c>
      <c r="E21">
        <v>1.5692025275516782E-5</v>
      </c>
      <c r="F21">
        <v>1.5632156766116078E-5</v>
      </c>
      <c r="G21">
        <v>5.9868509400703399E-8</v>
      </c>
      <c r="H21" t="b">
        <v>0</v>
      </c>
    </row>
    <row r="22" spans="1:8" x14ac:dyDescent="0.15">
      <c r="A22">
        <v>2</v>
      </c>
      <c r="B22">
        <v>21</v>
      </c>
      <c r="C22">
        <v>2952715.87890625</v>
      </c>
      <c r="D22">
        <v>3078004.934620474</v>
      </c>
      <c r="E22">
        <v>1.5695368431706287E-5</v>
      </c>
      <c r="F22">
        <v>1.5632156766116078E-5</v>
      </c>
      <c r="G22">
        <v>6.3211665590209116E-8</v>
      </c>
      <c r="H22" t="b">
        <v>0</v>
      </c>
    </row>
    <row r="23" spans="1:8" x14ac:dyDescent="0.15">
      <c r="A23">
        <v>2</v>
      </c>
      <c r="B23">
        <v>22</v>
      </c>
      <c r="C23">
        <v>2952688.87890625</v>
      </c>
      <c r="D23">
        <v>2995850.3093270352</v>
      </c>
      <c r="E23">
        <v>1.5693696020783591E-5</v>
      </c>
      <c r="F23">
        <v>1.5632156766116078E-5</v>
      </c>
      <c r="G23">
        <v>6.1539254667512415E-8</v>
      </c>
      <c r="H23" t="b">
        <v>0</v>
      </c>
    </row>
    <row r="24" spans="1:8" x14ac:dyDescent="0.15">
      <c r="A24">
        <v>2</v>
      </c>
      <c r="B24">
        <v>23</v>
      </c>
      <c r="C24">
        <v>2952656.4789062501</v>
      </c>
      <c r="D24">
        <v>2897489.6418460114</v>
      </c>
      <c r="E24">
        <v>1.5691692659260724E-5</v>
      </c>
      <c r="F24">
        <v>1.5632156766116078E-5</v>
      </c>
      <c r="G24">
        <v>5.9535893144645798E-8</v>
      </c>
      <c r="H24" t="b">
        <v>0</v>
      </c>
    </row>
    <row r="25" spans="1:8" x14ac:dyDescent="0.15">
      <c r="A25">
        <v>2</v>
      </c>
      <c r="B25">
        <v>24</v>
      </c>
      <c r="C25">
        <v>2952672.6789062503</v>
      </c>
      <c r="D25">
        <v>2946698.8317937232</v>
      </c>
      <c r="E25">
        <v>1.569269507039687E-5</v>
      </c>
      <c r="F25">
        <v>1.5632156766116078E-5</v>
      </c>
      <c r="G25">
        <v>6.0538304280791978E-8</v>
      </c>
      <c r="H25" t="b">
        <v>0</v>
      </c>
    </row>
    <row r="26" spans="1:8" x14ac:dyDescent="0.15">
      <c r="A26">
        <v>3</v>
      </c>
      <c r="B26">
        <v>1</v>
      </c>
      <c r="C26">
        <v>6050000</v>
      </c>
      <c r="D26">
        <v>4735432752157.7354</v>
      </c>
      <c r="E26">
        <v>7.4396401307362664E-3</v>
      </c>
      <c r="F26">
        <v>1.7206182179051004E-5</v>
      </c>
      <c r="G26">
        <v>7.4224339485572154E-3</v>
      </c>
      <c r="H26" t="b">
        <v>0</v>
      </c>
    </row>
    <row r="27" spans="1:8" x14ac:dyDescent="0.15">
      <c r="A27">
        <v>3</v>
      </c>
      <c r="B27">
        <v>2</v>
      </c>
      <c r="C27">
        <v>3075000</v>
      </c>
      <c r="D27">
        <v>-88435002.829238296</v>
      </c>
      <c r="E27">
        <v>1.3579121743336342E-5</v>
      </c>
      <c r="F27">
        <v>1.7206182179050892E-5</v>
      </c>
      <c r="G27">
        <v>-3.6270604357145495E-6</v>
      </c>
      <c r="H27" t="b">
        <v>1</v>
      </c>
    </row>
    <row r="28" spans="1:8" x14ac:dyDescent="0.15">
      <c r="A28">
        <v>3</v>
      </c>
      <c r="B28">
        <v>3</v>
      </c>
      <c r="C28">
        <v>4562500</v>
      </c>
      <c r="D28">
        <v>233798554302.21622</v>
      </c>
      <c r="E28">
        <v>7.1191409209573058E-4</v>
      </c>
      <c r="F28">
        <v>1.7206182179050895E-5</v>
      </c>
      <c r="G28">
        <v>6.9470790991667968E-4</v>
      </c>
      <c r="H28" t="b">
        <v>0</v>
      </c>
    </row>
    <row r="29" spans="1:8" x14ac:dyDescent="0.15">
      <c r="A29">
        <v>3</v>
      </c>
      <c r="B29">
        <v>4</v>
      </c>
      <c r="C29">
        <v>3818750</v>
      </c>
      <c r="D29">
        <v>23323723848.44931</v>
      </c>
      <c r="E29">
        <v>1.3805331722423436E-4</v>
      </c>
      <c r="F29">
        <v>1.7206182179050895E-5</v>
      </c>
      <c r="G29">
        <v>1.2084713504518347E-4</v>
      </c>
      <c r="H29" t="b">
        <v>0</v>
      </c>
    </row>
    <row r="30" spans="1:8" x14ac:dyDescent="0.15">
      <c r="A30">
        <v>3</v>
      </c>
      <c r="B30">
        <v>5</v>
      </c>
      <c r="C30">
        <v>3446875</v>
      </c>
      <c r="D30">
        <v>3827422241.9720602</v>
      </c>
      <c r="E30">
        <v>4.8428592978175539E-5</v>
      </c>
      <c r="F30">
        <v>1.7206182179050888E-5</v>
      </c>
      <c r="G30">
        <v>3.122241079912465E-5</v>
      </c>
      <c r="H30" t="b">
        <v>0</v>
      </c>
    </row>
    <row r="31" spans="1:8" x14ac:dyDescent="0.15">
      <c r="A31">
        <v>3</v>
      </c>
      <c r="B31">
        <v>6</v>
      </c>
      <c r="C31">
        <v>3260937.5</v>
      </c>
      <c r="D31">
        <v>798444666.47717309</v>
      </c>
      <c r="E31">
        <v>2.6447386207481471E-5</v>
      </c>
      <c r="F31">
        <v>1.7206182179050892E-5</v>
      </c>
      <c r="G31">
        <v>9.2412040284305794E-6</v>
      </c>
      <c r="H31" t="b">
        <v>0</v>
      </c>
    </row>
    <row r="32" spans="1:8" x14ac:dyDescent="0.15">
      <c r="A32">
        <v>3</v>
      </c>
      <c r="B32">
        <v>7</v>
      </c>
      <c r="C32">
        <v>3167968.75</v>
      </c>
      <c r="D32">
        <v>107884266.6852579</v>
      </c>
      <c r="E32">
        <v>1.9067187051001132E-5</v>
      </c>
      <c r="F32">
        <v>1.7206182179050892E-5</v>
      </c>
      <c r="G32">
        <v>1.8610048719502397E-6</v>
      </c>
      <c r="H32" t="b">
        <v>0</v>
      </c>
    </row>
    <row r="33" spans="1:8" x14ac:dyDescent="0.15">
      <c r="A33">
        <v>3</v>
      </c>
      <c r="B33">
        <v>8</v>
      </c>
      <c r="C33">
        <v>3121484.375</v>
      </c>
      <c r="D33">
        <v>-45274132.121617511</v>
      </c>
      <c r="E33">
        <v>1.6079877729385399E-5</v>
      </c>
      <c r="F33">
        <v>1.7206182179050892E-5</v>
      </c>
      <c r="G33">
        <v>-1.1263044496654927E-6</v>
      </c>
      <c r="H33" t="b">
        <v>1</v>
      </c>
    </row>
    <row r="34" spans="1:8" x14ac:dyDescent="0.15">
      <c r="A34">
        <v>3</v>
      </c>
      <c r="B34">
        <v>9</v>
      </c>
      <c r="C34">
        <v>3144726.5625</v>
      </c>
      <c r="D34">
        <v>15354152.579609307</v>
      </c>
      <c r="E34">
        <v>1.7519973456560216E-5</v>
      </c>
      <c r="F34">
        <v>1.7206182179050892E-5</v>
      </c>
      <c r="G34">
        <v>3.1379127750932417E-7</v>
      </c>
      <c r="H34" t="b">
        <v>0</v>
      </c>
    </row>
    <row r="35" spans="1:8" x14ac:dyDescent="0.15">
      <c r="A35">
        <v>3</v>
      </c>
      <c r="B35">
        <v>10</v>
      </c>
      <c r="C35">
        <v>3133105.46875</v>
      </c>
      <c r="D35">
        <v>-18667056.597234648</v>
      </c>
      <c r="E35">
        <v>1.6786919129671446E-5</v>
      </c>
      <c r="F35">
        <v>1.7206182179050892E-5</v>
      </c>
      <c r="G35">
        <v>-4.1926304937944583E-7</v>
      </c>
      <c r="H35" t="b">
        <v>1</v>
      </c>
    </row>
    <row r="36" spans="1:8" x14ac:dyDescent="0.15">
      <c r="A36">
        <v>3</v>
      </c>
      <c r="B36">
        <v>11</v>
      </c>
      <c r="C36">
        <v>3138916.015625</v>
      </c>
      <c r="D36">
        <v>-2617774.3292735671</v>
      </c>
      <c r="E36">
        <v>1.715014803932167E-5</v>
      </c>
      <c r="F36">
        <v>1.7206182179050892E-5</v>
      </c>
      <c r="G36">
        <v>-5.6034139729221926E-8</v>
      </c>
      <c r="H36" t="b">
        <v>1</v>
      </c>
    </row>
    <row r="37" spans="1:8" x14ac:dyDescent="0.15">
      <c r="A37">
        <v>3</v>
      </c>
      <c r="B37">
        <v>12</v>
      </c>
      <c r="C37">
        <v>3141821.2890625</v>
      </c>
      <c r="D37">
        <v>6123452.6579542626</v>
      </c>
      <c r="E37">
        <v>1.7334229283774232E-5</v>
      </c>
      <c r="F37">
        <v>1.7206182179050892E-5</v>
      </c>
      <c r="G37">
        <v>1.2804710472333995E-7</v>
      </c>
      <c r="H37" t="b">
        <v>0</v>
      </c>
    </row>
    <row r="38" spans="1:8" x14ac:dyDescent="0.15">
      <c r="A38">
        <v>3</v>
      </c>
      <c r="B38">
        <v>13</v>
      </c>
      <c r="C38">
        <v>3140368.65234375</v>
      </c>
      <c r="D38">
        <v>1692248.3307318422</v>
      </c>
      <c r="E38">
        <v>1.7241982503166389E-5</v>
      </c>
      <c r="F38">
        <v>1.7206182179050892E-5</v>
      </c>
      <c r="G38">
        <v>3.5800324115497654E-8</v>
      </c>
      <c r="H38" t="b">
        <v>0</v>
      </c>
    </row>
    <row r="39" spans="1:8" x14ac:dyDescent="0.15">
      <c r="A39">
        <v>3</v>
      </c>
      <c r="B39">
        <v>14</v>
      </c>
      <c r="C39">
        <v>3140868.65234375</v>
      </c>
      <c r="D39">
        <v>3203761.4334808802</v>
      </c>
      <c r="E39">
        <v>1.7273687745822679E-5</v>
      </c>
      <c r="F39">
        <v>1.7206182179050892E-5</v>
      </c>
      <c r="G39">
        <v>6.7505566771787473E-8</v>
      </c>
      <c r="H39" t="b">
        <v>0</v>
      </c>
    </row>
    <row r="40" spans="1:8" x14ac:dyDescent="0.15">
      <c r="A40">
        <v>3</v>
      </c>
      <c r="B40">
        <v>15</v>
      </c>
      <c r="C40">
        <v>3140618.65234375</v>
      </c>
      <c r="D40">
        <v>2446206.3719036197</v>
      </c>
      <c r="E40">
        <v>1.7257828991730064E-5</v>
      </c>
      <c r="F40">
        <v>1.7206182179050892E-5</v>
      </c>
      <c r="G40">
        <v>5.1646812679171815E-8</v>
      </c>
      <c r="H40" t="b">
        <v>0</v>
      </c>
    </row>
    <row r="41" spans="1:8" x14ac:dyDescent="0.15">
      <c r="A41">
        <v>3</v>
      </c>
      <c r="B41">
        <v>16</v>
      </c>
      <c r="C41">
        <v>3140743.65234375</v>
      </c>
      <c r="D41">
        <v>2824533.9271000382</v>
      </c>
      <c r="E41">
        <v>1.7265756835109118E-5</v>
      </c>
      <c r="F41">
        <v>1.7206182179050892E-5</v>
      </c>
      <c r="G41">
        <v>5.9574656058226526E-8</v>
      </c>
      <c r="H41" t="b">
        <v>0</v>
      </c>
    </row>
    <row r="42" spans="1:8" x14ac:dyDescent="0.15">
      <c r="A42">
        <v>3</v>
      </c>
      <c r="B42">
        <v>17</v>
      </c>
      <c r="C42">
        <v>3140893.65234375</v>
      </c>
      <c r="D42">
        <v>3279641.4557197713</v>
      </c>
      <c r="E42">
        <v>1.7275272760414905E-5</v>
      </c>
      <c r="F42">
        <v>1.7206182179050892E-5</v>
      </c>
      <c r="G42">
        <v>6.9090581364012762E-8</v>
      </c>
      <c r="H42" t="b">
        <v>0</v>
      </c>
    </row>
    <row r="43" spans="1:8" x14ac:dyDescent="0.15">
      <c r="A43">
        <v>3</v>
      </c>
      <c r="B43">
        <v>18</v>
      </c>
      <c r="C43">
        <v>3140818.65234375</v>
      </c>
      <c r="D43">
        <v>3051888.9675583411</v>
      </c>
      <c r="E43">
        <v>1.7270513478146367E-5</v>
      </c>
      <c r="F43">
        <v>1.7206182179050892E-5</v>
      </c>
      <c r="G43">
        <v>6.4331299095475537E-8</v>
      </c>
      <c r="H43" t="b">
        <v>0</v>
      </c>
    </row>
    <row r="44" spans="1:8" x14ac:dyDescent="0.15">
      <c r="A44">
        <v>3</v>
      </c>
      <c r="B44">
        <v>19</v>
      </c>
      <c r="C44">
        <v>3140856.15234375</v>
      </c>
      <c r="D44">
        <v>3165724.6856122804</v>
      </c>
      <c r="E44">
        <v>1.7272892981211345E-5</v>
      </c>
      <c r="F44">
        <v>1.7206182179050892E-5</v>
      </c>
      <c r="G44">
        <v>6.6710802160453177E-8</v>
      </c>
      <c r="H44" t="b">
        <v>0</v>
      </c>
    </row>
    <row r="45" spans="1:8" x14ac:dyDescent="0.15">
      <c r="A45">
        <v>4</v>
      </c>
      <c r="B45">
        <v>1</v>
      </c>
      <c r="C45">
        <v>6050000</v>
      </c>
      <c r="D45">
        <v>436856183067.57654</v>
      </c>
      <c r="E45">
        <v>7.9056672245874315E-4</v>
      </c>
      <c r="F45">
        <v>1.111238581358808E-5</v>
      </c>
      <c r="G45">
        <v>7.7945433664515507E-4</v>
      </c>
      <c r="H45" t="b">
        <v>0</v>
      </c>
    </row>
    <row r="46" spans="1:8" x14ac:dyDescent="0.15">
      <c r="A46">
        <v>4</v>
      </c>
      <c r="B46">
        <v>2</v>
      </c>
      <c r="C46">
        <v>3075000</v>
      </c>
      <c r="D46">
        <v>-4077355.3877721853</v>
      </c>
      <c r="E46">
        <v>5.0382126872951879E-6</v>
      </c>
      <c r="F46">
        <v>1.1112385813588112E-5</v>
      </c>
      <c r="G46">
        <v>-6.0741731262929238E-6</v>
      </c>
      <c r="H46" t="b">
        <v>1</v>
      </c>
    </row>
    <row r="47" spans="1:8" x14ac:dyDescent="0.15">
      <c r="A47">
        <v>4</v>
      </c>
      <c r="B47">
        <v>3</v>
      </c>
      <c r="C47">
        <v>4562500</v>
      </c>
      <c r="D47">
        <v>20341950400.358017</v>
      </c>
      <c r="E47">
        <v>8.863656288420593E-5</v>
      </c>
      <c r="F47">
        <v>1.1112385813588107E-5</v>
      </c>
      <c r="G47">
        <v>7.7524177070617824E-5</v>
      </c>
      <c r="H47" t="b">
        <v>0</v>
      </c>
    </row>
    <row r="48" spans="1:8" x14ac:dyDescent="0.15">
      <c r="A48">
        <v>4</v>
      </c>
      <c r="B48">
        <v>4</v>
      </c>
      <c r="C48">
        <v>3818750</v>
      </c>
      <c r="D48">
        <v>620334392.49087965</v>
      </c>
      <c r="E48">
        <v>1.714379472045766E-5</v>
      </c>
      <c r="F48">
        <v>1.1112385813588112E-5</v>
      </c>
      <c r="G48">
        <v>6.0314089068695482E-6</v>
      </c>
      <c r="H48" t="b">
        <v>0</v>
      </c>
    </row>
    <row r="49" spans="1:8" x14ac:dyDescent="0.15">
      <c r="A49">
        <v>4</v>
      </c>
      <c r="B49">
        <v>5</v>
      </c>
      <c r="C49">
        <v>3446875</v>
      </c>
      <c r="D49">
        <v>-46766330.372768998</v>
      </c>
      <c r="E49">
        <v>9.0752795658715584E-6</v>
      </c>
      <c r="F49">
        <v>1.1112385813588112E-5</v>
      </c>
      <c r="G49">
        <v>-2.0371062477165533E-6</v>
      </c>
      <c r="H49" t="b">
        <v>1</v>
      </c>
    </row>
    <row r="50" spans="1:8" x14ac:dyDescent="0.15">
      <c r="A50">
        <v>4</v>
      </c>
      <c r="B50">
        <v>6</v>
      </c>
      <c r="C50">
        <v>3632812.5</v>
      </c>
      <c r="D50">
        <v>34251425.053405762</v>
      </c>
      <c r="E50">
        <v>1.178447895498638E-5</v>
      </c>
      <c r="F50">
        <v>1.1112385813588112E-5</v>
      </c>
      <c r="G50">
        <v>6.7209314139826842E-7</v>
      </c>
      <c r="H50" t="b">
        <v>0</v>
      </c>
    </row>
    <row r="51" spans="1:8" x14ac:dyDescent="0.15">
      <c r="A51">
        <v>4</v>
      </c>
      <c r="B51">
        <v>7</v>
      </c>
      <c r="C51">
        <v>3539843.75</v>
      </c>
      <c r="D51">
        <v>-26950880.541381739</v>
      </c>
      <c r="E51">
        <v>1.0370419204800495E-5</v>
      </c>
      <c r="F51">
        <v>1.1112385813588112E-5</v>
      </c>
      <c r="G51">
        <v>-7.4196660878761681E-7</v>
      </c>
      <c r="H51" t="b">
        <v>1</v>
      </c>
    </row>
    <row r="52" spans="1:8" x14ac:dyDescent="0.15">
      <c r="A52">
        <v>4</v>
      </c>
      <c r="B52">
        <v>8</v>
      </c>
      <c r="C52">
        <v>3586328.125</v>
      </c>
      <c r="D52">
        <v>-2203515.1533241817</v>
      </c>
      <c r="E52">
        <v>1.1061735963554881E-5</v>
      </c>
      <c r="F52">
        <v>1.1112385813588112E-5</v>
      </c>
      <c r="G52">
        <v>-5.0649850033230987E-8</v>
      </c>
      <c r="H52" t="b">
        <v>1</v>
      </c>
    </row>
    <row r="53" spans="1:8" x14ac:dyDescent="0.15">
      <c r="A53">
        <v>4</v>
      </c>
      <c r="B53">
        <v>9</v>
      </c>
      <c r="C53">
        <v>3609570.3125</v>
      </c>
      <c r="D53">
        <v>14479728.382724833</v>
      </c>
      <c r="E53">
        <v>1.141914850774676E-5</v>
      </c>
      <c r="F53">
        <v>1.1112385813588112E-5</v>
      </c>
      <c r="G53">
        <v>3.0676269415864817E-7</v>
      </c>
      <c r="H53" t="b">
        <v>0</v>
      </c>
    </row>
    <row r="54" spans="1:8" x14ac:dyDescent="0.15">
      <c r="A54">
        <v>4</v>
      </c>
      <c r="B54">
        <v>10</v>
      </c>
      <c r="C54">
        <v>3597949.21875</v>
      </c>
      <c r="D54">
        <v>5762022.8795338869</v>
      </c>
      <c r="E54">
        <v>1.1239456483909705E-5</v>
      </c>
      <c r="F54">
        <v>1.1112385813588112E-5</v>
      </c>
      <c r="G54">
        <v>1.2707067032159356E-7</v>
      </c>
      <c r="H54" t="b">
        <v>0</v>
      </c>
    </row>
    <row r="55" spans="1:8" x14ac:dyDescent="0.15">
      <c r="A55">
        <v>4</v>
      </c>
      <c r="B55">
        <v>11</v>
      </c>
      <c r="C55">
        <v>3592138.671875</v>
      </c>
      <c r="D55">
        <v>1686473.9606239265</v>
      </c>
      <c r="E55">
        <v>1.1150349935004212E-5</v>
      </c>
      <c r="F55">
        <v>1.1112385813588112E-5</v>
      </c>
      <c r="G55">
        <v>3.796412141609993E-8</v>
      </c>
      <c r="H55" t="b">
        <v>0</v>
      </c>
    </row>
    <row r="56" spans="1:8" x14ac:dyDescent="0.15">
      <c r="A56">
        <v>4</v>
      </c>
      <c r="B56">
        <v>12</v>
      </c>
      <c r="C56">
        <v>3595043.9453125</v>
      </c>
      <c r="D56">
        <v>3700911.1353605329</v>
      </c>
      <c r="E56">
        <v>1.1194841913950084E-5</v>
      </c>
      <c r="F56">
        <v>1.1112385813588112E-5</v>
      </c>
      <c r="G56">
        <v>8.2456100361971959E-8</v>
      </c>
      <c r="H56" t="b">
        <v>0</v>
      </c>
    </row>
    <row r="57" spans="1:8" x14ac:dyDescent="0.15">
      <c r="A57">
        <v>4</v>
      </c>
      <c r="B57">
        <v>13</v>
      </c>
      <c r="C57">
        <v>3593591.30859375</v>
      </c>
      <c r="D57">
        <v>2687862.004018812</v>
      </c>
      <c r="E57">
        <v>1.1172580259401437E-5</v>
      </c>
      <c r="F57">
        <v>1.1112385813588112E-5</v>
      </c>
      <c r="G57">
        <v>6.0194445813325207E-8</v>
      </c>
      <c r="H57" t="b">
        <v>0</v>
      </c>
    </row>
    <row r="58" spans="1:8" x14ac:dyDescent="0.15">
      <c r="A58">
        <v>4</v>
      </c>
      <c r="B58">
        <v>14</v>
      </c>
      <c r="C58">
        <v>3594091.30859375</v>
      </c>
      <c r="D58">
        <v>3035231.3157929191</v>
      </c>
      <c r="E58">
        <v>1.1180239094703112E-5</v>
      </c>
      <c r="F58">
        <v>1.1112385813588112E-5</v>
      </c>
      <c r="G58">
        <v>6.7853281115000028E-8</v>
      </c>
      <c r="H58" t="b">
        <v>0</v>
      </c>
    </row>
    <row r="59" spans="1:8" x14ac:dyDescent="0.15">
      <c r="A59">
        <v>4</v>
      </c>
      <c r="B59">
        <v>15</v>
      </c>
      <c r="C59">
        <v>3594691.30859375</v>
      </c>
      <c r="D59">
        <v>3453896.3677585907</v>
      </c>
      <c r="E59">
        <v>1.1189434509595214E-5</v>
      </c>
      <c r="F59">
        <v>1.1112385813588112E-5</v>
      </c>
      <c r="G59">
        <v>7.7048696007102265E-8</v>
      </c>
      <c r="H59" t="b">
        <v>0</v>
      </c>
    </row>
    <row r="60" spans="1:8" x14ac:dyDescent="0.15">
      <c r="A60">
        <v>4</v>
      </c>
      <c r="B60">
        <v>16</v>
      </c>
      <c r="C60">
        <v>3595411.30859375</v>
      </c>
      <c r="D60">
        <v>3958946.999183042</v>
      </c>
      <c r="E60">
        <v>1.1200476492130593E-5</v>
      </c>
      <c r="F60">
        <v>1.1112385813588112E-5</v>
      </c>
      <c r="G60">
        <v>8.8090678542480889E-8</v>
      </c>
      <c r="H60" t="b">
        <v>0</v>
      </c>
    </row>
    <row r="61" spans="1:8" x14ac:dyDescent="0.15">
      <c r="A61">
        <v>4</v>
      </c>
      <c r="B61">
        <v>17</v>
      </c>
      <c r="C61">
        <v>3595051.30859375</v>
      </c>
      <c r="D61">
        <v>3706050.4796391246</v>
      </c>
      <c r="E61">
        <v>1.1194954278963677E-5</v>
      </c>
      <c r="F61">
        <v>1.1112385813588112E-5</v>
      </c>
      <c r="G61">
        <v>8.2568465375565218E-8</v>
      </c>
      <c r="H61" t="b">
        <v>0</v>
      </c>
    </row>
    <row r="62" spans="1:8" x14ac:dyDescent="0.15">
      <c r="A62">
        <v>4</v>
      </c>
      <c r="B62">
        <v>18</v>
      </c>
      <c r="C62">
        <v>3594619.30859375</v>
      </c>
      <c r="D62">
        <v>3403551.5377642522</v>
      </c>
      <c r="E62">
        <v>1.1188330782574106E-5</v>
      </c>
      <c r="F62">
        <v>1.1112385813588112E-5</v>
      </c>
      <c r="G62">
        <v>7.5944968985993837E-8</v>
      </c>
      <c r="H62" t="b">
        <v>0</v>
      </c>
    </row>
    <row r="63" spans="1:8" x14ac:dyDescent="0.15">
      <c r="A63">
        <v>4</v>
      </c>
      <c r="B63">
        <v>19</v>
      </c>
      <c r="C63">
        <v>3594835.30859375</v>
      </c>
      <c r="D63">
        <v>3554672.0057604406</v>
      </c>
      <c r="E63">
        <v>1.119164219048436E-5</v>
      </c>
      <c r="F63">
        <v>1.1112385813588112E-5</v>
      </c>
      <c r="G63">
        <v>7.9256376896248492E-8</v>
      </c>
      <c r="H63" t="b">
        <v>0</v>
      </c>
    </row>
    <row r="64" spans="1:8" x14ac:dyDescent="0.15">
      <c r="A64">
        <v>4</v>
      </c>
      <c r="B64">
        <v>20</v>
      </c>
      <c r="C64">
        <v>3595094.5085937502</v>
      </c>
      <c r="D64">
        <v>3736382.443211996</v>
      </c>
      <c r="E64">
        <v>1.119561733123189E-5</v>
      </c>
      <c r="F64">
        <v>1.1112385813588112E-5</v>
      </c>
      <c r="G64">
        <v>8.3231517643778268E-8</v>
      </c>
      <c r="H64" t="b">
        <v>0</v>
      </c>
    </row>
    <row r="65" spans="1:8" x14ac:dyDescent="0.15">
      <c r="A65">
        <v>4</v>
      </c>
      <c r="B65">
        <v>21</v>
      </c>
      <c r="C65">
        <v>3594964.9085937501</v>
      </c>
      <c r="D65">
        <v>3645493.3896708139</v>
      </c>
      <c r="E65">
        <v>1.1193629914681576E-5</v>
      </c>
      <c r="F65">
        <v>1.1112385813588112E-5</v>
      </c>
      <c r="G65">
        <v>8.1244101093464109E-8</v>
      </c>
      <c r="H65" t="b">
        <v>0</v>
      </c>
    </row>
    <row r="66" spans="1:8" x14ac:dyDescent="0.15">
      <c r="A66">
        <v>4</v>
      </c>
      <c r="B66">
        <v>22</v>
      </c>
      <c r="C66">
        <v>3594809.3885937501</v>
      </c>
      <c r="D66">
        <v>3536523.9294399428</v>
      </c>
      <c r="E66">
        <v>1.1191244785602102E-5</v>
      </c>
      <c r="F66">
        <v>1.1112385813588112E-5</v>
      </c>
      <c r="G66">
        <v>7.8858972013990479E-8</v>
      </c>
      <c r="H66" t="b">
        <v>0</v>
      </c>
    </row>
    <row r="67" spans="1:8" x14ac:dyDescent="0.15">
      <c r="A67">
        <v>4</v>
      </c>
      <c r="B67">
        <v>23</v>
      </c>
      <c r="C67">
        <v>3594887.1485937499</v>
      </c>
      <c r="D67">
        <v>3591004.5561525184</v>
      </c>
      <c r="E67">
        <v>1.1192437582359479E-5</v>
      </c>
      <c r="F67">
        <v>1.1112385813588112E-5</v>
      </c>
      <c r="G67">
        <v>8.0051768771367322E-8</v>
      </c>
      <c r="H67" t="b">
        <v>0</v>
      </c>
    </row>
    <row r="68" spans="1:8" x14ac:dyDescent="0.15">
      <c r="A68">
        <v>5</v>
      </c>
      <c r="B68">
        <v>1</v>
      </c>
      <c r="C68">
        <v>6050000</v>
      </c>
      <c r="D68">
        <v>670670682577.33789</v>
      </c>
      <c r="E68">
        <v>1.6867431185399635E-3</v>
      </c>
      <c r="F68">
        <v>1.5651596188145499E-5</v>
      </c>
      <c r="G68">
        <v>1.671091522351818E-3</v>
      </c>
      <c r="H68" t="b">
        <v>0</v>
      </c>
    </row>
    <row r="69" spans="1:8" x14ac:dyDescent="0.15">
      <c r="A69">
        <v>5</v>
      </c>
      <c r="B69">
        <v>2</v>
      </c>
      <c r="C69">
        <v>3075000</v>
      </c>
      <c r="D69">
        <v>-26361461.848616116</v>
      </c>
      <c r="E69">
        <v>9.8589784064091726E-6</v>
      </c>
      <c r="F69">
        <v>1.5651596188145608E-5</v>
      </c>
      <c r="G69">
        <v>-5.7926177817364353E-6</v>
      </c>
      <c r="H69" t="b">
        <v>1</v>
      </c>
    </row>
    <row r="70" spans="1:8" x14ac:dyDescent="0.15">
      <c r="A70">
        <v>5</v>
      </c>
      <c r="B70">
        <v>3</v>
      </c>
      <c r="C70">
        <v>4562500</v>
      </c>
      <c r="D70">
        <v>43986253580.575623</v>
      </c>
      <c r="E70">
        <v>2.2361116041031532E-4</v>
      </c>
      <c r="F70">
        <v>1.5651596188145608E-5</v>
      </c>
      <c r="G70">
        <v>2.0795956422216971E-4</v>
      </c>
      <c r="H70" t="b">
        <v>0</v>
      </c>
    </row>
    <row r="71" spans="1:8" x14ac:dyDescent="0.15">
      <c r="A71">
        <v>5</v>
      </c>
      <c r="B71">
        <v>4</v>
      </c>
      <c r="C71">
        <v>3818750</v>
      </c>
      <c r="D71">
        <v>3912484787.7848706</v>
      </c>
      <c r="E71">
        <v>5.0087415442610994E-5</v>
      </c>
      <c r="F71">
        <v>1.5651596188145608E-5</v>
      </c>
      <c r="G71">
        <v>3.4435819254465386E-5</v>
      </c>
      <c r="H71" t="b">
        <v>0</v>
      </c>
    </row>
    <row r="72" spans="1:8" x14ac:dyDescent="0.15">
      <c r="A72">
        <v>5</v>
      </c>
      <c r="B72">
        <v>5</v>
      </c>
      <c r="C72">
        <v>3446875</v>
      </c>
      <c r="D72">
        <v>169290705.06291598</v>
      </c>
      <c r="E72">
        <v>1.8980080024450829E-5</v>
      </c>
      <c r="F72">
        <v>1.5651596188145608E-5</v>
      </c>
      <c r="G72">
        <v>3.3284838363052213E-6</v>
      </c>
      <c r="H72" t="b">
        <v>0</v>
      </c>
    </row>
    <row r="73" spans="1:8" x14ac:dyDescent="0.15">
      <c r="A73">
        <v>5</v>
      </c>
      <c r="B73">
        <v>6</v>
      </c>
      <c r="C73">
        <v>3260937.5</v>
      </c>
      <c r="D73">
        <v>-51633177.64503637</v>
      </c>
      <c r="E73">
        <v>1.3192192696546721E-5</v>
      </c>
      <c r="F73">
        <v>1.5651596188145608E-5</v>
      </c>
      <c r="G73">
        <v>-2.4594034915988868E-6</v>
      </c>
      <c r="H73" t="b">
        <v>1</v>
      </c>
    </row>
    <row r="74" spans="1:8" x14ac:dyDescent="0.15">
      <c r="A74">
        <v>5</v>
      </c>
      <c r="B74">
        <v>7</v>
      </c>
      <c r="C74">
        <v>3353906.25</v>
      </c>
      <c r="D74">
        <v>-16728240.53395809</v>
      </c>
      <c r="E74">
        <v>1.511597192771903E-5</v>
      </c>
      <c r="F74">
        <v>1.5651596188145608E-5</v>
      </c>
      <c r="G74">
        <v>-5.3562426042657757E-7</v>
      </c>
      <c r="H74" t="b">
        <v>1</v>
      </c>
    </row>
    <row r="75" spans="1:8" x14ac:dyDescent="0.15">
      <c r="A75">
        <v>5</v>
      </c>
      <c r="B75">
        <v>8</v>
      </c>
      <c r="C75">
        <v>3400390.625</v>
      </c>
      <c r="D75">
        <v>35951463.707067847</v>
      </c>
      <c r="E75">
        <v>1.6577418433332963E-5</v>
      </c>
      <c r="F75">
        <v>1.5651596188145608E-5</v>
      </c>
      <c r="G75">
        <v>9.2582224518735501E-7</v>
      </c>
      <c r="H75" t="b">
        <v>0</v>
      </c>
    </row>
    <row r="76" spans="1:8" x14ac:dyDescent="0.15">
      <c r="A76">
        <v>5</v>
      </c>
      <c r="B76">
        <v>9</v>
      </c>
      <c r="C76">
        <v>3377148.4375</v>
      </c>
      <c r="D76">
        <v>-942162.02025718032</v>
      </c>
      <c r="E76">
        <v>1.5623799239239267E-5</v>
      </c>
      <c r="F76">
        <v>1.5651596188145608E-5</v>
      </c>
      <c r="G76">
        <v>-2.7796948906340835E-8</v>
      </c>
      <c r="H76" t="b">
        <v>1</v>
      </c>
    </row>
    <row r="77" spans="1:8" x14ac:dyDescent="0.15">
      <c r="A77">
        <v>5</v>
      </c>
      <c r="B77">
        <v>10</v>
      </c>
      <c r="C77">
        <v>3388769.53125</v>
      </c>
      <c r="D77">
        <v>13144491.771642562</v>
      </c>
      <c r="E77">
        <v>1.6017306347596365E-5</v>
      </c>
      <c r="F77">
        <v>1.5651596188145608E-5</v>
      </c>
      <c r="G77">
        <v>3.657101594507569E-7</v>
      </c>
      <c r="H77" t="b">
        <v>0</v>
      </c>
    </row>
    <row r="78" spans="1:8" x14ac:dyDescent="0.15">
      <c r="A78">
        <v>5</v>
      </c>
      <c r="B78">
        <v>11</v>
      </c>
      <c r="C78">
        <v>3382958.984375</v>
      </c>
      <c r="D78">
        <v>3485311.3704137299</v>
      </c>
      <c r="E78">
        <v>1.5752428468326372E-5</v>
      </c>
      <c r="F78">
        <v>1.5651596188145608E-5</v>
      </c>
      <c r="G78">
        <v>1.0083228018076376E-7</v>
      </c>
      <c r="H78" t="b">
        <v>0</v>
      </c>
    </row>
    <row r="79" spans="1:8" x14ac:dyDescent="0.15">
      <c r="A79">
        <v>5</v>
      </c>
      <c r="B79">
        <v>12</v>
      </c>
      <c r="C79">
        <v>3380053.7109375</v>
      </c>
      <c r="D79">
        <v>1246980.3114284603</v>
      </c>
      <c r="E79">
        <v>1.568802600183855E-5</v>
      </c>
      <c r="F79">
        <v>1.5651596188145608E-5</v>
      </c>
      <c r="G79">
        <v>3.6429813692942222E-8</v>
      </c>
      <c r="H79" t="b">
        <v>0</v>
      </c>
    </row>
    <row r="80" spans="1:8" x14ac:dyDescent="0.15">
      <c r="A80">
        <v>5</v>
      </c>
      <c r="B80">
        <v>13</v>
      </c>
      <c r="C80">
        <v>3381506.34765625</v>
      </c>
      <c r="D80">
        <v>2359962.1374663264</v>
      </c>
      <c r="E80">
        <v>1.5720204767478349E-5</v>
      </c>
      <c r="F80">
        <v>1.5651596188145608E-5</v>
      </c>
      <c r="G80">
        <v>6.8608579332741181E-8</v>
      </c>
      <c r="H80" t="b">
        <v>0</v>
      </c>
    </row>
    <row r="81" spans="1:8" x14ac:dyDescent="0.15">
      <c r="A81">
        <v>5</v>
      </c>
      <c r="B81">
        <v>14</v>
      </c>
      <c r="C81">
        <v>3382706.34765625</v>
      </c>
      <c r="D81">
        <v>3288705.8882046142</v>
      </c>
      <c r="E81">
        <v>1.5746821044416064E-5</v>
      </c>
      <c r="F81">
        <v>1.5651596188145608E-5</v>
      </c>
      <c r="G81">
        <v>9.5224856270455834E-8</v>
      </c>
      <c r="H81" t="b">
        <v>0</v>
      </c>
    </row>
    <row r="82" spans="1:8" x14ac:dyDescent="0.15">
      <c r="A82">
        <v>5</v>
      </c>
      <c r="B82">
        <v>15</v>
      </c>
      <c r="C82">
        <v>3384146.34765625</v>
      </c>
      <c r="D82">
        <v>5124347.5198086528</v>
      </c>
      <c r="E82">
        <v>1.5798817718187115E-5</v>
      </c>
      <c r="F82">
        <v>1.5651596188145608E-5</v>
      </c>
      <c r="G82">
        <v>1.4722153004150716E-7</v>
      </c>
      <c r="H82" t="b">
        <v>0</v>
      </c>
    </row>
    <row r="83" spans="1:8" x14ac:dyDescent="0.15">
      <c r="A83">
        <v>5</v>
      </c>
      <c r="B83">
        <v>16</v>
      </c>
      <c r="C83">
        <v>3383426.34765625</v>
      </c>
      <c r="D83">
        <v>3927679.3852228005</v>
      </c>
      <c r="E83">
        <v>1.5765011350494013E-5</v>
      </c>
      <c r="F83">
        <v>1.5651596188145608E-5</v>
      </c>
      <c r="G83">
        <v>1.1341516234840518E-7</v>
      </c>
      <c r="H83" t="b">
        <v>0</v>
      </c>
    </row>
    <row r="84" spans="1:8" x14ac:dyDescent="0.15">
      <c r="A84">
        <v>5</v>
      </c>
      <c r="B84">
        <v>17</v>
      </c>
      <c r="C84">
        <v>3382562.34765625</v>
      </c>
      <c r="D84">
        <v>3176813.5338206724</v>
      </c>
      <c r="E84">
        <v>1.5743625563126651E-5</v>
      </c>
      <c r="F84">
        <v>1.5651596188145608E-5</v>
      </c>
      <c r="G84">
        <v>9.2029374981043052E-8</v>
      </c>
      <c r="H84" t="b">
        <v>0</v>
      </c>
    </row>
    <row r="85" spans="1:8" x14ac:dyDescent="0.15">
      <c r="A85">
        <v>5</v>
      </c>
      <c r="B85">
        <v>18</v>
      </c>
      <c r="C85">
        <v>3382994.34765625</v>
      </c>
      <c r="D85">
        <v>3512861.634249887</v>
      </c>
      <c r="E85">
        <v>1.5753213489710349E-5</v>
      </c>
      <c r="F85">
        <v>1.5651596188145608E-5</v>
      </c>
      <c r="G85">
        <v>1.0161730156474141E-7</v>
      </c>
      <c r="H85" t="b">
        <v>0</v>
      </c>
    </row>
    <row r="86" spans="1:8" x14ac:dyDescent="0.15">
      <c r="A86">
        <v>5</v>
      </c>
      <c r="B86">
        <v>19</v>
      </c>
      <c r="C86">
        <v>3382778.34765625</v>
      </c>
      <c r="D86">
        <v>3344725.8011494349</v>
      </c>
      <c r="E86">
        <v>1.5748419751124106E-5</v>
      </c>
      <c r="F86">
        <v>1.5651596188145608E-5</v>
      </c>
      <c r="G86">
        <v>9.6823562978498595E-8</v>
      </c>
      <c r="H86" t="b">
        <v>0</v>
      </c>
    </row>
    <row r="87" spans="1:8" x14ac:dyDescent="0.15">
      <c r="A87">
        <v>5</v>
      </c>
      <c r="B87">
        <v>20</v>
      </c>
      <c r="C87">
        <v>3382886.34765625</v>
      </c>
      <c r="D87">
        <v>3428745.7311051302</v>
      </c>
      <c r="E87">
        <v>1.5750816105032193E-5</v>
      </c>
      <c r="F87">
        <v>1.5651596188145608E-5</v>
      </c>
      <c r="G87">
        <v>9.9219916886584804E-8</v>
      </c>
      <c r="H87" t="b">
        <v>0</v>
      </c>
    </row>
    <row r="88" spans="1:8" x14ac:dyDescent="0.15">
      <c r="A88">
        <v>5</v>
      </c>
      <c r="B88">
        <v>21</v>
      </c>
      <c r="C88">
        <v>3382832.34765625</v>
      </c>
      <c r="D88">
        <v>3386740.479616547</v>
      </c>
      <c r="E88">
        <v>1.5749618275695179E-5</v>
      </c>
      <c r="F88">
        <v>1.5651596188145608E-5</v>
      </c>
      <c r="G88">
        <v>9.8022087549570991E-8</v>
      </c>
      <c r="H88" t="b">
        <v>0</v>
      </c>
    </row>
    <row r="89" spans="1:8" x14ac:dyDescent="0.15">
      <c r="A89">
        <v>6</v>
      </c>
      <c r="B89">
        <v>1</v>
      </c>
      <c r="C89">
        <v>6050000</v>
      </c>
      <c r="D89">
        <v>932580432598.54504</v>
      </c>
      <c r="E89">
        <v>3.3113506456066322E-3</v>
      </c>
      <c r="F89">
        <v>2.5072373860597543E-5</v>
      </c>
      <c r="G89">
        <v>3.2862782717460346E-3</v>
      </c>
      <c r="H89" t="b">
        <v>0</v>
      </c>
    </row>
    <row r="90" spans="1:8" x14ac:dyDescent="0.15">
      <c r="A90">
        <v>6</v>
      </c>
      <c r="B90">
        <v>2</v>
      </c>
      <c r="C90">
        <v>3075000</v>
      </c>
      <c r="D90">
        <v>-2774679.0506916279</v>
      </c>
      <c r="E90">
        <v>1.0382484650865123E-5</v>
      </c>
      <c r="F90">
        <v>2.5072373860597526E-5</v>
      </c>
      <c r="G90">
        <v>-1.4689889209732403E-5</v>
      </c>
      <c r="H90" t="b">
        <v>1</v>
      </c>
    </row>
    <row r="91" spans="1:8" x14ac:dyDescent="0.15">
      <c r="A91">
        <v>6</v>
      </c>
      <c r="B91">
        <v>3</v>
      </c>
      <c r="C91">
        <v>4562500</v>
      </c>
      <c r="D91">
        <v>50199745852.965874</v>
      </c>
      <c r="E91">
        <v>3.6554654417525744E-4</v>
      </c>
      <c r="F91">
        <v>2.5072373860597543E-5</v>
      </c>
      <c r="G91">
        <v>3.404741703146599E-4</v>
      </c>
      <c r="H91" t="b">
        <v>0</v>
      </c>
    </row>
    <row r="92" spans="1:8" x14ac:dyDescent="0.15">
      <c r="A92">
        <v>6</v>
      </c>
      <c r="B92">
        <v>4</v>
      </c>
      <c r="C92">
        <v>3818750</v>
      </c>
      <c r="D92">
        <v>3432452486.5655127</v>
      </c>
      <c r="E92">
        <v>6.9839604453923417E-5</v>
      </c>
      <c r="F92">
        <v>2.507237386059753E-5</v>
      </c>
      <c r="G92">
        <v>4.4767230593325888E-5</v>
      </c>
      <c r="H92" t="b">
        <v>0</v>
      </c>
    </row>
    <row r="93" spans="1:8" x14ac:dyDescent="0.15">
      <c r="A93">
        <v>6</v>
      </c>
      <c r="B93">
        <v>5</v>
      </c>
      <c r="C93">
        <v>3446875</v>
      </c>
      <c r="D93">
        <v>-38919277.241361037</v>
      </c>
      <c r="E93">
        <v>2.3795055214814161E-5</v>
      </c>
      <c r="F93">
        <v>2.5072373860597526E-5</v>
      </c>
      <c r="G93">
        <v>-1.2773186457833651E-6</v>
      </c>
      <c r="H93" t="b">
        <v>1</v>
      </c>
    </row>
    <row r="94" spans="1:8" x14ac:dyDescent="0.15">
      <c r="A94">
        <v>6</v>
      </c>
      <c r="B94">
        <v>6</v>
      </c>
      <c r="C94">
        <v>3632812.5</v>
      </c>
      <c r="D94">
        <v>973757238.38742781</v>
      </c>
      <c r="E94">
        <v>4.1848085818551697E-5</v>
      </c>
      <c r="F94">
        <v>2.5072373860597526E-5</v>
      </c>
      <c r="G94">
        <v>1.6775711957954171E-5</v>
      </c>
      <c r="H94" t="b">
        <v>0</v>
      </c>
    </row>
    <row r="95" spans="1:8" x14ac:dyDescent="0.15">
      <c r="A95">
        <v>6</v>
      </c>
      <c r="B95">
        <v>7</v>
      </c>
      <c r="C95">
        <v>3539843.75</v>
      </c>
      <c r="D95">
        <v>322925945.9234364</v>
      </c>
      <c r="E95">
        <v>3.1781326460035457E-5</v>
      </c>
      <c r="F95">
        <v>2.5072373860597526E-5</v>
      </c>
      <c r="G95">
        <v>6.7089525994379306E-6</v>
      </c>
      <c r="H95" t="b">
        <v>0</v>
      </c>
    </row>
    <row r="96" spans="1:8" x14ac:dyDescent="0.15">
      <c r="A96">
        <v>6</v>
      </c>
      <c r="B96">
        <v>8</v>
      </c>
      <c r="C96">
        <v>3493359.375</v>
      </c>
      <c r="D96">
        <v>100687129.64300877</v>
      </c>
      <c r="E96">
        <v>2.7549647438919378E-5</v>
      </c>
      <c r="F96">
        <v>2.5072373860597526E-5</v>
      </c>
      <c r="G96">
        <v>2.4772735783218518E-6</v>
      </c>
      <c r="H96" t="b">
        <v>0</v>
      </c>
    </row>
    <row r="97" spans="1:8" x14ac:dyDescent="0.15">
      <c r="A97">
        <v>6</v>
      </c>
      <c r="B97">
        <v>9</v>
      </c>
      <c r="C97">
        <v>3470117.1875</v>
      </c>
      <c r="D97">
        <v>19282711.065316115</v>
      </c>
      <c r="E97">
        <v>2.5615450404800815E-5</v>
      </c>
      <c r="F97">
        <v>2.5072373860597526E-5</v>
      </c>
      <c r="G97">
        <v>5.4307654420328915E-7</v>
      </c>
      <c r="H97" t="b">
        <v>0</v>
      </c>
    </row>
    <row r="98" spans="1:8" x14ac:dyDescent="0.15">
      <c r="A98">
        <v>6</v>
      </c>
      <c r="B98">
        <v>10</v>
      </c>
      <c r="C98">
        <v>3458496.09375</v>
      </c>
      <c r="D98">
        <v>-12563812.490633421</v>
      </c>
      <c r="E98">
        <v>2.4691360429032548E-5</v>
      </c>
      <c r="F98">
        <v>2.5072373860597526E-5</v>
      </c>
      <c r="G98">
        <v>-3.8101343156497812E-7</v>
      </c>
      <c r="H98" t="b">
        <v>1</v>
      </c>
    </row>
    <row r="99" spans="1:8" x14ac:dyDescent="0.15">
      <c r="A99">
        <v>6</v>
      </c>
      <c r="B99">
        <v>11</v>
      </c>
      <c r="C99">
        <v>3464306.640625</v>
      </c>
      <c r="D99">
        <v>2653985.9199512391</v>
      </c>
      <c r="E99">
        <v>2.5149891121462031E-5</v>
      </c>
      <c r="F99">
        <v>2.5072373860597526E-5</v>
      </c>
      <c r="G99">
        <v>7.7517260864504731E-8</v>
      </c>
      <c r="H99" t="b">
        <v>0</v>
      </c>
    </row>
    <row r="100" spans="1:8" x14ac:dyDescent="0.15">
      <c r="A100">
        <v>6</v>
      </c>
      <c r="B100">
        <v>12</v>
      </c>
      <c r="C100">
        <v>3467211.9140625</v>
      </c>
      <c r="D100">
        <v>10789585.55987774</v>
      </c>
      <c r="E100">
        <v>2.5381787271444091E-5</v>
      </c>
      <c r="F100">
        <v>2.5072373860597526E-5</v>
      </c>
      <c r="G100">
        <v>3.0941341084656464E-7</v>
      </c>
      <c r="H100" t="b">
        <v>0</v>
      </c>
    </row>
    <row r="101" spans="1:8" x14ac:dyDescent="0.15">
      <c r="A101">
        <v>6</v>
      </c>
      <c r="B101">
        <v>13</v>
      </c>
      <c r="C101">
        <v>3465759.27734375</v>
      </c>
      <c r="D101">
        <v>6677316.4011925189</v>
      </c>
      <c r="E101">
        <v>2.5265616683571029E-5</v>
      </c>
      <c r="F101">
        <v>2.5072373860597526E-5</v>
      </c>
      <c r="G101">
        <v>1.9324282297350325E-7</v>
      </c>
      <c r="H101" t="b">
        <v>0</v>
      </c>
    </row>
    <row r="102" spans="1:8" x14ac:dyDescent="0.15">
      <c r="A102">
        <v>6</v>
      </c>
      <c r="B102">
        <v>14</v>
      </c>
      <c r="C102">
        <v>3464559.27734375</v>
      </c>
      <c r="D102">
        <v>3347375.0615092316</v>
      </c>
      <c r="E102">
        <v>2.5169986598389674E-5</v>
      </c>
      <c r="F102">
        <v>2.5072373860597526E-5</v>
      </c>
      <c r="G102">
        <v>9.7612737792148244E-8</v>
      </c>
      <c r="H102" t="b">
        <v>0</v>
      </c>
    </row>
    <row r="103" spans="1:8" x14ac:dyDescent="0.15">
      <c r="A103">
        <v>6</v>
      </c>
      <c r="B103">
        <v>15</v>
      </c>
      <c r="C103">
        <v>3465159.27734375</v>
      </c>
      <c r="D103">
        <v>5004753.7264439482</v>
      </c>
      <c r="E103">
        <v>2.5217762949635831E-5</v>
      </c>
      <c r="F103">
        <v>2.5072373860597526E-5</v>
      </c>
      <c r="G103">
        <v>1.4538908903830456E-7</v>
      </c>
      <c r="H103" t="b">
        <v>0</v>
      </c>
    </row>
    <row r="104" spans="1:8" x14ac:dyDescent="0.15">
      <c r="A104">
        <v>6</v>
      </c>
      <c r="B104">
        <v>16</v>
      </c>
      <c r="C104">
        <v>3464859.27734375</v>
      </c>
      <c r="D104">
        <v>4174143.9502518685</v>
      </c>
      <c r="E104">
        <v>2.5193864380299888E-5</v>
      </c>
      <c r="F104">
        <v>2.5072373860597526E-5</v>
      </c>
      <c r="G104">
        <v>1.2149051970236188E-7</v>
      </c>
      <c r="H104" t="b">
        <v>0</v>
      </c>
    </row>
    <row r="105" spans="1:8" x14ac:dyDescent="0.15">
      <c r="A105">
        <v>6</v>
      </c>
      <c r="B105">
        <v>17</v>
      </c>
      <c r="C105">
        <v>3464499.27734375</v>
      </c>
      <c r="D105">
        <v>3182378.8937966609</v>
      </c>
      <c r="E105">
        <v>2.5165210559831544E-5</v>
      </c>
      <c r="F105">
        <v>2.5072373860597526E-5</v>
      </c>
      <c r="G105">
        <v>9.2836699234017858E-8</v>
      </c>
      <c r="H105" t="b">
        <v>0</v>
      </c>
    </row>
    <row r="106" spans="1:8" x14ac:dyDescent="0.15">
      <c r="A106">
        <v>6</v>
      </c>
      <c r="B106">
        <v>18</v>
      </c>
      <c r="C106">
        <v>3464679.27734375</v>
      </c>
      <c r="D106">
        <v>3677585.0653084978</v>
      </c>
      <c r="E106">
        <v>2.5179534147383345E-5</v>
      </c>
      <c r="F106">
        <v>2.5072373860597526E-5</v>
      </c>
      <c r="G106">
        <v>1.0716028678581845E-7</v>
      </c>
      <c r="H106" t="b">
        <v>0</v>
      </c>
    </row>
    <row r="107" spans="1:8" x14ac:dyDescent="0.15">
      <c r="A107">
        <v>6</v>
      </c>
      <c r="B107">
        <v>19</v>
      </c>
      <c r="C107">
        <v>3464589.27734375</v>
      </c>
      <c r="D107">
        <v>3429817.2673198478</v>
      </c>
      <c r="E107">
        <v>2.5172371647668531E-5</v>
      </c>
      <c r="F107">
        <v>2.5072373860597526E-5</v>
      </c>
      <c r="G107">
        <v>9.9997787071004669E-8</v>
      </c>
      <c r="H107" t="b">
        <v>0</v>
      </c>
    </row>
    <row r="108" spans="1:8" x14ac:dyDescent="0.15">
      <c r="A108">
        <v>6</v>
      </c>
      <c r="B108">
        <v>20</v>
      </c>
      <c r="C108">
        <v>3464634.27734375</v>
      </c>
      <c r="D108">
        <v>3553730.6253189929</v>
      </c>
      <c r="E108">
        <v>2.5175954763205751E-5</v>
      </c>
      <c r="F108">
        <v>2.5072373860597526E-5</v>
      </c>
      <c r="G108">
        <v>1.0358090260822442E-7</v>
      </c>
      <c r="H108" t="b">
        <v>0</v>
      </c>
    </row>
    <row r="109" spans="1:8" x14ac:dyDescent="0.15">
      <c r="A109">
        <v>6</v>
      </c>
      <c r="B109">
        <v>21</v>
      </c>
      <c r="C109">
        <v>3464611.77734375</v>
      </c>
      <c r="D109">
        <v>3491799.2436299911</v>
      </c>
      <c r="E109">
        <v>2.5174164190811565E-5</v>
      </c>
      <c r="F109">
        <v>2.5072373860597526E-5</v>
      </c>
      <c r="G109">
        <v>1.0179033021403834E-7</v>
      </c>
      <c r="H109" t="b">
        <v>0</v>
      </c>
    </row>
    <row r="110" spans="1:8" x14ac:dyDescent="0.15">
      <c r="A110">
        <v>7</v>
      </c>
      <c r="B110">
        <v>1</v>
      </c>
      <c r="C110">
        <v>6050000</v>
      </c>
      <c r="D110">
        <v>1484025086547.6624</v>
      </c>
      <c r="E110">
        <v>4.7087359663831891E-3</v>
      </c>
      <c r="F110">
        <v>2.4790074292142979E-5</v>
      </c>
      <c r="G110">
        <v>4.6839458920910461E-3</v>
      </c>
      <c r="H110" t="b">
        <v>0</v>
      </c>
    </row>
    <row r="111" spans="1:8" x14ac:dyDescent="0.15">
      <c r="A111">
        <v>7</v>
      </c>
      <c r="B111">
        <v>2</v>
      </c>
      <c r="C111">
        <v>3075000</v>
      </c>
      <c r="D111">
        <v>-15627593.620438021</v>
      </c>
      <c r="E111">
        <v>1.3124224512792451E-5</v>
      </c>
      <c r="F111">
        <v>2.4790074292142728E-5</v>
      </c>
      <c r="G111">
        <v>-1.1665849779350277E-5</v>
      </c>
      <c r="H111" t="b">
        <v>1</v>
      </c>
    </row>
    <row r="112" spans="1:8" x14ac:dyDescent="0.15">
      <c r="A112">
        <v>7</v>
      </c>
      <c r="B112">
        <v>3</v>
      </c>
      <c r="C112">
        <v>4562500</v>
      </c>
      <c r="D112">
        <v>85848128442.226364</v>
      </c>
      <c r="E112">
        <v>5.305597117929218E-4</v>
      </c>
      <c r="F112">
        <v>2.4790074292142762E-5</v>
      </c>
      <c r="G112">
        <v>5.0576963750077904E-4</v>
      </c>
      <c r="H112" t="b">
        <v>0</v>
      </c>
    </row>
    <row r="113" spans="1:8" x14ac:dyDescent="0.15">
      <c r="A113">
        <v>7</v>
      </c>
      <c r="B113">
        <v>4</v>
      </c>
      <c r="C113">
        <v>3818750</v>
      </c>
      <c r="D113">
        <v>7653034655.5419188</v>
      </c>
      <c r="E113">
        <v>1.0587699020617156E-4</v>
      </c>
      <c r="F113">
        <v>2.4790074292142735E-5</v>
      </c>
      <c r="G113">
        <v>8.1086915914028827E-5</v>
      </c>
      <c r="H113" t="b">
        <v>0</v>
      </c>
    </row>
    <row r="114" spans="1:8" x14ac:dyDescent="0.15">
      <c r="A114">
        <v>7</v>
      </c>
      <c r="B114">
        <v>5</v>
      </c>
      <c r="C114">
        <v>3446875</v>
      </c>
      <c r="D114">
        <v>688705852.71690953</v>
      </c>
      <c r="E114">
        <v>3.7298196103584029E-5</v>
      </c>
      <c r="F114">
        <v>2.4790074292142728E-5</v>
      </c>
      <c r="G114">
        <v>1.2508121811441301E-5</v>
      </c>
      <c r="H114" t="b">
        <v>0</v>
      </c>
    </row>
    <row r="115" spans="1:8" x14ac:dyDescent="0.15">
      <c r="A115">
        <v>7</v>
      </c>
      <c r="B115">
        <v>6</v>
      </c>
      <c r="C115">
        <v>3260937.5</v>
      </c>
      <c r="D115">
        <v>-94350808.604372069</v>
      </c>
      <c r="E115">
        <v>2.0356702014684773E-5</v>
      </c>
      <c r="F115">
        <v>2.4790074292142728E-5</v>
      </c>
      <c r="G115">
        <v>-4.433372277457955E-6</v>
      </c>
      <c r="H115" t="b">
        <v>1</v>
      </c>
    </row>
    <row r="116" spans="1:8" x14ac:dyDescent="0.15">
      <c r="A116">
        <v>7</v>
      </c>
      <c r="B116">
        <v>7</v>
      </c>
      <c r="C116">
        <v>3353906.25</v>
      </c>
      <c r="D116">
        <v>126830621.40423304</v>
      </c>
      <c r="E116">
        <v>2.7775145763892317E-5</v>
      </c>
      <c r="F116">
        <v>2.4790074292142728E-5</v>
      </c>
      <c r="G116">
        <v>2.9850714717495894E-6</v>
      </c>
      <c r="H116" t="b">
        <v>0</v>
      </c>
    </row>
    <row r="117" spans="1:8" x14ac:dyDescent="0.15">
      <c r="A117">
        <v>7</v>
      </c>
      <c r="B117">
        <v>8</v>
      </c>
      <c r="C117">
        <v>3307421.875</v>
      </c>
      <c r="D117">
        <v>-30445758.392508466</v>
      </c>
      <c r="E117">
        <v>2.3827566643452582E-5</v>
      </c>
      <c r="F117">
        <v>2.4790074292142728E-5</v>
      </c>
      <c r="G117">
        <v>-9.6250764869014582E-7</v>
      </c>
      <c r="H117" t="b">
        <v>1</v>
      </c>
    </row>
    <row r="118" spans="1:8" x14ac:dyDescent="0.15">
      <c r="A118">
        <v>7</v>
      </c>
      <c r="B118">
        <v>9</v>
      </c>
      <c r="C118">
        <v>3330664.0625</v>
      </c>
      <c r="D118">
        <v>35099059.104642801</v>
      </c>
      <c r="E118">
        <v>2.5738602605774006E-5</v>
      </c>
      <c r="F118">
        <v>2.4790074292142728E-5</v>
      </c>
      <c r="G118">
        <v>9.4852831363127841E-7</v>
      </c>
      <c r="H118" t="b">
        <v>0</v>
      </c>
    </row>
    <row r="119" spans="1:8" x14ac:dyDescent="0.15">
      <c r="A119">
        <v>7</v>
      </c>
      <c r="B119">
        <v>10</v>
      </c>
      <c r="C119">
        <v>3319042.96875</v>
      </c>
      <c r="D119">
        <v>-764607.02471219527</v>
      </c>
      <c r="E119">
        <v>2.4767784459515919E-5</v>
      </c>
      <c r="F119">
        <v>2.4790074292142728E-5</v>
      </c>
      <c r="G119">
        <v>-2.2289832626808771E-8</v>
      </c>
      <c r="H119" t="b">
        <v>1</v>
      </c>
    </row>
    <row r="120" spans="1:8" x14ac:dyDescent="0.15">
      <c r="A120">
        <v>7</v>
      </c>
      <c r="B120">
        <v>11</v>
      </c>
      <c r="C120">
        <v>3324853.515625</v>
      </c>
      <c r="D120">
        <v>16372045.536373453</v>
      </c>
      <c r="E120">
        <v>2.52493215914262E-5</v>
      </c>
      <c r="F120">
        <v>2.4790074292142728E-5</v>
      </c>
      <c r="G120">
        <v>4.5924729928347179E-7</v>
      </c>
      <c r="H120" t="b">
        <v>0</v>
      </c>
    </row>
    <row r="121" spans="1:8" x14ac:dyDescent="0.15">
      <c r="A121">
        <v>7</v>
      </c>
      <c r="B121">
        <v>12</v>
      </c>
      <c r="C121">
        <v>3321948.2421875</v>
      </c>
      <c r="D121">
        <v>7607727.6928735161</v>
      </c>
      <c r="E121">
        <v>2.5007590611447254E-5</v>
      </c>
      <c r="F121">
        <v>2.4790074292142728E-5</v>
      </c>
      <c r="G121">
        <v>2.1751631930452575E-7</v>
      </c>
      <c r="H121" t="b">
        <v>0</v>
      </c>
    </row>
    <row r="122" spans="1:8" x14ac:dyDescent="0.15">
      <c r="A122">
        <v>7</v>
      </c>
      <c r="B122">
        <v>13</v>
      </c>
      <c r="C122">
        <v>3320495.60546875</v>
      </c>
      <c r="D122">
        <v>3372842.0615129001</v>
      </c>
      <c r="E122">
        <v>2.4887445641888996E-5</v>
      </c>
      <c r="F122">
        <v>2.4790074292142728E-5</v>
      </c>
      <c r="G122">
        <v>9.7371349746267632E-8</v>
      </c>
      <c r="H122" t="b">
        <v>0</v>
      </c>
    </row>
    <row r="123" spans="1:8" x14ac:dyDescent="0.15">
      <c r="A123">
        <v>7</v>
      </c>
      <c r="B123">
        <v>14</v>
      </c>
      <c r="C123">
        <v>3319295.60546875</v>
      </c>
      <c r="D123">
        <v>-51984.228204901985</v>
      </c>
      <c r="E123">
        <v>2.4788561423181525E-5</v>
      </c>
      <c r="F123">
        <v>2.4790074292142728E-5</v>
      </c>
      <c r="G123">
        <v>-1.5128689612032404E-9</v>
      </c>
      <c r="H123" t="b">
        <v>1</v>
      </c>
    </row>
    <row r="124" spans="1:8" x14ac:dyDescent="0.15">
      <c r="A124">
        <v>7</v>
      </c>
      <c r="B124">
        <v>15</v>
      </c>
      <c r="C124">
        <v>3319895.60546875</v>
      </c>
      <c r="D124">
        <v>1652190.7778810796</v>
      </c>
      <c r="E124">
        <v>2.4837963712832544E-5</v>
      </c>
      <c r="F124">
        <v>2.4790074292142728E-5</v>
      </c>
      <c r="G124">
        <v>4.7889420689816169E-8</v>
      </c>
      <c r="H124" t="b">
        <v>0</v>
      </c>
    </row>
    <row r="125" spans="1:8" x14ac:dyDescent="0.15">
      <c r="A125">
        <v>7</v>
      </c>
      <c r="B125">
        <v>16</v>
      </c>
      <c r="C125">
        <v>3320615.60546875</v>
      </c>
      <c r="D125">
        <v>3719049.7205456495</v>
      </c>
      <c r="E125">
        <v>2.4897354340955712E-5</v>
      </c>
      <c r="F125">
        <v>2.4790074292142728E-5</v>
      </c>
      <c r="G125">
        <v>1.0728004881298419E-7</v>
      </c>
      <c r="H125" t="b">
        <v>0</v>
      </c>
    </row>
    <row r="126" spans="1:8" x14ac:dyDescent="0.15">
      <c r="A126">
        <v>7</v>
      </c>
      <c r="B126">
        <v>17</v>
      </c>
      <c r="C126">
        <v>3320255.60546875</v>
      </c>
      <c r="D126">
        <v>2682563.7526058233</v>
      </c>
      <c r="E126">
        <v>2.4867642226380482E-5</v>
      </c>
      <c r="F126">
        <v>2.4790074292142728E-5</v>
      </c>
      <c r="G126">
        <v>7.7567934237754362E-8</v>
      </c>
      <c r="H126" t="b">
        <v>0</v>
      </c>
    </row>
    <row r="127" spans="1:8" x14ac:dyDescent="0.15">
      <c r="A127">
        <v>7</v>
      </c>
      <c r="B127">
        <v>18</v>
      </c>
      <c r="C127">
        <v>3320435.60546875</v>
      </c>
      <c r="D127">
        <v>3200023.6343377125</v>
      </c>
      <c r="E127">
        <v>2.4882493560888455E-5</v>
      </c>
      <c r="F127">
        <v>2.4790074292142728E-5</v>
      </c>
      <c r="G127">
        <v>9.241926874572714E-8</v>
      </c>
      <c r="H127" t="b">
        <v>0</v>
      </c>
    </row>
    <row r="128" spans="1:8" x14ac:dyDescent="0.15">
      <c r="A128">
        <v>7</v>
      </c>
      <c r="B128">
        <v>19</v>
      </c>
      <c r="C128">
        <v>3320651.60546875</v>
      </c>
      <c r="D128">
        <v>3823019.7448224598</v>
      </c>
      <c r="E128">
        <v>2.4900326964658343E-5</v>
      </c>
      <c r="F128">
        <v>2.4790074292142728E-5</v>
      </c>
      <c r="G128">
        <v>1.1025267251561508E-7</v>
      </c>
      <c r="H128" t="b">
        <v>0</v>
      </c>
    </row>
    <row r="129" spans="1:8" x14ac:dyDescent="0.15">
      <c r="A129">
        <v>7</v>
      </c>
      <c r="B129">
        <v>20</v>
      </c>
      <c r="C129">
        <v>3320543.60546875</v>
      </c>
      <c r="D129">
        <v>3511289.0285693719</v>
      </c>
      <c r="E129">
        <v>2.4891409977471903E-5</v>
      </c>
      <c r="F129">
        <v>2.4790074292142728E-5</v>
      </c>
      <c r="G129">
        <v>1.0133568532917474E-7</v>
      </c>
      <c r="H129" t="b">
        <v>0</v>
      </c>
    </row>
    <row r="130" spans="1:8" x14ac:dyDescent="0.15">
      <c r="A130">
        <v>7</v>
      </c>
      <c r="B130">
        <v>21</v>
      </c>
      <c r="C130">
        <v>3320414.0054687499</v>
      </c>
      <c r="D130">
        <v>3137922.1849119556</v>
      </c>
      <c r="E130">
        <v>2.4880713092674399E-5</v>
      </c>
      <c r="F130">
        <v>2.4790074292142728E-5</v>
      </c>
      <c r="G130">
        <v>9.0638800531671316E-8</v>
      </c>
      <c r="H130" t="b">
        <v>0</v>
      </c>
    </row>
    <row r="131" spans="1:8" x14ac:dyDescent="0.15">
      <c r="A131">
        <v>7</v>
      </c>
      <c r="B131">
        <v>22</v>
      </c>
      <c r="C131">
        <v>3320478.8054687497</v>
      </c>
      <c r="D131">
        <v>3324436.1730009066</v>
      </c>
      <c r="E131">
        <v>2.488605897673233E-5</v>
      </c>
      <c r="F131">
        <v>2.4790074292142728E-5</v>
      </c>
      <c r="G131">
        <v>9.5984684589602205E-8</v>
      </c>
      <c r="H131" t="b">
        <v>0</v>
      </c>
    </row>
    <row r="132" spans="1:8" x14ac:dyDescent="0.15">
      <c r="A132">
        <v>8</v>
      </c>
      <c r="B132">
        <v>1</v>
      </c>
      <c r="C132">
        <v>6050000</v>
      </c>
      <c r="D132">
        <v>4634324779555.6348</v>
      </c>
      <c r="E132">
        <v>1.1807601469150832E-2</v>
      </c>
      <c r="F132">
        <v>2.4970969865607123E-5</v>
      </c>
      <c r="G132">
        <v>1.1782630499285225E-2</v>
      </c>
      <c r="H132" t="b">
        <v>0</v>
      </c>
    </row>
    <row r="133" spans="1:8" x14ac:dyDescent="0.15">
      <c r="A133">
        <v>8</v>
      </c>
      <c r="B133">
        <v>2</v>
      </c>
      <c r="C133">
        <v>3075000</v>
      </c>
      <c r="D133">
        <v>301350396.20482594</v>
      </c>
      <c r="E133">
        <v>3.1261077220437202E-5</v>
      </c>
      <c r="F133">
        <v>2.4970969865607584E-5</v>
      </c>
      <c r="G133">
        <v>6.2901073548296183E-6</v>
      </c>
      <c r="H133" t="b">
        <v>0</v>
      </c>
    </row>
    <row r="134" spans="1:8" x14ac:dyDescent="0.15">
      <c r="A134">
        <v>8</v>
      </c>
      <c r="B134">
        <v>3</v>
      </c>
      <c r="C134">
        <v>1587500</v>
      </c>
      <c r="D134">
        <v>-52109.101397251849</v>
      </c>
      <c r="E134">
        <v>-3.5717295665240359E-6</v>
      </c>
      <c r="F134">
        <v>2.4970969865607584E-5</v>
      </c>
      <c r="G134">
        <v>-2.854269943213162E-5</v>
      </c>
      <c r="H134" t="b">
        <v>1</v>
      </c>
    </row>
    <row r="135" spans="1:8" x14ac:dyDescent="0.15">
      <c r="A135">
        <v>8</v>
      </c>
      <c r="B135">
        <v>4</v>
      </c>
      <c r="C135">
        <v>2331250</v>
      </c>
      <c r="D135">
        <v>-253212.6706885568</v>
      </c>
      <c r="E135">
        <v>4.3656162944578825E-6</v>
      </c>
      <c r="F135">
        <v>2.4970969865607584E-5</v>
      </c>
      <c r="G135">
        <v>-2.0605353571149701E-5</v>
      </c>
      <c r="H135" t="b">
        <v>1</v>
      </c>
    </row>
    <row r="136" spans="1:8" x14ac:dyDescent="0.15">
      <c r="A136">
        <v>8</v>
      </c>
      <c r="B136">
        <v>5</v>
      </c>
      <c r="C136">
        <v>2703125</v>
      </c>
      <c r="D136">
        <v>-3744192.7357861577</v>
      </c>
      <c r="E136">
        <v>1.0866341650717293E-5</v>
      </c>
      <c r="F136">
        <v>2.4970969865607584E-5</v>
      </c>
      <c r="G136">
        <v>-1.4104628214890291E-5</v>
      </c>
      <c r="H136" t="b">
        <v>1</v>
      </c>
    </row>
    <row r="137" spans="1:8" x14ac:dyDescent="0.15">
      <c r="A137">
        <v>8</v>
      </c>
      <c r="B137">
        <v>6</v>
      </c>
      <c r="C137">
        <v>2889062.5</v>
      </c>
      <c r="D137">
        <v>-63196387.670136936</v>
      </c>
      <c r="E137">
        <v>1.5959221944427972E-5</v>
      </c>
      <c r="F137">
        <v>2.4970969865607584E-5</v>
      </c>
      <c r="G137">
        <v>-9.0117479211796118E-6</v>
      </c>
      <c r="H137" t="b">
        <v>1</v>
      </c>
    </row>
    <row r="138" spans="1:8" x14ac:dyDescent="0.15">
      <c r="A138">
        <v>8</v>
      </c>
      <c r="B138">
        <v>7</v>
      </c>
      <c r="C138">
        <v>2982031.25</v>
      </c>
      <c r="D138">
        <v>-72535566.858553067</v>
      </c>
      <c r="E138">
        <v>2.2209315831741067E-5</v>
      </c>
      <c r="F138">
        <v>2.4970969865607584E-5</v>
      </c>
      <c r="G138">
        <v>-2.761654033866517E-6</v>
      </c>
      <c r="H138" t="b">
        <v>1</v>
      </c>
    </row>
    <row r="139" spans="1:8" x14ac:dyDescent="0.15">
      <c r="A139">
        <v>8</v>
      </c>
      <c r="B139">
        <v>8</v>
      </c>
      <c r="C139">
        <v>3028515.625</v>
      </c>
      <c r="D139">
        <v>54900993.747733667</v>
      </c>
      <c r="E139">
        <v>2.6412876721675615E-5</v>
      </c>
      <c r="F139">
        <v>2.4970969865607584E-5</v>
      </c>
      <c r="G139">
        <v>1.4419068560680311E-6</v>
      </c>
      <c r="H139" t="b">
        <v>0</v>
      </c>
    </row>
    <row r="140" spans="1:8" x14ac:dyDescent="0.15">
      <c r="A140">
        <v>8</v>
      </c>
      <c r="B140">
        <v>9</v>
      </c>
      <c r="C140">
        <v>3005273.4375</v>
      </c>
      <c r="D140">
        <v>-23619274.479120955</v>
      </c>
      <c r="E140">
        <v>2.4235001476226626E-5</v>
      </c>
      <c r="F140">
        <v>2.4970969865607584E-5</v>
      </c>
      <c r="G140">
        <v>-7.3596838938095796E-7</v>
      </c>
      <c r="H140" t="b">
        <v>1</v>
      </c>
    </row>
    <row r="141" spans="1:8" x14ac:dyDescent="0.15">
      <c r="A141">
        <v>8</v>
      </c>
      <c r="B141">
        <v>10</v>
      </c>
      <c r="C141">
        <v>3016894.53125</v>
      </c>
      <c r="D141">
        <v>11690838.967624726</v>
      </c>
      <c r="E141">
        <v>2.5304366475519446E-5</v>
      </c>
      <c r="F141">
        <v>2.4970969865607584E-5</v>
      </c>
      <c r="G141">
        <v>3.3339660991186224E-7</v>
      </c>
      <c r="H141" t="b">
        <v>0</v>
      </c>
    </row>
    <row r="142" spans="1:8" x14ac:dyDescent="0.15">
      <c r="A142">
        <v>8</v>
      </c>
      <c r="B142">
        <v>11</v>
      </c>
      <c r="C142">
        <v>3011083.984375</v>
      </c>
      <c r="D142">
        <v>-6920082.7812244631</v>
      </c>
      <c r="E142">
        <v>2.4764859523418733E-5</v>
      </c>
      <c r="F142">
        <v>2.4970969865607584E-5</v>
      </c>
      <c r="G142">
        <v>-2.0611034218885114E-7</v>
      </c>
      <c r="H142" t="b">
        <v>1</v>
      </c>
    </row>
    <row r="143" spans="1:8" x14ac:dyDescent="0.15">
      <c r="A143">
        <v>8</v>
      </c>
      <c r="B143">
        <v>12</v>
      </c>
      <c r="C143">
        <v>3013989.2578125</v>
      </c>
      <c r="D143">
        <v>2142567.9188637892</v>
      </c>
      <c r="E143">
        <v>2.5033400616996021E-5</v>
      </c>
      <c r="F143">
        <v>2.4970969865607584E-5</v>
      </c>
      <c r="G143">
        <v>6.243075138843648E-8</v>
      </c>
      <c r="H143" t="b">
        <v>0</v>
      </c>
    </row>
    <row r="144" spans="1:8" x14ac:dyDescent="0.15">
      <c r="A144">
        <v>8</v>
      </c>
      <c r="B144">
        <v>13</v>
      </c>
      <c r="C144">
        <v>3015441.89453125</v>
      </c>
      <c r="D144">
        <v>6855459.1554967202</v>
      </c>
      <c r="E144">
        <v>2.5168577960227393E-5</v>
      </c>
      <c r="F144">
        <v>2.4970969865607584E-5</v>
      </c>
      <c r="G144">
        <v>1.9760809461980911E-7</v>
      </c>
      <c r="H144" t="b">
        <v>0</v>
      </c>
    </row>
    <row r="145" spans="1:8" x14ac:dyDescent="0.15">
      <c r="A145">
        <v>8</v>
      </c>
      <c r="B145">
        <v>14</v>
      </c>
      <c r="C145">
        <v>3014941.89453125</v>
      </c>
      <c r="D145">
        <v>5219555.3477041954</v>
      </c>
      <c r="E145">
        <v>2.5121982410329717E-5</v>
      </c>
      <c r="F145">
        <v>2.4970969865607584E-5</v>
      </c>
      <c r="G145">
        <v>1.5101254472213338E-7</v>
      </c>
      <c r="H145" t="b">
        <v>0</v>
      </c>
    </row>
    <row r="146" spans="1:8" x14ac:dyDescent="0.15">
      <c r="A146">
        <v>8</v>
      </c>
      <c r="B146">
        <v>15</v>
      </c>
      <c r="C146">
        <v>3014341.89453125</v>
      </c>
      <c r="D146">
        <v>3275468.51563934</v>
      </c>
      <c r="E146">
        <v>2.5066160328066707E-5</v>
      </c>
      <c r="F146">
        <v>2.4970969865607584E-5</v>
      </c>
      <c r="G146">
        <v>9.5190462459123068E-8</v>
      </c>
      <c r="H146" t="b">
        <v>0</v>
      </c>
    </row>
    <row r="147" spans="1:8" x14ac:dyDescent="0.15">
      <c r="A147">
        <v>8</v>
      </c>
      <c r="B147">
        <v>16</v>
      </c>
      <c r="C147">
        <v>3013621.89453125</v>
      </c>
      <c r="D147">
        <v>969966.71238982782</v>
      </c>
      <c r="E147">
        <v>2.4999310872801303E-5</v>
      </c>
      <c r="F147">
        <v>2.4970969865607584E-5</v>
      </c>
      <c r="G147">
        <v>2.8341007193718554E-8</v>
      </c>
      <c r="H147" t="b">
        <v>0</v>
      </c>
    </row>
    <row r="148" spans="1:8" x14ac:dyDescent="0.15">
      <c r="A148">
        <v>8</v>
      </c>
      <c r="B148">
        <v>17</v>
      </c>
      <c r="C148">
        <v>3013981.89453125</v>
      </c>
      <c r="D148">
        <v>2118988.5513187251</v>
      </c>
      <c r="E148">
        <v>2.5032716954667943E-5</v>
      </c>
      <c r="F148">
        <v>2.4970969865607584E-5</v>
      </c>
      <c r="G148">
        <v>6.1747089060359365E-8</v>
      </c>
      <c r="H148" t="b">
        <v>0</v>
      </c>
    </row>
    <row r="149" spans="1:8" x14ac:dyDescent="0.15">
      <c r="A149">
        <v>8</v>
      </c>
      <c r="B149">
        <v>18</v>
      </c>
      <c r="C149">
        <v>3014413.89453125</v>
      </c>
      <c r="D149">
        <v>3507669.8190258262</v>
      </c>
      <c r="E149">
        <v>2.5072853740354565E-5</v>
      </c>
      <c r="F149">
        <v>2.4970969865607584E-5</v>
      </c>
      <c r="G149">
        <v>1.0188387474698097E-7</v>
      </c>
      <c r="H149" t="b">
        <v>0</v>
      </c>
    </row>
    <row r="150" spans="1:8" x14ac:dyDescent="0.15">
      <c r="A150">
        <v>8</v>
      </c>
      <c r="B150">
        <v>19</v>
      </c>
      <c r="C150">
        <v>3014197.89453125</v>
      </c>
      <c r="D150">
        <v>2811980.5950285951</v>
      </c>
      <c r="E150">
        <v>2.5052778501627929E-5</v>
      </c>
      <c r="F150">
        <v>2.4970969865607584E-5</v>
      </c>
      <c r="G150">
        <v>8.1808636020345087E-8</v>
      </c>
      <c r="H150" t="b">
        <v>0</v>
      </c>
    </row>
    <row r="151" spans="1:8" x14ac:dyDescent="0.15">
      <c r="A151">
        <v>8</v>
      </c>
      <c r="B151">
        <v>20</v>
      </c>
      <c r="C151">
        <v>3014305.89453125</v>
      </c>
      <c r="D151">
        <v>3159409.5458515887</v>
      </c>
      <c r="E151">
        <v>2.5062812149439976E-5</v>
      </c>
      <c r="F151">
        <v>2.4970969865607584E-5</v>
      </c>
      <c r="G151">
        <v>9.1842283832391854E-8</v>
      </c>
      <c r="H151" t="b">
        <v>0</v>
      </c>
    </row>
    <row r="152" spans="1:8" x14ac:dyDescent="0.15">
      <c r="A152">
        <v>8</v>
      </c>
      <c r="B152">
        <v>21</v>
      </c>
      <c r="C152">
        <v>3014251.89453125</v>
      </c>
      <c r="D152">
        <v>2985648.5051003126</v>
      </c>
      <c r="E152">
        <v>2.5057795986845143E-5</v>
      </c>
      <c r="F152">
        <v>2.4970969865607584E-5</v>
      </c>
      <c r="G152">
        <v>8.6826121237558809E-8</v>
      </c>
      <c r="H152" t="b">
        <v>0</v>
      </c>
    </row>
    <row r="153" spans="1:8" x14ac:dyDescent="0.15">
      <c r="A153">
        <v>9</v>
      </c>
      <c r="B153">
        <v>1</v>
      </c>
      <c r="C153">
        <v>6050000</v>
      </c>
      <c r="D153">
        <v>1155831801514.4631</v>
      </c>
      <c r="E153">
        <v>2.4608580405719193E-3</v>
      </c>
      <c r="F153">
        <v>1.7364204871684902E-5</v>
      </c>
      <c r="G153">
        <v>2.4434938357002344E-3</v>
      </c>
      <c r="H153" t="b">
        <v>0</v>
      </c>
    </row>
    <row r="154" spans="1:8" x14ac:dyDescent="0.15">
      <c r="A154">
        <v>9</v>
      </c>
      <c r="B154">
        <v>2</v>
      </c>
      <c r="C154">
        <v>3075000</v>
      </c>
      <c r="D154">
        <v>-2598026.3523588837</v>
      </c>
      <c r="E154">
        <v>7.0637167105590007E-6</v>
      </c>
      <c r="F154">
        <v>1.7364204871684689E-5</v>
      </c>
      <c r="G154">
        <v>-1.0300488161125688E-5</v>
      </c>
      <c r="H154" t="b">
        <v>1</v>
      </c>
    </row>
    <row r="155" spans="1:8" x14ac:dyDescent="0.15">
      <c r="A155">
        <v>9</v>
      </c>
      <c r="B155">
        <v>3</v>
      </c>
      <c r="C155">
        <v>4562500</v>
      </c>
      <c r="D155">
        <v>51597863461.978256</v>
      </c>
      <c r="E155">
        <v>2.3932439255207948E-4</v>
      </c>
      <c r="F155">
        <v>1.7364204871684686E-5</v>
      </c>
      <c r="G155">
        <v>2.2196018768039479E-4</v>
      </c>
      <c r="H155" t="b">
        <v>0</v>
      </c>
    </row>
    <row r="156" spans="1:8" x14ac:dyDescent="0.15">
      <c r="A156">
        <v>9</v>
      </c>
      <c r="B156">
        <v>4</v>
      </c>
      <c r="C156">
        <v>3818750</v>
      </c>
      <c r="D156">
        <v>2802225717.0505786</v>
      </c>
      <c r="E156">
        <v>4.2279490443080773E-5</v>
      </c>
      <c r="F156">
        <v>1.7364204871684689E-5</v>
      </c>
      <c r="G156">
        <v>2.4915285571396084E-5</v>
      </c>
      <c r="H156" t="b">
        <v>0</v>
      </c>
    </row>
    <row r="157" spans="1:8" x14ac:dyDescent="0.15">
      <c r="A157">
        <v>9</v>
      </c>
      <c r="B157">
        <v>5</v>
      </c>
      <c r="C157">
        <v>3446875</v>
      </c>
      <c r="D157">
        <v>-88661275.115548849</v>
      </c>
      <c r="E157">
        <v>1.3730492662688727E-5</v>
      </c>
      <c r="F157">
        <v>1.7364204871684689E-5</v>
      </c>
      <c r="G157">
        <v>-3.6337122089959624E-6</v>
      </c>
      <c r="H157" t="b">
        <v>1</v>
      </c>
    </row>
    <row r="158" spans="1:8" x14ac:dyDescent="0.15">
      <c r="A158">
        <v>9</v>
      </c>
      <c r="B158">
        <v>6</v>
      </c>
      <c r="C158">
        <v>3632812.5</v>
      </c>
      <c r="D158">
        <v>599461622.35719323</v>
      </c>
      <c r="E158">
        <v>2.4757014174770743E-5</v>
      </c>
      <c r="F158">
        <v>1.7364204871684689E-5</v>
      </c>
      <c r="G158">
        <v>7.3928093030860536E-6</v>
      </c>
      <c r="H158" t="b">
        <v>0</v>
      </c>
    </row>
    <row r="159" spans="1:8" x14ac:dyDescent="0.15">
      <c r="A159">
        <v>9</v>
      </c>
      <c r="B159">
        <v>7</v>
      </c>
      <c r="C159">
        <v>3539843.75</v>
      </c>
      <c r="D159">
        <v>65004332.842158854</v>
      </c>
      <c r="E159">
        <v>1.857432229126681E-5</v>
      </c>
      <c r="F159">
        <v>1.7364204871684689E-5</v>
      </c>
      <c r="G159">
        <v>1.2101174195821211E-6</v>
      </c>
      <c r="H159" t="b">
        <v>0</v>
      </c>
    </row>
    <row r="160" spans="1:8" x14ac:dyDescent="0.15">
      <c r="A160">
        <v>9</v>
      </c>
      <c r="B160">
        <v>8</v>
      </c>
      <c r="C160">
        <v>3493359.375</v>
      </c>
      <c r="D160">
        <v>-52560905.551505916</v>
      </c>
      <c r="E160">
        <v>1.5999641947298847E-5</v>
      </c>
      <c r="F160">
        <v>1.7364204871684689E-5</v>
      </c>
      <c r="G160">
        <v>-1.3645629243858424E-6</v>
      </c>
      <c r="H160" t="b">
        <v>1</v>
      </c>
    </row>
    <row r="161" spans="1:8" x14ac:dyDescent="0.15">
      <c r="A161">
        <v>9</v>
      </c>
      <c r="B161">
        <v>9</v>
      </c>
      <c r="C161">
        <v>3516601.5625</v>
      </c>
      <c r="D161">
        <v>-5397620.0027768482</v>
      </c>
      <c r="E161">
        <v>1.7246869033782734E-5</v>
      </c>
      <c r="F161">
        <v>1.7364204871684689E-5</v>
      </c>
      <c r="G161">
        <v>-1.1733583790195457E-7</v>
      </c>
      <c r="H161" t="b">
        <v>1</v>
      </c>
    </row>
    <row r="162" spans="1:8" x14ac:dyDescent="0.15">
      <c r="A162">
        <v>9</v>
      </c>
      <c r="B162">
        <v>10</v>
      </c>
      <c r="C162">
        <v>3528222.65625</v>
      </c>
      <c r="D162">
        <v>26715675.67440531</v>
      </c>
      <c r="E162">
        <v>1.7900320801065875E-5</v>
      </c>
      <c r="F162">
        <v>1.7364204871684689E-5</v>
      </c>
      <c r="G162">
        <v>5.3611592938118633E-7</v>
      </c>
      <c r="H162" t="b">
        <v>0</v>
      </c>
    </row>
    <row r="163" spans="1:8" x14ac:dyDescent="0.15">
      <c r="A163">
        <v>9</v>
      </c>
      <c r="B163">
        <v>11</v>
      </c>
      <c r="C163">
        <v>3522412.109375</v>
      </c>
      <c r="D163">
        <v>9910187.8442509808</v>
      </c>
      <c r="E163">
        <v>1.7571056606103395E-5</v>
      </c>
      <c r="F163">
        <v>1.7364204871684689E-5</v>
      </c>
      <c r="G163">
        <v>2.068517344187063E-7</v>
      </c>
      <c r="H163" t="b">
        <v>0</v>
      </c>
    </row>
    <row r="164" spans="1:8" x14ac:dyDescent="0.15">
      <c r="A164">
        <v>9</v>
      </c>
      <c r="B164">
        <v>12</v>
      </c>
      <c r="C164">
        <v>3519506.8359375</v>
      </c>
      <c r="D164">
        <v>2072017.6029427454</v>
      </c>
      <c r="E164">
        <v>1.7408333767650237E-5</v>
      </c>
      <c r="F164">
        <v>1.7364204871684689E-5</v>
      </c>
      <c r="G164">
        <v>4.4128895965547707E-8</v>
      </c>
      <c r="H164" t="b">
        <v>0</v>
      </c>
    </row>
    <row r="165" spans="1:8" x14ac:dyDescent="0.15">
      <c r="A165">
        <v>9</v>
      </c>
      <c r="B165">
        <v>13</v>
      </c>
      <c r="C165">
        <v>3520959.47265625</v>
      </c>
      <c r="D165">
        <v>5944626.6631912449</v>
      </c>
      <c r="E165">
        <v>1.7489536330041473E-5</v>
      </c>
      <c r="F165">
        <v>1.7364204871684689E-5</v>
      </c>
      <c r="G165">
        <v>1.2533145835678369E-7</v>
      </c>
      <c r="H165" t="b">
        <v>0</v>
      </c>
    </row>
    <row r="166" spans="1:8" x14ac:dyDescent="0.15">
      <c r="A166">
        <v>9</v>
      </c>
      <c r="B166">
        <v>14</v>
      </c>
      <c r="C166">
        <v>3520459.47265625</v>
      </c>
      <c r="D166">
        <v>4601268.2600218942</v>
      </c>
      <c r="E166">
        <v>1.746155160485553E-5</v>
      </c>
      <c r="F166">
        <v>1.7364204871684689E-5</v>
      </c>
      <c r="G166">
        <v>9.7346733170840526E-8</v>
      </c>
      <c r="H166" t="b">
        <v>0</v>
      </c>
    </row>
    <row r="167" spans="1:8" x14ac:dyDescent="0.15">
      <c r="A167">
        <v>9</v>
      </c>
      <c r="B167">
        <v>15</v>
      </c>
      <c r="C167">
        <v>3519859.47265625</v>
      </c>
      <c r="D167">
        <v>3003566.3754094196</v>
      </c>
      <c r="E167">
        <v>1.74280160670242E-5</v>
      </c>
      <c r="F167">
        <v>1.7364204871684689E-5</v>
      </c>
      <c r="G167">
        <v>6.381119533951048E-8</v>
      </c>
      <c r="H167" t="b">
        <v>0</v>
      </c>
    </row>
    <row r="168" spans="1:8" x14ac:dyDescent="0.15">
      <c r="A168">
        <v>9</v>
      </c>
      <c r="B168">
        <v>16</v>
      </c>
      <c r="C168">
        <v>3520159.47265625</v>
      </c>
      <c r="D168">
        <v>3800480.1098969574</v>
      </c>
      <c r="E168">
        <v>1.7444777844356838E-5</v>
      </c>
      <c r="F168">
        <v>1.7364204871684689E-5</v>
      </c>
      <c r="G168">
        <v>8.0572972672148934E-8</v>
      </c>
      <c r="H168" t="b">
        <v>0</v>
      </c>
    </row>
    <row r="169" spans="1:8" x14ac:dyDescent="0.15">
      <c r="A169">
        <v>9</v>
      </c>
      <c r="B169">
        <v>17</v>
      </c>
      <c r="C169">
        <v>3520009.47265625</v>
      </c>
      <c r="D169">
        <v>3401565.6969066998</v>
      </c>
      <c r="E169">
        <v>1.7436396013979781E-5</v>
      </c>
      <c r="F169">
        <v>1.7364204871684689E-5</v>
      </c>
      <c r="G169">
        <v>7.2191142295092065E-8</v>
      </c>
      <c r="H169" t="b">
        <v>0</v>
      </c>
    </row>
    <row r="170" spans="1:8" x14ac:dyDescent="0.15">
      <c r="A170">
        <v>9</v>
      </c>
      <c r="B170">
        <v>18</v>
      </c>
      <c r="C170">
        <v>3520084.47265625</v>
      </c>
      <c r="D170">
        <v>3600899.6801865082</v>
      </c>
      <c r="E170">
        <v>1.7440586508456953E-5</v>
      </c>
      <c r="F170">
        <v>1.7364204871684689E-5</v>
      </c>
      <c r="G170">
        <v>7.6381636772264189E-8</v>
      </c>
      <c r="H170" t="b">
        <v>0</v>
      </c>
    </row>
    <row r="171" spans="1:8" x14ac:dyDescent="0.15">
      <c r="A171">
        <v>9</v>
      </c>
      <c r="B171">
        <v>19</v>
      </c>
      <c r="C171">
        <v>3520046.97265625</v>
      </c>
      <c r="D171">
        <v>3501131.358763021</v>
      </c>
      <c r="E171">
        <v>1.7438489673330494E-5</v>
      </c>
      <c r="F171">
        <v>1.7364204871684689E-5</v>
      </c>
      <c r="G171">
        <v>7.4284801645804706E-8</v>
      </c>
      <c r="H171" t="b">
        <v>0</v>
      </c>
    </row>
    <row r="172" spans="1:8" x14ac:dyDescent="0.15">
      <c r="A172">
        <v>10</v>
      </c>
      <c r="B172">
        <v>1</v>
      </c>
      <c r="C172">
        <v>6050000</v>
      </c>
      <c r="D172">
        <v>1547690668433.1921</v>
      </c>
      <c r="E172">
        <v>2.1330115180372318E-3</v>
      </c>
      <c r="F172">
        <v>1.3063760474261044E-5</v>
      </c>
      <c r="G172">
        <v>2.1199477575629708E-3</v>
      </c>
      <c r="H172" t="b">
        <v>0</v>
      </c>
    </row>
    <row r="173" spans="1:8" x14ac:dyDescent="0.15">
      <c r="A173">
        <v>10</v>
      </c>
      <c r="B173">
        <v>2</v>
      </c>
      <c r="C173">
        <v>3075000</v>
      </c>
      <c r="D173">
        <v>-2440548.4683973743</v>
      </c>
      <c r="E173">
        <v>5.2203871916783851E-6</v>
      </c>
      <c r="F173">
        <v>1.3063760474261146E-5</v>
      </c>
      <c r="G173">
        <v>-7.8433732825827608E-6</v>
      </c>
      <c r="H173" t="b">
        <v>1</v>
      </c>
    </row>
    <row r="174" spans="1:8" x14ac:dyDescent="0.15">
      <c r="A174">
        <v>10</v>
      </c>
      <c r="B174">
        <v>3</v>
      </c>
      <c r="C174">
        <v>4562500</v>
      </c>
      <c r="D174">
        <v>58573478271.941559</v>
      </c>
      <c r="E174">
        <v>1.8371320525514394E-4</v>
      </c>
      <c r="F174">
        <v>1.3063760474261153E-5</v>
      </c>
      <c r="G174">
        <v>1.7064944478088279E-4</v>
      </c>
      <c r="H174" t="b">
        <v>0</v>
      </c>
    </row>
    <row r="175" spans="1:8" x14ac:dyDescent="0.15">
      <c r="A175">
        <v>10</v>
      </c>
      <c r="B175">
        <v>4</v>
      </c>
      <c r="C175">
        <v>3818750</v>
      </c>
      <c r="D175">
        <v>2632820591.68045</v>
      </c>
      <c r="E175">
        <v>2.9887713976268986E-5</v>
      </c>
      <c r="F175">
        <v>1.3063760474261146E-5</v>
      </c>
      <c r="G175">
        <v>1.682395350200784E-5</v>
      </c>
      <c r="H175" t="b">
        <v>0</v>
      </c>
    </row>
    <row r="176" spans="1:8" x14ac:dyDescent="0.15">
      <c r="A176">
        <v>10</v>
      </c>
      <c r="B176">
        <v>5</v>
      </c>
      <c r="C176">
        <v>3446875</v>
      </c>
      <c r="D176">
        <v>-82751648.887036562</v>
      </c>
      <c r="E176">
        <v>1.0435821842650819E-5</v>
      </c>
      <c r="F176">
        <v>1.3063760474261146E-5</v>
      </c>
      <c r="G176">
        <v>-2.627938631610327E-6</v>
      </c>
      <c r="H176" t="b">
        <v>1</v>
      </c>
    </row>
    <row r="177" spans="1:8" x14ac:dyDescent="0.15">
      <c r="A177">
        <v>10</v>
      </c>
      <c r="B177">
        <v>6</v>
      </c>
      <c r="C177">
        <v>3632812.5</v>
      </c>
      <c r="D177">
        <v>407182646.78910375</v>
      </c>
      <c r="E177">
        <v>1.7072123338440422E-5</v>
      </c>
      <c r="F177">
        <v>1.3063760474261146E-5</v>
      </c>
      <c r="G177">
        <v>4.0083628641792758E-6</v>
      </c>
      <c r="H177" t="b">
        <v>0</v>
      </c>
    </row>
    <row r="178" spans="1:8" x14ac:dyDescent="0.15">
      <c r="A178">
        <v>10</v>
      </c>
      <c r="B178">
        <v>7</v>
      </c>
      <c r="C178">
        <v>3539843.75</v>
      </c>
      <c r="D178">
        <v>-23795905.108631823</v>
      </c>
      <c r="E178">
        <v>1.2638934824769596E-5</v>
      </c>
      <c r="F178">
        <v>1.3063760474261146E-5</v>
      </c>
      <c r="G178">
        <v>-4.2482564949155007E-7</v>
      </c>
      <c r="H178" t="b">
        <v>1</v>
      </c>
    </row>
    <row r="179" spans="1:8" x14ac:dyDescent="0.15">
      <c r="A179">
        <v>10</v>
      </c>
      <c r="B179">
        <v>8</v>
      </c>
      <c r="C179">
        <v>3586328.125</v>
      </c>
      <c r="D179">
        <v>129231186.56055948</v>
      </c>
      <c r="E179">
        <v>1.4718428360625588E-5</v>
      </c>
      <c r="F179">
        <v>1.3063760474261146E-5</v>
      </c>
      <c r="G179">
        <v>1.6546678863644421E-6</v>
      </c>
      <c r="H179" t="b">
        <v>0</v>
      </c>
    </row>
    <row r="180" spans="1:8" x14ac:dyDescent="0.15">
      <c r="A180">
        <v>10</v>
      </c>
      <c r="B180">
        <v>9</v>
      </c>
      <c r="C180">
        <v>3563085.9375</v>
      </c>
      <c r="D180">
        <v>38883674.488846019</v>
      </c>
      <c r="E180">
        <v>1.3645338361628247E-5</v>
      </c>
      <c r="F180">
        <v>1.3063760474261146E-5</v>
      </c>
      <c r="G180">
        <v>5.8157788736710112E-7</v>
      </c>
      <c r="H180" t="b">
        <v>0</v>
      </c>
    </row>
    <row r="181" spans="1:8" x14ac:dyDescent="0.15">
      <c r="A181">
        <v>10</v>
      </c>
      <c r="B181">
        <v>10</v>
      </c>
      <c r="C181">
        <v>3551464.84375</v>
      </c>
      <c r="D181">
        <v>4312416.6127434298</v>
      </c>
      <c r="E181">
        <v>1.313401361594117E-5</v>
      </c>
      <c r="F181">
        <v>1.3063760474261146E-5</v>
      </c>
      <c r="G181">
        <v>7.0253141680024463E-8</v>
      </c>
      <c r="H181" t="b">
        <v>0</v>
      </c>
    </row>
    <row r="182" spans="1:8" x14ac:dyDescent="0.15">
      <c r="A182">
        <v>10</v>
      </c>
      <c r="B182">
        <v>11</v>
      </c>
      <c r="C182">
        <v>3545654.296875</v>
      </c>
      <c r="D182">
        <v>-10521722.486069482</v>
      </c>
      <c r="E182">
        <v>1.288446968171771E-5</v>
      </c>
      <c r="F182">
        <v>1.3063760474261146E-5</v>
      </c>
      <c r="G182">
        <v>-1.7929079254343577E-7</v>
      </c>
      <c r="H182" t="b">
        <v>1</v>
      </c>
    </row>
    <row r="183" spans="1:8" x14ac:dyDescent="0.15">
      <c r="A183">
        <v>10</v>
      </c>
      <c r="B183">
        <v>12</v>
      </c>
      <c r="C183">
        <v>3548559.5703125</v>
      </c>
      <c r="D183">
        <v>-3303183.0598668815</v>
      </c>
      <c r="E183">
        <v>1.3008736113592278E-5</v>
      </c>
      <c r="F183">
        <v>1.3063760474261146E-5</v>
      </c>
      <c r="G183">
        <v>-5.5024360668867785E-8</v>
      </c>
      <c r="H183" t="b">
        <v>1</v>
      </c>
    </row>
    <row r="184" spans="1:8" x14ac:dyDescent="0.15">
      <c r="A184">
        <v>10</v>
      </c>
      <c r="B184">
        <v>13</v>
      </c>
      <c r="C184">
        <v>3550012.20703125</v>
      </c>
      <c r="D184">
        <v>454599.40720392135</v>
      </c>
      <c r="E184">
        <v>1.3071248915687411E-5</v>
      </c>
      <c r="F184">
        <v>1.3063760474261146E-5</v>
      </c>
      <c r="G184">
        <v>7.4884414262653393E-9</v>
      </c>
      <c r="H184" t="b">
        <v>0</v>
      </c>
    </row>
    <row r="185" spans="1:8" x14ac:dyDescent="0.15">
      <c r="A185">
        <v>10</v>
      </c>
      <c r="B185">
        <v>14</v>
      </c>
      <c r="C185">
        <v>3550512.20703125</v>
      </c>
      <c r="D185">
        <v>1771124.73615831</v>
      </c>
      <c r="E185">
        <v>1.3092824033259684E-5</v>
      </c>
      <c r="F185">
        <v>1.3063760474261146E-5</v>
      </c>
      <c r="G185">
        <v>2.9063558998537932E-8</v>
      </c>
      <c r="H185" t="b">
        <v>0</v>
      </c>
    </row>
    <row r="186" spans="1:8" x14ac:dyDescent="0.15">
      <c r="A186">
        <v>10</v>
      </c>
      <c r="B186">
        <v>15</v>
      </c>
      <c r="C186">
        <v>3551112.20703125</v>
      </c>
      <c r="D186">
        <v>3366659.658077071</v>
      </c>
      <c r="E186">
        <v>1.3118753789800043E-5</v>
      </c>
      <c r="F186">
        <v>1.3063760474261146E-5</v>
      </c>
      <c r="G186">
        <v>5.4993315538896654E-8</v>
      </c>
      <c r="H186" t="b">
        <v>0</v>
      </c>
    </row>
    <row r="187" spans="1:8" x14ac:dyDescent="0.15">
      <c r="A187">
        <v>10</v>
      </c>
      <c r="B187">
        <v>16</v>
      </c>
      <c r="C187">
        <v>3551832.20703125</v>
      </c>
      <c r="D187">
        <v>5303998.131635678</v>
      </c>
      <c r="E187">
        <v>1.3149926621018633E-5</v>
      </c>
      <c r="F187">
        <v>1.3063760474261146E-5</v>
      </c>
      <c r="G187">
        <v>8.6166146757487091E-8</v>
      </c>
      <c r="H187" t="b">
        <v>0</v>
      </c>
    </row>
    <row r="188" spans="1:8" x14ac:dyDescent="0.15">
      <c r="A188">
        <v>10</v>
      </c>
      <c r="B188">
        <v>17</v>
      </c>
      <c r="C188">
        <v>3551472.20703125</v>
      </c>
      <c r="D188">
        <v>4332228.0036152592</v>
      </c>
      <c r="E188">
        <v>1.3134332410309214E-5</v>
      </c>
      <c r="F188">
        <v>1.3063760474261146E-5</v>
      </c>
      <c r="G188">
        <v>7.0571936048067913E-8</v>
      </c>
      <c r="H188" t="b">
        <v>0</v>
      </c>
    </row>
    <row r="189" spans="1:8" x14ac:dyDescent="0.15">
      <c r="A189">
        <v>10</v>
      </c>
      <c r="B189">
        <v>18</v>
      </c>
      <c r="C189">
        <v>3551040.20703125</v>
      </c>
      <c r="D189">
        <v>3174219.3522577146</v>
      </c>
      <c r="E189">
        <v>1.3115638806897649E-5</v>
      </c>
      <c r="F189">
        <v>1.3063760474261146E-5</v>
      </c>
      <c r="G189">
        <v>5.1878332636502958E-8</v>
      </c>
      <c r="H189" t="b">
        <v>0</v>
      </c>
    </row>
    <row r="190" spans="1:8" x14ac:dyDescent="0.15">
      <c r="A190">
        <v>10</v>
      </c>
      <c r="B190">
        <v>19</v>
      </c>
      <c r="C190">
        <v>3551256.20703125</v>
      </c>
      <c r="D190">
        <v>3752143.6329498827</v>
      </c>
      <c r="E190">
        <v>1.3124983367979453E-5</v>
      </c>
      <c r="F190">
        <v>1.3063760474261146E-5</v>
      </c>
      <c r="G190">
        <v>6.1222893718307101E-8</v>
      </c>
      <c r="H190" t="b">
        <v>0</v>
      </c>
    </row>
    <row r="191" spans="1:8" x14ac:dyDescent="0.15">
      <c r="A191">
        <v>10</v>
      </c>
      <c r="B191">
        <v>20</v>
      </c>
      <c r="C191">
        <v>3551148.20703125</v>
      </c>
      <c r="D191">
        <v>3462937.791153938</v>
      </c>
      <c r="E191">
        <v>1.3120310950647878E-5</v>
      </c>
      <c r="F191">
        <v>1.3063760474261146E-5</v>
      </c>
      <c r="G191">
        <v>5.6550476386732314E-8</v>
      </c>
      <c r="H191" t="b">
        <v>0</v>
      </c>
    </row>
    <row r="192" spans="1:8" x14ac:dyDescent="0.15">
      <c r="A192">
        <v>10</v>
      </c>
      <c r="B192">
        <v>21</v>
      </c>
      <c r="C192">
        <v>3551202.20703125</v>
      </c>
      <c r="D192">
        <v>3607471.0541344271</v>
      </c>
      <c r="E192">
        <v>1.3122646984029487E-5</v>
      </c>
      <c r="F192">
        <v>1.3063760474261146E-5</v>
      </c>
      <c r="G192">
        <v>5.8886509768341531E-8</v>
      </c>
      <c r="H192" t="b">
        <v>0</v>
      </c>
    </row>
    <row r="193" spans="1:8" x14ac:dyDescent="0.15">
      <c r="A193">
        <v>10</v>
      </c>
      <c r="B193">
        <v>22</v>
      </c>
      <c r="C193">
        <v>3551175.20703125</v>
      </c>
      <c r="D193">
        <v>3535117.1535902843</v>
      </c>
      <c r="E193">
        <v>1.3121477794443165E-5</v>
      </c>
      <c r="F193">
        <v>1.3063760474261146E-5</v>
      </c>
      <c r="G193">
        <v>5.7717320182019369E-8</v>
      </c>
      <c r="H193" t="b">
        <v>0</v>
      </c>
    </row>
    <row r="194" spans="1:8" x14ac:dyDescent="0.15">
      <c r="A194">
        <v>11</v>
      </c>
      <c r="B194">
        <v>1</v>
      </c>
      <c r="C194">
        <v>6050000</v>
      </c>
      <c r="D194">
        <v>3335332864341.3892</v>
      </c>
      <c r="E194">
        <v>3.7175511959775553E-3</v>
      </c>
      <c r="F194">
        <v>1.2413154456919658E-5</v>
      </c>
      <c r="G194">
        <v>3.7051380415206356E-3</v>
      </c>
      <c r="H194" t="b">
        <v>0</v>
      </c>
    </row>
    <row r="195" spans="1:8" x14ac:dyDescent="0.15">
      <c r="A195">
        <v>11</v>
      </c>
      <c r="B195">
        <v>2</v>
      </c>
      <c r="C195">
        <v>3075000</v>
      </c>
      <c r="D195">
        <v>-28087522.259706475</v>
      </c>
      <c r="E195">
        <v>7.487117273751193E-6</v>
      </c>
      <c r="F195">
        <v>1.2413154456919507E-5</v>
      </c>
      <c r="G195">
        <v>-4.9260371831683137E-6</v>
      </c>
      <c r="H195" t="b">
        <v>1</v>
      </c>
    </row>
    <row r="196" spans="1:8" x14ac:dyDescent="0.15">
      <c r="A196">
        <v>11</v>
      </c>
      <c r="B196">
        <v>3</v>
      </c>
      <c r="C196">
        <v>4562500</v>
      </c>
      <c r="D196">
        <v>139044496205.86633</v>
      </c>
      <c r="E196">
        <v>3.2526970883903374E-4</v>
      </c>
      <c r="F196">
        <v>1.2413154456919495E-5</v>
      </c>
      <c r="G196">
        <v>3.1285655438211425E-4</v>
      </c>
      <c r="H196" t="b">
        <v>0</v>
      </c>
    </row>
    <row r="197" spans="1:8" x14ac:dyDescent="0.15">
      <c r="A197">
        <v>11</v>
      </c>
      <c r="B197">
        <v>4</v>
      </c>
      <c r="C197">
        <v>3818750</v>
      </c>
      <c r="D197">
        <v>10147731231.710287</v>
      </c>
      <c r="E197">
        <v>5.6612589803231617E-5</v>
      </c>
      <c r="F197">
        <v>1.2413154456919508E-5</v>
      </c>
      <c r="G197">
        <v>4.4199435346312109E-5</v>
      </c>
      <c r="H197" t="b">
        <v>0</v>
      </c>
    </row>
    <row r="198" spans="1:8" x14ac:dyDescent="0.15">
      <c r="A198">
        <v>11</v>
      </c>
      <c r="B198">
        <v>5</v>
      </c>
      <c r="C198">
        <v>3446875</v>
      </c>
      <c r="D198">
        <v>739145825.31375301</v>
      </c>
      <c r="E198">
        <v>1.8401528157534613E-5</v>
      </c>
      <c r="F198">
        <v>1.2413154456919507E-5</v>
      </c>
      <c r="G198">
        <v>5.988373700615106E-6</v>
      </c>
      <c r="H198" t="b">
        <v>0</v>
      </c>
    </row>
    <row r="199" spans="1:8" x14ac:dyDescent="0.15">
      <c r="A199">
        <v>11</v>
      </c>
      <c r="B199">
        <v>6</v>
      </c>
      <c r="C199">
        <v>3260937.5</v>
      </c>
      <c r="D199">
        <v>-71154491.969146907</v>
      </c>
      <c r="E199">
        <v>1.0612423223397162E-5</v>
      </c>
      <c r="F199">
        <v>1.2413154456919507E-5</v>
      </c>
      <c r="G199">
        <v>-1.8007312335223446E-6</v>
      </c>
      <c r="H199" t="b">
        <v>1</v>
      </c>
    </row>
    <row r="200" spans="1:8" x14ac:dyDescent="0.15">
      <c r="A200">
        <v>11</v>
      </c>
      <c r="B200">
        <v>7</v>
      </c>
      <c r="C200">
        <v>3353906.25</v>
      </c>
      <c r="D200">
        <v>71664786.716016382</v>
      </c>
      <c r="E200">
        <v>1.3405462437798261E-5</v>
      </c>
      <c r="F200">
        <v>1.2413154456919507E-5</v>
      </c>
      <c r="G200">
        <v>9.9230798087875386E-7</v>
      </c>
      <c r="H200" t="b">
        <v>0</v>
      </c>
    </row>
    <row r="201" spans="1:8" x14ac:dyDescent="0.15">
      <c r="A201">
        <v>11</v>
      </c>
      <c r="B201">
        <v>8</v>
      </c>
      <c r="C201">
        <v>3307421.875</v>
      </c>
      <c r="D201">
        <v>-44985527.5035019</v>
      </c>
      <c r="E201">
        <v>1.1519475709496085E-5</v>
      </c>
      <c r="F201">
        <v>1.2413154456919507E-5</v>
      </c>
      <c r="G201">
        <v>-8.9367874742342214E-7</v>
      </c>
      <c r="H201" t="b">
        <v>1</v>
      </c>
    </row>
    <row r="202" spans="1:8" x14ac:dyDescent="0.15">
      <c r="A202">
        <v>11</v>
      </c>
      <c r="B202">
        <v>9</v>
      </c>
      <c r="C202">
        <v>3330664.0625</v>
      </c>
      <c r="D202">
        <v>-3690518.571373242</v>
      </c>
      <c r="E202">
        <v>1.2351766182731593E-5</v>
      </c>
      <c r="F202">
        <v>1.2413154456919507E-5</v>
      </c>
      <c r="G202">
        <v>-6.1388274187913817E-8</v>
      </c>
      <c r="H202" t="b">
        <v>1</v>
      </c>
    </row>
    <row r="203" spans="1:8" x14ac:dyDescent="0.15">
      <c r="A203">
        <v>11</v>
      </c>
      <c r="B203">
        <v>10</v>
      </c>
      <c r="C203">
        <v>3342285.15625</v>
      </c>
      <c r="D203">
        <v>30166909.04030861</v>
      </c>
      <c r="E203">
        <v>1.2869496638512633E-5</v>
      </c>
      <c r="F203">
        <v>1.2413154456919507E-5</v>
      </c>
      <c r="G203">
        <v>4.5634218159312613E-7</v>
      </c>
      <c r="H203" t="b">
        <v>0</v>
      </c>
    </row>
    <row r="204" spans="1:8" x14ac:dyDescent="0.15">
      <c r="A204">
        <v>11</v>
      </c>
      <c r="B204">
        <v>11</v>
      </c>
      <c r="C204">
        <v>3336474.609375</v>
      </c>
      <c r="D204">
        <v>12318041.872187372</v>
      </c>
      <c r="E204">
        <v>1.2608382839093636E-5</v>
      </c>
      <c r="F204">
        <v>1.2413154456919507E-5</v>
      </c>
      <c r="G204">
        <v>1.9522838217412974E-7</v>
      </c>
      <c r="H204" t="b">
        <v>0</v>
      </c>
    </row>
    <row r="205" spans="1:8" x14ac:dyDescent="0.15">
      <c r="A205">
        <v>11</v>
      </c>
      <c r="B205">
        <v>12</v>
      </c>
      <c r="C205">
        <v>3333569.3359375</v>
      </c>
      <c r="D205">
        <v>4088063.0185956345</v>
      </c>
      <c r="E205">
        <v>1.2479516440773095E-5</v>
      </c>
      <c r="F205">
        <v>1.2413154456919507E-5</v>
      </c>
      <c r="G205">
        <v>6.6361983853587884E-8</v>
      </c>
      <c r="H205" t="b">
        <v>0</v>
      </c>
    </row>
    <row r="206" spans="1:8" x14ac:dyDescent="0.15">
      <c r="A206">
        <v>11</v>
      </c>
      <c r="B206">
        <v>13</v>
      </c>
      <c r="C206">
        <v>3332116.69921875</v>
      </c>
      <c r="D206">
        <v>142956.24942692905</v>
      </c>
      <c r="E206">
        <v>1.2415503429965071E-5</v>
      </c>
      <c r="F206">
        <v>1.2413154456919507E-5</v>
      </c>
      <c r="G206">
        <v>2.3489730455640708E-9</v>
      </c>
      <c r="H206" t="b">
        <v>0</v>
      </c>
    </row>
    <row r="207" spans="1:8" x14ac:dyDescent="0.15">
      <c r="A207">
        <v>11</v>
      </c>
      <c r="B207">
        <v>14</v>
      </c>
      <c r="C207">
        <v>3332616.69921875</v>
      </c>
      <c r="D207">
        <v>1488224.9118974241</v>
      </c>
      <c r="E207">
        <v>1.2437505795115633E-5</v>
      </c>
      <c r="F207">
        <v>1.2413154456919507E-5</v>
      </c>
      <c r="G207">
        <v>2.4351338196125833E-8</v>
      </c>
      <c r="H207" t="b">
        <v>0</v>
      </c>
    </row>
    <row r="208" spans="1:8" x14ac:dyDescent="0.15">
      <c r="A208">
        <v>11</v>
      </c>
      <c r="B208">
        <v>15</v>
      </c>
      <c r="C208">
        <v>3333216.69921875</v>
      </c>
      <c r="D208">
        <v>3120088.8587067905</v>
      </c>
      <c r="E208">
        <v>1.2463952176444083E-5</v>
      </c>
      <c r="F208">
        <v>1.2413154456919507E-5</v>
      </c>
      <c r="G208">
        <v>5.0797719524576281E-8</v>
      </c>
      <c r="H208" t="b">
        <v>0</v>
      </c>
    </row>
    <row r="209" spans="1:8" x14ac:dyDescent="0.15">
      <c r="A209">
        <v>11</v>
      </c>
      <c r="B209">
        <v>16</v>
      </c>
      <c r="C209">
        <v>3333936.69921875</v>
      </c>
      <c r="D209">
        <v>5103610.4668878578</v>
      </c>
      <c r="E209">
        <v>1.2495749412333322E-5</v>
      </c>
      <c r="F209">
        <v>1.2413154456919507E-5</v>
      </c>
      <c r="G209">
        <v>8.2594955413814851E-8</v>
      </c>
      <c r="H209" t="b">
        <v>0</v>
      </c>
    </row>
    <row r="210" spans="1:8" x14ac:dyDescent="0.15">
      <c r="A210">
        <v>11</v>
      </c>
      <c r="B210">
        <v>17</v>
      </c>
      <c r="C210">
        <v>3333576.69921875</v>
      </c>
      <c r="D210">
        <v>4108418.7368399068</v>
      </c>
      <c r="E210">
        <v>1.2479842777722364E-5</v>
      </c>
      <c r="F210">
        <v>1.2413154456919507E-5</v>
      </c>
      <c r="G210">
        <v>6.6688320802857338E-8</v>
      </c>
      <c r="H210" t="b">
        <v>0</v>
      </c>
    </row>
    <row r="211" spans="1:8" x14ac:dyDescent="0.15">
      <c r="A211">
        <v>11</v>
      </c>
      <c r="B211">
        <v>18</v>
      </c>
      <c r="C211">
        <v>3333144.69921875</v>
      </c>
      <c r="D211">
        <v>2923181.6938921171</v>
      </c>
      <c r="E211">
        <v>1.246077495729211E-5</v>
      </c>
      <c r="F211">
        <v>1.2413154456919507E-5</v>
      </c>
      <c r="G211">
        <v>4.7620500372603453E-8</v>
      </c>
      <c r="H211" t="b">
        <v>0</v>
      </c>
    </row>
    <row r="212" spans="1:8" x14ac:dyDescent="0.15">
      <c r="A212">
        <v>11</v>
      </c>
      <c r="B212">
        <v>19</v>
      </c>
      <c r="C212">
        <v>3333360.69921875</v>
      </c>
      <c r="D212">
        <v>3514588.5443710857</v>
      </c>
      <c r="E212">
        <v>1.2470306335998715E-5</v>
      </c>
      <c r="F212">
        <v>1.2413154456919507E-5</v>
      </c>
      <c r="G212">
        <v>5.7151879079208267E-8</v>
      </c>
      <c r="H212" t="b">
        <v>0</v>
      </c>
    </row>
    <row r="213" spans="1:8" x14ac:dyDescent="0.15">
      <c r="A213">
        <v>11</v>
      </c>
      <c r="B213">
        <v>20</v>
      </c>
      <c r="C213">
        <v>3333252.69921875</v>
      </c>
      <c r="D213">
        <v>3218610.750865323</v>
      </c>
      <c r="E213">
        <v>1.2465540471253249E-5</v>
      </c>
      <c r="F213">
        <v>1.2413154456919507E-5</v>
      </c>
      <c r="G213">
        <v>5.2386014333741994E-8</v>
      </c>
      <c r="H213" t="b">
        <v>0</v>
      </c>
    </row>
    <row r="214" spans="1:8" x14ac:dyDescent="0.15">
      <c r="A214">
        <v>11</v>
      </c>
      <c r="B214">
        <v>21</v>
      </c>
      <c r="C214">
        <v>3333306.69921875</v>
      </c>
      <c r="D214">
        <v>3366452.2350945263</v>
      </c>
      <c r="E214">
        <v>1.2467922090625813E-5</v>
      </c>
      <c r="F214">
        <v>1.2413154456919507E-5</v>
      </c>
      <c r="G214">
        <v>5.4767633706306572E-8</v>
      </c>
      <c r="H214" t="b">
        <v>0</v>
      </c>
    </row>
    <row r="215" spans="1:8" x14ac:dyDescent="0.15">
      <c r="A215">
        <v>12</v>
      </c>
      <c r="B215">
        <v>1</v>
      </c>
      <c r="C215">
        <v>6050000</v>
      </c>
      <c r="D215">
        <v>48644975426082.023</v>
      </c>
      <c r="E215">
        <v>3.4318459128679556E-2</v>
      </c>
      <c r="F215">
        <v>1.3101817863396537E-5</v>
      </c>
      <c r="G215">
        <v>3.4305357310816159E-2</v>
      </c>
      <c r="H215" t="b">
        <v>0</v>
      </c>
    </row>
    <row r="216" spans="1:8" x14ac:dyDescent="0.15">
      <c r="A216">
        <v>12</v>
      </c>
      <c r="B216">
        <v>2</v>
      </c>
      <c r="C216">
        <v>3075000</v>
      </c>
      <c r="D216">
        <v>13667287474.181742</v>
      </c>
      <c r="E216">
        <v>7.1062149237102024E-5</v>
      </c>
      <c r="F216">
        <v>1.3101817863397777E-5</v>
      </c>
      <c r="G216">
        <v>5.7960331373704248E-5</v>
      </c>
      <c r="H216" t="b">
        <v>0</v>
      </c>
    </row>
    <row r="217" spans="1:8" x14ac:dyDescent="0.15">
      <c r="A217">
        <v>12</v>
      </c>
      <c r="B217">
        <v>3</v>
      </c>
      <c r="C217">
        <v>1587500</v>
      </c>
      <c r="D217">
        <v>-76172.292813684937</v>
      </c>
      <c r="E217">
        <v>-1.5515824210683534E-6</v>
      </c>
      <c r="F217">
        <v>1.3101817863397777E-5</v>
      </c>
      <c r="G217">
        <v>-1.465340028446613E-5</v>
      </c>
      <c r="H217" t="b">
        <v>1</v>
      </c>
    </row>
    <row r="218" spans="1:8" x14ac:dyDescent="0.15">
      <c r="A218">
        <v>12</v>
      </c>
      <c r="B218">
        <v>4</v>
      </c>
      <c r="C218">
        <v>2331250</v>
      </c>
      <c r="D218">
        <v>-2675866.5769005455</v>
      </c>
      <c r="E218">
        <v>5.3382095979629663E-6</v>
      </c>
      <c r="F218">
        <v>1.3101817863397777E-5</v>
      </c>
      <c r="G218">
        <v>-7.7636082654348094E-6</v>
      </c>
      <c r="H218" t="b">
        <v>1</v>
      </c>
    </row>
    <row r="219" spans="1:8" x14ac:dyDescent="0.15">
      <c r="A219">
        <v>12</v>
      </c>
      <c r="B219">
        <v>5</v>
      </c>
      <c r="C219">
        <v>2703125</v>
      </c>
      <c r="D219">
        <v>234425926.24415994</v>
      </c>
      <c r="E219">
        <v>1.5774400362251349E-5</v>
      </c>
      <c r="F219">
        <v>1.3101817863397777E-5</v>
      </c>
      <c r="G219">
        <v>2.6725824988535723E-6</v>
      </c>
      <c r="H219" t="b">
        <v>0</v>
      </c>
    </row>
    <row r="220" spans="1:8" x14ac:dyDescent="0.15">
      <c r="A220">
        <v>12</v>
      </c>
      <c r="B220">
        <v>6</v>
      </c>
      <c r="C220">
        <v>2517187.5</v>
      </c>
      <c r="D220">
        <v>-55852635.942216173</v>
      </c>
      <c r="E220">
        <v>8.7607133184545196E-6</v>
      </c>
      <c r="F220">
        <v>1.3101817863397777E-5</v>
      </c>
      <c r="G220">
        <v>-4.3411045449432569E-6</v>
      </c>
      <c r="H220" t="b">
        <v>1</v>
      </c>
    </row>
    <row r="221" spans="1:8" x14ac:dyDescent="0.15">
      <c r="A221">
        <v>12</v>
      </c>
      <c r="B221">
        <v>7</v>
      </c>
      <c r="C221">
        <v>2610156.25</v>
      </c>
      <c r="D221">
        <v>-78393196.161499977</v>
      </c>
      <c r="E221">
        <v>1.0981881399850131E-5</v>
      </c>
      <c r="F221">
        <v>1.3101817863397777E-5</v>
      </c>
      <c r="G221">
        <v>-2.1199364635476454E-6</v>
      </c>
      <c r="H221" t="b">
        <v>1</v>
      </c>
    </row>
    <row r="222" spans="1:8" x14ac:dyDescent="0.15">
      <c r="A222">
        <v>12</v>
      </c>
      <c r="B222">
        <v>8</v>
      </c>
      <c r="C222">
        <v>2656640.625</v>
      </c>
      <c r="D222">
        <v>-21109785.358439051</v>
      </c>
      <c r="E222">
        <v>1.2725713222947621E-5</v>
      </c>
      <c r="F222">
        <v>1.3101817863397777E-5</v>
      </c>
      <c r="G222">
        <v>-3.7610464045015522E-7</v>
      </c>
      <c r="H222" t="b">
        <v>1</v>
      </c>
    </row>
    <row r="223" spans="1:8" x14ac:dyDescent="0.15">
      <c r="A223">
        <v>12</v>
      </c>
      <c r="B223">
        <v>9</v>
      </c>
      <c r="C223">
        <v>2679882.8125</v>
      </c>
      <c r="D223">
        <v>77357053.145657271</v>
      </c>
      <c r="E223">
        <v>1.4182845926543727E-5</v>
      </c>
      <c r="F223">
        <v>1.3101817863397777E-5</v>
      </c>
      <c r="G223">
        <v>1.0810280631459507E-6</v>
      </c>
      <c r="H223" t="b">
        <v>0</v>
      </c>
    </row>
    <row r="224" spans="1:8" x14ac:dyDescent="0.15">
      <c r="A224">
        <v>12</v>
      </c>
      <c r="B224">
        <v>10</v>
      </c>
      <c r="C224">
        <v>2668261.71875</v>
      </c>
      <c r="D224">
        <v>21457652.446983561</v>
      </c>
      <c r="E224">
        <v>1.3438410470986796E-5</v>
      </c>
      <c r="F224">
        <v>1.3101817863397777E-5</v>
      </c>
      <c r="G224">
        <v>3.3659260758901936E-7</v>
      </c>
      <c r="H224" t="b">
        <v>0</v>
      </c>
    </row>
    <row r="225" spans="1:8" x14ac:dyDescent="0.15">
      <c r="A225">
        <v>12</v>
      </c>
      <c r="B225">
        <v>11</v>
      </c>
      <c r="C225">
        <v>2662451.171875</v>
      </c>
      <c r="D225">
        <v>-1433093.6773878646</v>
      </c>
      <c r="E225">
        <v>1.3077897608680643E-5</v>
      </c>
      <c r="F225">
        <v>1.3101817863397777E-5</v>
      </c>
      <c r="G225">
        <v>-2.3920254717133549E-8</v>
      </c>
      <c r="H225" t="b">
        <v>1</v>
      </c>
    </row>
    <row r="226" spans="1:8" x14ac:dyDescent="0.15">
      <c r="A226">
        <v>12</v>
      </c>
      <c r="B226">
        <v>12</v>
      </c>
      <c r="C226">
        <v>2665356.4453125</v>
      </c>
      <c r="D226">
        <v>9600312.9956180044</v>
      </c>
      <c r="E226">
        <v>1.3257102956395156E-5</v>
      </c>
      <c r="F226">
        <v>1.3101817863397777E-5</v>
      </c>
      <c r="G226">
        <v>1.5528509299737933E-7</v>
      </c>
      <c r="H226" t="b">
        <v>0</v>
      </c>
    </row>
    <row r="227" spans="1:8" x14ac:dyDescent="0.15">
      <c r="A227">
        <v>12</v>
      </c>
      <c r="B227">
        <v>13</v>
      </c>
      <c r="C227">
        <v>2663903.80859375</v>
      </c>
      <c r="D227">
        <v>3981899.4481187686</v>
      </c>
      <c r="E227">
        <v>1.3167238761781404E-5</v>
      </c>
      <c r="F227">
        <v>1.3101817863397777E-5</v>
      </c>
      <c r="G227">
        <v>6.5420898383627615E-8</v>
      </c>
      <c r="H227" t="b">
        <v>0</v>
      </c>
    </row>
    <row r="228" spans="1:8" x14ac:dyDescent="0.15">
      <c r="A228">
        <v>12</v>
      </c>
      <c r="B228">
        <v>14</v>
      </c>
      <c r="C228">
        <v>2662703.80859375</v>
      </c>
      <c r="D228">
        <v>-505840.79871630284</v>
      </c>
      <c r="E228">
        <v>1.3093397999372335E-5</v>
      </c>
      <c r="F228">
        <v>1.3101817863397777E-5</v>
      </c>
      <c r="G228">
        <v>-8.4198640254413244E-9</v>
      </c>
      <c r="H228" t="b">
        <v>1</v>
      </c>
    </row>
    <row r="229" spans="1:8" x14ac:dyDescent="0.15">
      <c r="A229">
        <v>12</v>
      </c>
      <c r="B229">
        <v>15</v>
      </c>
      <c r="C229">
        <v>2663303.80859375</v>
      </c>
      <c r="D229">
        <v>1720688.7458653066</v>
      </c>
      <c r="E229">
        <v>1.3130272560802886E-5</v>
      </c>
      <c r="F229">
        <v>1.3101817863397777E-5</v>
      </c>
      <c r="G229">
        <v>2.8454697405109718E-8</v>
      </c>
      <c r="H229" t="b">
        <v>0</v>
      </c>
    </row>
    <row r="230" spans="1:8" x14ac:dyDescent="0.15">
      <c r="A230">
        <v>12</v>
      </c>
      <c r="B230">
        <v>16</v>
      </c>
      <c r="C230">
        <v>2664023.80859375</v>
      </c>
      <c r="D230">
        <v>4438284.6145249205</v>
      </c>
      <c r="E230">
        <v>1.3174642445773727E-5</v>
      </c>
      <c r="F230">
        <v>1.3101817863397777E-5</v>
      </c>
      <c r="G230">
        <v>7.2824582375950476E-8</v>
      </c>
      <c r="H230" t="b">
        <v>0</v>
      </c>
    </row>
    <row r="231" spans="1:8" x14ac:dyDescent="0.15">
      <c r="A231">
        <v>12</v>
      </c>
      <c r="B231">
        <v>17</v>
      </c>
      <c r="C231">
        <v>2663663.80859375</v>
      </c>
      <c r="D231">
        <v>3073212.8814767203</v>
      </c>
      <c r="E231">
        <v>1.3152440805737166E-5</v>
      </c>
      <c r="F231">
        <v>1.3101817863397777E-5</v>
      </c>
      <c r="G231">
        <v>5.0622942339389576E-8</v>
      </c>
      <c r="H231" t="b">
        <v>0</v>
      </c>
    </row>
    <row r="232" spans="1:8" x14ac:dyDescent="0.15">
      <c r="A232">
        <v>12</v>
      </c>
      <c r="B232">
        <v>18</v>
      </c>
      <c r="C232">
        <v>2663231.80859375</v>
      </c>
      <c r="D232">
        <v>1451676.6021671849</v>
      </c>
      <c r="E232">
        <v>1.3125842760223367E-5</v>
      </c>
      <c r="F232">
        <v>1.3101817863397777E-5</v>
      </c>
      <c r="G232">
        <v>2.4024896825590095E-8</v>
      </c>
      <c r="H232" t="b">
        <v>0</v>
      </c>
    </row>
    <row r="233" spans="1:8" x14ac:dyDescent="0.15">
      <c r="A233">
        <v>12</v>
      </c>
      <c r="B233">
        <v>19</v>
      </c>
      <c r="C233">
        <v>2663447.80859375</v>
      </c>
      <c r="D233">
        <v>2260283.6196374428</v>
      </c>
      <c r="E233">
        <v>1.3139137302597527E-5</v>
      </c>
      <c r="F233">
        <v>1.3101817863397777E-5</v>
      </c>
      <c r="G233">
        <v>3.7319439199750217E-8</v>
      </c>
      <c r="H233" t="b">
        <v>0</v>
      </c>
    </row>
    <row r="234" spans="1:8" x14ac:dyDescent="0.15">
      <c r="A234">
        <v>12</v>
      </c>
      <c r="B234">
        <v>20</v>
      </c>
      <c r="C234">
        <v>2663707.0085937502</v>
      </c>
      <c r="D234">
        <v>3236352.8302110545</v>
      </c>
      <c r="E234">
        <v>1.3155103151371402E-5</v>
      </c>
      <c r="F234">
        <v>1.3101817863397777E-5</v>
      </c>
      <c r="G234">
        <v>5.3285287973625064E-8</v>
      </c>
      <c r="H234" t="b">
        <v>0</v>
      </c>
    </row>
    <row r="235" spans="1:8" x14ac:dyDescent="0.15">
      <c r="A235">
        <v>12</v>
      </c>
      <c r="B235">
        <v>21</v>
      </c>
      <c r="C235">
        <v>2663577.4085937501</v>
      </c>
      <c r="D235">
        <v>2747550.6229422963</v>
      </c>
      <c r="E235">
        <v>1.3147118795039747E-5</v>
      </c>
      <c r="F235">
        <v>1.3101817863397777E-5</v>
      </c>
      <c r="G235">
        <v>4.5300931641969981E-8</v>
      </c>
      <c r="H235" t="b">
        <v>0</v>
      </c>
    </row>
    <row r="236" spans="1:8" x14ac:dyDescent="0.15">
      <c r="A236">
        <v>12</v>
      </c>
      <c r="B236">
        <v>22</v>
      </c>
      <c r="C236">
        <v>2663421.8885937501</v>
      </c>
      <c r="D236">
        <v>2162945.0278519215</v>
      </c>
      <c r="E236">
        <v>1.3137540210021235E-5</v>
      </c>
      <c r="F236">
        <v>1.3101817863397777E-5</v>
      </c>
      <c r="G236">
        <v>3.5722346623458487E-8</v>
      </c>
      <c r="H236" t="b">
        <v>0</v>
      </c>
    </row>
    <row r="237" spans="1:8" x14ac:dyDescent="0.15">
      <c r="A237">
        <v>12</v>
      </c>
      <c r="B237">
        <v>23</v>
      </c>
      <c r="C237">
        <v>2663499.6485937499</v>
      </c>
      <c r="D237">
        <v>2454917.8421442932</v>
      </c>
      <c r="E237">
        <v>1.3142328107154226E-5</v>
      </c>
      <c r="F237">
        <v>1.3101817863397777E-5</v>
      </c>
      <c r="G237">
        <v>4.0510243756449409E-8</v>
      </c>
      <c r="H237" t="b">
        <v>0</v>
      </c>
    </row>
    <row r="238" spans="1:8" x14ac:dyDescent="0.15">
      <c r="A238">
        <v>12</v>
      </c>
      <c r="B238">
        <v>24</v>
      </c>
      <c r="C238">
        <v>2663592.9605937498</v>
      </c>
      <c r="D238">
        <v>2806131.127591406</v>
      </c>
      <c r="E238">
        <v>1.3148076853563388E-5</v>
      </c>
      <c r="F238">
        <v>1.3101817863397777E-5</v>
      </c>
      <c r="G238">
        <v>4.6258990165611439E-8</v>
      </c>
      <c r="H238" t="b">
        <v>0</v>
      </c>
    </row>
    <row r="239" spans="1:8" x14ac:dyDescent="0.15">
      <c r="A239">
        <v>12</v>
      </c>
      <c r="B239">
        <v>25</v>
      </c>
      <c r="C239">
        <v>2663546.3045937498</v>
      </c>
      <c r="D239">
        <v>2630459.3604585174</v>
      </c>
      <c r="E239">
        <v>1.3145202857644964E-5</v>
      </c>
      <c r="F239">
        <v>1.3101817863397777E-5</v>
      </c>
      <c r="G239">
        <v>4.3384994247186944E-8</v>
      </c>
      <c r="H239" t="b">
        <v>0</v>
      </c>
    </row>
    <row r="240" spans="1:8" x14ac:dyDescent="0.15">
      <c r="A240">
        <v>12</v>
      </c>
      <c r="B240">
        <v>26</v>
      </c>
      <c r="C240">
        <v>2663569.63259375</v>
      </c>
      <c r="D240">
        <v>2718189.9977568737</v>
      </c>
      <c r="E240">
        <v>1.3146638494290279E-5</v>
      </c>
      <c r="F240">
        <v>1.3101817863397777E-5</v>
      </c>
      <c r="G240">
        <v>4.4820630892502162E-8</v>
      </c>
      <c r="H240" t="b">
        <v>0</v>
      </c>
    </row>
    <row r="241" spans="1:8" x14ac:dyDescent="0.15">
      <c r="A241">
        <v>12</v>
      </c>
      <c r="B241">
        <v>27</v>
      </c>
      <c r="C241">
        <v>2663557.9685937501</v>
      </c>
      <c r="D241">
        <v>2674357.6870255158</v>
      </c>
      <c r="E241">
        <v>1.3145921306097949E-5</v>
      </c>
      <c r="F241">
        <v>1.3101817863397777E-5</v>
      </c>
      <c r="G241">
        <v>4.4103442700172386E-8</v>
      </c>
      <c r="H241" t="b">
        <v>0</v>
      </c>
    </row>
    <row r="242" spans="1:8" x14ac:dyDescent="0.15">
      <c r="A242">
        <v>13</v>
      </c>
      <c r="B242">
        <v>1</v>
      </c>
      <c r="C242">
        <v>6050000</v>
      </c>
      <c r="D242">
        <v>1244864619368.7227</v>
      </c>
      <c r="E242">
        <v>1.1782076675034077E-3</v>
      </c>
      <c r="F242">
        <v>8.1029219269966157E-6</v>
      </c>
      <c r="G242">
        <v>1.1701047455764111E-3</v>
      </c>
      <c r="H242" t="b">
        <v>0</v>
      </c>
    </row>
    <row r="243" spans="1:8" x14ac:dyDescent="0.15">
      <c r="A243">
        <v>13</v>
      </c>
      <c r="B243">
        <v>2</v>
      </c>
      <c r="C243">
        <v>3075000</v>
      </c>
      <c r="D243">
        <v>-19930301.456238814</v>
      </c>
      <c r="E243">
        <v>5.2109696105435074E-6</v>
      </c>
      <c r="F243">
        <v>8.1029219269965852E-6</v>
      </c>
      <c r="G243">
        <v>-2.8919523164530778E-6</v>
      </c>
      <c r="H243" t="b">
        <v>1</v>
      </c>
    </row>
    <row r="244" spans="1:8" x14ac:dyDescent="0.15">
      <c r="A244">
        <v>13</v>
      </c>
      <c r="B244">
        <v>3</v>
      </c>
      <c r="C244">
        <v>4562500</v>
      </c>
      <c r="D244">
        <v>58950469849.099731</v>
      </c>
      <c r="E244">
        <v>1.2343267108815454E-4</v>
      </c>
      <c r="F244">
        <v>8.1029219269965886E-6</v>
      </c>
      <c r="G244">
        <v>1.1532974916115795E-4</v>
      </c>
      <c r="H244" t="b">
        <v>0</v>
      </c>
    </row>
    <row r="245" spans="1:8" x14ac:dyDescent="0.15">
      <c r="A245">
        <v>13</v>
      </c>
      <c r="B245">
        <v>4</v>
      </c>
      <c r="C245">
        <v>3818750</v>
      </c>
      <c r="D245">
        <v>3729959796.4187579</v>
      </c>
      <c r="E245">
        <v>2.3378757808310429E-5</v>
      </c>
      <c r="F245">
        <v>8.1029219269965852E-6</v>
      </c>
      <c r="G245">
        <v>1.5275835881313844E-5</v>
      </c>
      <c r="H245" t="b">
        <v>0</v>
      </c>
    </row>
    <row r="246" spans="1:8" x14ac:dyDescent="0.15">
      <c r="A246">
        <v>13</v>
      </c>
      <c r="B246">
        <v>5</v>
      </c>
      <c r="C246">
        <v>3446875</v>
      </c>
      <c r="D246">
        <v>122180175.45310876</v>
      </c>
      <c r="E246">
        <v>9.5552061255560641E-6</v>
      </c>
      <c r="F246">
        <v>8.1029219269965852E-6</v>
      </c>
      <c r="G246">
        <v>1.4522841985594789E-6</v>
      </c>
      <c r="H246" t="b">
        <v>0</v>
      </c>
    </row>
    <row r="247" spans="1:8" x14ac:dyDescent="0.15">
      <c r="A247">
        <v>13</v>
      </c>
      <c r="B247">
        <v>6</v>
      </c>
      <c r="C247">
        <v>3260937.5</v>
      </c>
      <c r="D247">
        <v>-35749717.711014055</v>
      </c>
      <c r="E247">
        <v>7.1442624414546483E-6</v>
      </c>
      <c r="F247">
        <v>8.1029219269965852E-6</v>
      </c>
      <c r="G247">
        <v>-9.5865948554193689E-7</v>
      </c>
      <c r="H247" t="b">
        <v>1</v>
      </c>
    </row>
    <row r="248" spans="1:8" x14ac:dyDescent="0.15">
      <c r="A248">
        <v>13</v>
      </c>
      <c r="B248">
        <v>7</v>
      </c>
      <c r="C248">
        <v>3353906.25</v>
      </c>
      <c r="D248">
        <v>10894243.769187236</v>
      </c>
      <c r="E248">
        <v>8.2861856424298359E-6</v>
      </c>
      <c r="F248">
        <v>8.1029219269965852E-6</v>
      </c>
      <c r="G248">
        <v>1.8326371543325078E-7</v>
      </c>
      <c r="H248" t="b">
        <v>0</v>
      </c>
    </row>
    <row r="249" spans="1:8" x14ac:dyDescent="0.15">
      <c r="A249">
        <v>13</v>
      </c>
      <c r="B249">
        <v>8</v>
      </c>
      <c r="C249">
        <v>3307421.875</v>
      </c>
      <c r="D249">
        <v>-19354071.258259125</v>
      </c>
      <c r="E249">
        <v>7.6997267122270451E-6</v>
      </c>
      <c r="F249">
        <v>8.1029219269965852E-6</v>
      </c>
      <c r="G249">
        <v>-4.0319521476954003E-7</v>
      </c>
      <c r="H249" t="b">
        <v>1</v>
      </c>
    </row>
    <row r="250" spans="1:8" x14ac:dyDescent="0.15">
      <c r="A250">
        <v>13</v>
      </c>
      <c r="B250">
        <v>9</v>
      </c>
      <c r="C250">
        <v>3330664.0625</v>
      </c>
      <c r="D250">
        <v>-6109217.0822868012</v>
      </c>
      <c r="E250">
        <v>7.9890275465988123E-6</v>
      </c>
      <c r="F250">
        <v>8.1029219269965852E-6</v>
      </c>
      <c r="G250">
        <v>-1.1389438039777284E-7</v>
      </c>
      <c r="H250" t="b">
        <v>1</v>
      </c>
    </row>
    <row r="251" spans="1:8" x14ac:dyDescent="0.15">
      <c r="A251">
        <v>13</v>
      </c>
      <c r="B251">
        <v>10</v>
      </c>
      <c r="C251">
        <v>3342285.15625</v>
      </c>
      <c r="D251">
        <v>1904639.6697935753</v>
      </c>
      <c r="E251">
        <v>8.1366190942988546E-6</v>
      </c>
      <c r="F251">
        <v>8.1029219269965852E-6</v>
      </c>
      <c r="G251">
        <v>3.3697167302269409E-8</v>
      </c>
      <c r="H251" t="b">
        <v>0</v>
      </c>
    </row>
    <row r="252" spans="1:8" x14ac:dyDescent="0.15">
      <c r="A252">
        <v>13</v>
      </c>
      <c r="B252">
        <v>11</v>
      </c>
      <c r="C252">
        <v>3348095.703125</v>
      </c>
      <c r="D252">
        <v>6275215.912161761</v>
      </c>
      <c r="E252">
        <v>8.2111544771569012E-6</v>
      </c>
      <c r="F252">
        <v>8.1029219269965852E-6</v>
      </c>
      <c r="G252">
        <v>1.0823255016031602E-7</v>
      </c>
      <c r="H252" t="b">
        <v>0</v>
      </c>
    </row>
    <row r="253" spans="1:8" x14ac:dyDescent="0.15">
      <c r="A253">
        <v>13</v>
      </c>
      <c r="B253">
        <v>12</v>
      </c>
      <c r="C253">
        <v>3345190.4296875</v>
      </c>
      <c r="D253">
        <v>4059165.4979216331</v>
      </c>
      <c r="E253">
        <v>8.1738251523985842E-6</v>
      </c>
      <c r="F253">
        <v>8.1029219269965852E-6</v>
      </c>
      <c r="G253">
        <v>7.0903225401999063E-8</v>
      </c>
      <c r="H253" t="b">
        <v>0</v>
      </c>
    </row>
    <row r="254" spans="1:8" x14ac:dyDescent="0.15">
      <c r="A254">
        <v>13</v>
      </c>
      <c r="B254">
        <v>13</v>
      </c>
      <c r="C254">
        <v>3343737.79296875</v>
      </c>
      <c r="D254">
        <v>2974220.9416924999</v>
      </c>
      <c r="E254">
        <v>8.1552062783711482E-6</v>
      </c>
      <c r="F254">
        <v>8.1029219269965852E-6</v>
      </c>
      <c r="G254">
        <v>5.2284351374563048E-8</v>
      </c>
      <c r="H254" t="b">
        <v>0</v>
      </c>
    </row>
    <row r="255" spans="1:8" x14ac:dyDescent="0.15">
      <c r="A255">
        <v>13</v>
      </c>
      <c r="B255">
        <v>14</v>
      </c>
      <c r="C255">
        <v>3344237.79296875</v>
      </c>
      <c r="D255">
        <v>3345920.3381312629</v>
      </c>
      <c r="E255">
        <v>8.1616113008328738E-6</v>
      </c>
      <c r="F255">
        <v>8.1029219269965852E-6</v>
      </c>
      <c r="G255">
        <v>5.8689373836288606E-8</v>
      </c>
      <c r="H255" t="b">
        <v>0</v>
      </c>
    </row>
    <row r="256" spans="1:8" x14ac:dyDescent="0.15">
      <c r="A256">
        <v>14</v>
      </c>
      <c r="B256">
        <v>1</v>
      </c>
      <c r="C256">
        <v>6050000</v>
      </c>
      <c r="D256">
        <v>6934270649802.0684</v>
      </c>
      <c r="E256">
        <v>4.5779208601397928E-3</v>
      </c>
      <c r="F256">
        <v>8.1316465961713338E-6</v>
      </c>
      <c r="G256">
        <v>4.5697892135436215E-3</v>
      </c>
      <c r="H256" t="b">
        <v>0</v>
      </c>
    </row>
    <row r="257" spans="1:8" x14ac:dyDescent="0.15">
      <c r="A257">
        <v>14</v>
      </c>
      <c r="B257">
        <v>2</v>
      </c>
      <c r="C257">
        <v>3075000</v>
      </c>
      <c r="D257">
        <v>194374555.38617656</v>
      </c>
      <c r="E257">
        <v>1.0188448358916042E-5</v>
      </c>
      <c r="F257">
        <v>8.1316465961717523E-6</v>
      </c>
      <c r="G257">
        <v>2.0568017627442902E-6</v>
      </c>
      <c r="H257" t="b">
        <v>0</v>
      </c>
    </row>
    <row r="258" spans="1:8" x14ac:dyDescent="0.15">
      <c r="A258">
        <v>14</v>
      </c>
      <c r="B258">
        <v>3</v>
      </c>
      <c r="C258">
        <v>1587500</v>
      </c>
      <c r="D258">
        <v>-78013.283239452518</v>
      </c>
      <c r="E258">
        <v>-2.1058937929547924E-6</v>
      </c>
      <c r="F258">
        <v>8.1316465961717506E-6</v>
      </c>
      <c r="G258">
        <v>-1.0237540389126544E-5</v>
      </c>
      <c r="H258" t="b">
        <v>1</v>
      </c>
    </row>
    <row r="259" spans="1:8" x14ac:dyDescent="0.15">
      <c r="A259">
        <v>14</v>
      </c>
      <c r="B259">
        <v>4</v>
      </c>
      <c r="C259">
        <v>2331250</v>
      </c>
      <c r="D259">
        <v>-909917.8829275301</v>
      </c>
      <c r="E259">
        <v>2.2504786806648193E-6</v>
      </c>
      <c r="F259">
        <v>8.1316465961717523E-6</v>
      </c>
      <c r="G259">
        <v>-5.8811679155069334E-6</v>
      </c>
      <c r="H259" t="b">
        <v>1</v>
      </c>
    </row>
    <row r="260" spans="1:8" x14ac:dyDescent="0.15">
      <c r="A260">
        <v>14</v>
      </c>
      <c r="B260">
        <v>5</v>
      </c>
      <c r="C260">
        <v>2703125</v>
      </c>
      <c r="D260">
        <v>-17136560.290371682</v>
      </c>
      <c r="E260">
        <v>5.0679788753300398E-6</v>
      </c>
      <c r="F260">
        <v>8.1316465961717523E-6</v>
      </c>
      <c r="G260">
        <v>-3.0636677208417125E-6</v>
      </c>
      <c r="H260" t="b">
        <v>1</v>
      </c>
    </row>
    <row r="261" spans="1:8" x14ac:dyDescent="0.15">
      <c r="A261">
        <v>14</v>
      </c>
      <c r="B261">
        <v>6</v>
      </c>
      <c r="C261">
        <v>2889062.5</v>
      </c>
      <c r="D261">
        <v>-32709992.529273696</v>
      </c>
      <c r="E261">
        <v>7.2993579375079861E-6</v>
      </c>
      <c r="F261">
        <v>8.1316465961717523E-6</v>
      </c>
      <c r="G261">
        <v>-8.3228865866376615E-7</v>
      </c>
      <c r="H261" t="b">
        <v>1</v>
      </c>
    </row>
    <row r="262" spans="1:8" x14ac:dyDescent="0.15">
      <c r="A262">
        <v>14</v>
      </c>
      <c r="B262">
        <v>7</v>
      </c>
      <c r="C262">
        <v>2982031.25</v>
      </c>
      <c r="D262">
        <v>34348300.795150995</v>
      </c>
      <c r="E262">
        <v>8.6572681266635858E-6</v>
      </c>
      <c r="F262">
        <v>8.1316465961717523E-6</v>
      </c>
      <c r="G262">
        <v>5.2562153049183355E-7</v>
      </c>
      <c r="H262" t="b">
        <v>0</v>
      </c>
    </row>
    <row r="263" spans="1:8" x14ac:dyDescent="0.15">
      <c r="A263">
        <v>14</v>
      </c>
      <c r="B263">
        <v>8</v>
      </c>
      <c r="C263">
        <v>2935546.875</v>
      </c>
      <c r="D263">
        <v>-9084279.0200040415</v>
      </c>
      <c r="E263">
        <v>7.9564494801559825E-6</v>
      </c>
      <c r="F263">
        <v>8.1316465961717523E-6</v>
      </c>
      <c r="G263">
        <v>-1.751971160157698E-7</v>
      </c>
      <c r="H263" t="b">
        <v>1</v>
      </c>
    </row>
    <row r="264" spans="1:8" x14ac:dyDescent="0.15">
      <c r="A264">
        <v>14</v>
      </c>
      <c r="B264">
        <v>9</v>
      </c>
      <c r="C264">
        <v>2958789.0625</v>
      </c>
      <c r="D264">
        <v>9923405.6311173216</v>
      </c>
      <c r="E264">
        <v>8.3013019767446851E-6</v>
      </c>
      <c r="F264">
        <v>8.1316465961717523E-6</v>
      </c>
      <c r="G264">
        <v>1.6965538057293284E-7</v>
      </c>
      <c r="H264" t="b">
        <v>0</v>
      </c>
    </row>
    <row r="265" spans="1:8" x14ac:dyDescent="0.15">
      <c r="A265">
        <v>14</v>
      </c>
      <c r="B265">
        <v>10</v>
      </c>
      <c r="C265">
        <v>2947167.96875</v>
      </c>
      <c r="D265">
        <v>-228762.09052511278</v>
      </c>
      <c r="E265">
        <v>8.1274981061873953E-6</v>
      </c>
      <c r="F265">
        <v>8.1316465961717523E-6</v>
      </c>
      <c r="G265">
        <v>-4.1484899843570179E-9</v>
      </c>
      <c r="H265" t="b">
        <v>1</v>
      </c>
    </row>
    <row r="266" spans="1:8" x14ac:dyDescent="0.15">
      <c r="A266">
        <v>14</v>
      </c>
      <c r="B266">
        <v>11</v>
      </c>
      <c r="C266">
        <v>2952978.515625</v>
      </c>
      <c r="D266">
        <v>4681610.6212876942</v>
      </c>
      <c r="E266">
        <v>8.2140539454648754E-6</v>
      </c>
      <c r="F266">
        <v>8.1316465961717523E-6</v>
      </c>
      <c r="G266">
        <v>8.2407349293123084E-8</v>
      </c>
      <c r="H266" t="b">
        <v>0</v>
      </c>
    </row>
    <row r="267" spans="1:8" x14ac:dyDescent="0.15">
      <c r="A267">
        <v>14</v>
      </c>
      <c r="B267">
        <v>12</v>
      </c>
      <c r="C267">
        <v>2950073.2421875</v>
      </c>
      <c r="D267">
        <v>2185463.2486874321</v>
      </c>
      <c r="E267">
        <v>8.1706899545855617E-6</v>
      </c>
      <c r="F267">
        <v>8.1316465961717523E-6</v>
      </c>
      <c r="G267">
        <v>3.9043358413809386E-8</v>
      </c>
      <c r="H267" t="b">
        <v>0</v>
      </c>
    </row>
    <row r="268" spans="1:8" x14ac:dyDescent="0.15">
      <c r="A268">
        <v>14</v>
      </c>
      <c r="B268">
        <v>13</v>
      </c>
      <c r="C268">
        <v>2951525.87890625</v>
      </c>
      <c r="D268">
        <v>3423249.9623841387</v>
      </c>
      <c r="E268">
        <v>8.1923505760694685E-6</v>
      </c>
      <c r="F268">
        <v>8.1316465961717523E-6</v>
      </c>
      <c r="G268">
        <v>6.0703979897716264E-8</v>
      </c>
      <c r="H268" t="b">
        <v>0</v>
      </c>
    </row>
    <row r="269" spans="1:8" x14ac:dyDescent="0.15">
      <c r="A269">
        <v>14</v>
      </c>
      <c r="B269">
        <v>14</v>
      </c>
      <c r="C269">
        <v>2951025.87890625</v>
      </c>
      <c r="D269">
        <v>2994882.4341447013</v>
      </c>
      <c r="E269">
        <v>8.1848900813568991E-6</v>
      </c>
      <c r="F269">
        <v>8.1316465961717523E-6</v>
      </c>
      <c r="G269">
        <v>5.3243485185146852E-8</v>
      </c>
      <c r="H269" t="b">
        <v>0</v>
      </c>
    </row>
    <row r="270" spans="1:8" x14ac:dyDescent="0.15">
      <c r="A270">
        <v>14</v>
      </c>
      <c r="B270">
        <v>15</v>
      </c>
      <c r="C270">
        <v>2950425.87890625</v>
      </c>
      <c r="D270">
        <v>2484056.4605216952</v>
      </c>
      <c r="E270">
        <v>8.1759442395857961E-6</v>
      </c>
      <c r="F270">
        <v>8.1316465961717523E-6</v>
      </c>
      <c r="G270">
        <v>4.4297643414043859E-8</v>
      </c>
      <c r="H270" t="b">
        <v>0</v>
      </c>
    </row>
    <row r="271" spans="1:8" x14ac:dyDescent="0.15">
      <c r="A271">
        <v>14</v>
      </c>
      <c r="B271">
        <v>16</v>
      </c>
      <c r="C271">
        <v>2950725.87890625</v>
      </c>
      <c r="D271">
        <v>2739006.3223045846</v>
      </c>
      <c r="E271">
        <v>8.1804157995059674E-6</v>
      </c>
      <c r="F271">
        <v>8.1316465961717523E-6</v>
      </c>
      <c r="G271">
        <v>4.8769203334215113E-8</v>
      </c>
      <c r="H271" t="b">
        <v>0</v>
      </c>
    </row>
    <row r="272" spans="1:8" x14ac:dyDescent="0.15">
      <c r="A272">
        <v>14</v>
      </c>
      <c r="B272">
        <v>17</v>
      </c>
      <c r="C272">
        <v>2951085.87890625</v>
      </c>
      <c r="D272">
        <v>3046132.5680264211</v>
      </c>
      <c r="E272">
        <v>8.1857846298313464E-6</v>
      </c>
      <c r="F272">
        <v>8.1316465961717523E-6</v>
      </c>
      <c r="G272">
        <v>5.413803365959413E-8</v>
      </c>
      <c r="H272" t="b">
        <v>0</v>
      </c>
    </row>
    <row r="273" spans="1:8" x14ac:dyDescent="0.15">
      <c r="A273">
        <v>14</v>
      </c>
      <c r="B273">
        <v>18</v>
      </c>
      <c r="C273">
        <v>2950905.87890625</v>
      </c>
      <c r="D273">
        <v>2892436.8713357216</v>
      </c>
      <c r="E273">
        <v>8.1831003238330265E-6</v>
      </c>
      <c r="F273">
        <v>8.1316465961717523E-6</v>
      </c>
      <c r="G273">
        <v>5.1453727661274196E-8</v>
      </c>
      <c r="H273" t="b">
        <v>0</v>
      </c>
    </row>
    <row r="274" spans="1:8" x14ac:dyDescent="0.15">
      <c r="A274">
        <v>14</v>
      </c>
      <c r="B274">
        <v>19</v>
      </c>
      <c r="C274">
        <v>2950995.87890625</v>
      </c>
      <c r="D274">
        <v>2969257.8917488283</v>
      </c>
      <c r="E274">
        <v>8.1844426143548845E-6</v>
      </c>
      <c r="F274">
        <v>8.1316465961717523E-6</v>
      </c>
      <c r="G274">
        <v>5.2796018183132233E-8</v>
      </c>
      <c r="H274" t="b">
        <v>0</v>
      </c>
    </row>
    <row r="275" spans="1:8" x14ac:dyDescent="0.15">
      <c r="A275">
        <v>15</v>
      </c>
      <c r="B275">
        <v>1</v>
      </c>
      <c r="C275">
        <v>6050000</v>
      </c>
      <c r="D275">
        <v>6951901367759.084</v>
      </c>
      <c r="E275">
        <v>4.6259890172856552E-3</v>
      </c>
      <c r="F275">
        <v>8.1608029244631397E-6</v>
      </c>
      <c r="G275">
        <v>4.617828214361192E-3</v>
      </c>
      <c r="H275" t="b">
        <v>0</v>
      </c>
    </row>
    <row r="276" spans="1:8" x14ac:dyDescent="0.15">
      <c r="A276">
        <v>15</v>
      </c>
      <c r="B276">
        <v>2</v>
      </c>
      <c r="C276">
        <v>3075000</v>
      </c>
      <c r="D276">
        <v>94708835.341111749</v>
      </c>
      <c r="E276">
        <v>9.3801204264668333E-6</v>
      </c>
      <c r="F276">
        <v>8.1608029244634802E-6</v>
      </c>
      <c r="G276">
        <v>1.2193175020033531E-6</v>
      </c>
      <c r="H276" t="b">
        <v>0</v>
      </c>
    </row>
    <row r="277" spans="1:8" x14ac:dyDescent="0.15">
      <c r="A277">
        <v>15</v>
      </c>
      <c r="B277">
        <v>3</v>
      </c>
      <c r="C277">
        <v>1587500</v>
      </c>
      <c r="D277">
        <v>-68559.826926547903</v>
      </c>
      <c r="E277">
        <v>-2.4949407439337404E-6</v>
      </c>
      <c r="F277">
        <v>8.1608029244634802E-6</v>
      </c>
      <c r="G277">
        <v>-1.065574366839722E-5</v>
      </c>
      <c r="H277" t="b">
        <v>1</v>
      </c>
    </row>
    <row r="278" spans="1:8" x14ac:dyDescent="0.15">
      <c r="A278">
        <v>15</v>
      </c>
      <c r="B278">
        <v>4</v>
      </c>
      <c r="C278">
        <v>2331250</v>
      </c>
      <c r="D278">
        <v>-676742.76436840929</v>
      </c>
      <c r="E278">
        <v>1.9056674119510955E-6</v>
      </c>
      <c r="F278">
        <v>8.1608029244634802E-6</v>
      </c>
      <c r="G278">
        <v>-6.2551355125123852E-6</v>
      </c>
      <c r="H278" t="b">
        <v>1</v>
      </c>
    </row>
    <row r="279" spans="1:8" x14ac:dyDescent="0.15">
      <c r="A279">
        <v>15</v>
      </c>
      <c r="B279">
        <v>5</v>
      </c>
      <c r="C279">
        <v>2703125</v>
      </c>
      <c r="D279">
        <v>-6791522.5242733238</v>
      </c>
      <c r="E279">
        <v>4.1898323483185684E-6</v>
      </c>
      <c r="F279">
        <v>8.1608029244634802E-6</v>
      </c>
      <c r="G279">
        <v>-3.9709705761449118E-6</v>
      </c>
      <c r="H279" t="b">
        <v>1</v>
      </c>
    </row>
    <row r="280" spans="1:8" x14ac:dyDescent="0.15">
      <c r="A280">
        <v>15</v>
      </c>
      <c r="B280">
        <v>6</v>
      </c>
      <c r="C280">
        <v>2889062.5</v>
      </c>
      <c r="D280">
        <v>-38765544.546115488</v>
      </c>
      <c r="E280">
        <v>6.3703124561666665E-6</v>
      </c>
      <c r="F280">
        <v>8.1608029244634802E-6</v>
      </c>
      <c r="G280">
        <v>-1.7904904682968137E-6</v>
      </c>
      <c r="H280" t="b">
        <v>1</v>
      </c>
    </row>
    <row r="281" spans="1:8" x14ac:dyDescent="0.15">
      <c r="A281">
        <v>15</v>
      </c>
      <c r="B281">
        <v>7</v>
      </c>
      <c r="C281">
        <v>2982031.25</v>
      </c>
      <c r="D281">
        <v>-18657596.833645981</v>
      </c>
      <c r="E281">
        <v>7.7645017785889778E-6</v>
      </c>
      <c r="F281">
        <v>8.1608029244634802E-6</v>
      </c>
      <c r="G281">
        <v>-3.9630114587450238E-7</v>
      </c>
      <c r="H281" t="b">
        <v>1</v>
      </c>
    </row>
    <row r="282" spans="1:8" x14ac:dyDescent="0.15">
      <c r="A282">
        <v>15</v>
      </c>
      <c r="B282">
        <v>8</v>
      </c>
      <c r="C282">
        <v>3028515.625</v>
      </c>
      <c r="D282">
        <v>23680049.649634436</v>
      </c>
      <c r="E282">
        <v>8.5436443663221944E-6</v>
      </c>
      <c r="F282">
        <v>8.1608029244634802E-6</v>
      </c>
      <c r="G282">
        <v>3.8284144185871421E-7</v>
      </c>
      <c r="H282" t="b">
        <v>0</v>
      </c>
    </row>
    <row r="283" spans="1:8" x14ac:dyDescent="0.15">
      <c r="A283">
        <v>15</v>
      </c>
      <c r="B283">
        <v>9</v>
      </c>
      <c r="C283">
        <v>3005273.4375</v>
      </c>
      <c r="D283">
        <v>-748309.28703878145</v>
      </c>
      <c r="E283">
        <v>8.1470278663621974E-6</v>
      </c>
      <c r="F283">
        <v>8.1608029244634802E-6</v>
      </c>
      <c r="G283">
        <v>-1.3775058101282828E-8</v>
      </c>
      <c r="H283" t="b">
        <v>1</v>
      </c>
    </row>
    <row r="284" spans="1:8" x14ac:dyDescent="0.15">
      <c r="A284">
        <v>15</v>
      </c>
      <c r="B284">
        <v>10</v>
      </c>
      <c r="C284">
        <v>3016894.53125</v>
      </c>
      <c r="D284">
        <v>10609804.06004023</v>
      </c>
      <c r="E284">
        <v>8.3435591894838423E-6</v>
      </c>
      <c r="F284">
        <v>8.1608029244634802E-6</v>
      </c>
      <c r="G284">
        <v>1.8275626502036207E-7</v>
      </c>
      <c r="H284" t="b">
        <v>0</v>
      </c>
    </row>
    <row r="285" spans="1:8" x14ac:dyDescent="0.15">
      <c r="A285">
        <v>15</v>
      </c>
      <c r="B285">
        <v>11</v>
      </c>
      <c r="C285">
        <v>3011083.984375</v>
      </c>
      <c r="D285">
        <v>4721841.3303717887</v>
      </c>
      <c r="E285">
        <v>8.2448510234910448E-6</v>
      </c>
      <c r="F285">
        <v>8.1608029244634802E-6</v>
      </c>
      <c r="G285">
        <v>8.4048099027564624E-8</v>
      </c>
      <c r="H285" t="b">
        <v>0</v>
      </c>
    </row>
    <row r="286" spans="1:8" x14ac:dyDescent="0.15">
      <c r="A286">
        <v>15</v>
      </c>
      <c r="B286">
        <v>12</v>
      </c>
      <c r="C286">
        <v>3008178.7109375</v>
      </c>
      <c r="D286">
        <v>1935171.302069112</v>
      </c>
      <c r="E286">
        <v>8.1958288695912933E-6</v>
      </c>
      <c r="F286">
        <v>8.1608029244634802E-6</v>
      </c>
      <c r="G286">
        <v>3.5025945127813114E-8</v>
      </c>
      <c r="H286" t="b">
        <v>0</v>
      </c>
    </row>
    <row r="287" spans="1:8" x14ac:dyDescent="0.15">
      <c r="A287">
        <v>15</v>
      </c>
      <c r="B287">
        <v>13</v>
      </c>
      <c r="C287">
        <v>3009631.34765625</v>
      </c>
      <c r="D287">
        <v>3315530.6476429161</v>
      </c>
      <c r="E287">
        <v>8.2203123348631672E-6</v>
      </c>
      <c r="F287">
        <v>8.1608029244634802E-6</v>
      </c>
      <c r="G287">
        <v>5.9509410399686961E-8</v>
      </c>
      <c r="H287" t="b">
        <v>0</v>
      </c>
    </row>
    <row r="288" spans="1:8" x14ac:dyDescent="0.15">
      <c r="A288">
        <v>15</v>
      </c>
      <c r="B288">
        <v>14</v>
      </c>
      <c r="C288">
        <v>3009131.34765625</v>
      </c>
      <c r="D288">
        <v>2837487.8043284444</v>
      </c>
      <c r="E288">
        <v>8.2118788552906341E-6</v>
      </c>
      <c r="F288">
        <v>8.1608029244634802E-6</v>
      </c>
      <c r="G288">
        <v>5.1075930827153889E-8</v>
      </c>
      <c r="H288" t="b">
        <v>0</v>
      </c>
    </row>
    <row r="289" spans="1:8" x14ac:dyDescent="0.15">
      <c r="A289">
        <v>15</v>
      </c>
      <c r="B289">
        <v>15</v>
      </c>
      <c r="C289">
        <v>3009381.34765625</v>
      </c>
      <c r="D289">
        <v>3076125.3126528766</v>
      </c>
      <c r="E289">
        <v>8.216094777407245E-6</v>
      </c>
      <c r="F289">
        <v>8.1608029244634802E-6</v>
      </c>
      <c r="G289">
        <v>5.5291852943764754E-8</v>
      </c>
      <c r="H289" t="b">
        <v>0</v>
      </c>
    </row>
    <row r="290" spans="1:8" x14ac:dyDescent="0.15">
      <c r="A290">
        <v>15</v>
      </c>
      <c r="B290">
        <v>16</v>
      </c>
      <c r="C290">
        <v>3009256.34765625</v>
      </c>
      <c r="D290">
        <v>2956738.9986818251</v>
      </c>
      <c r="E290">
        <v>8.2139871131063871E-6</v>
      </c>
      <c r="F290">
        <v>8.1608029244634802E-6</v>
      </c>
      <c r="G290">
        <v>5.3184188642906903E-8</v>
      </c>
      <c r="H290" t="b">
        <v>0</v>
      </c>
    </row>
    <row r="291" spans="1:8" x14ac:dyDescent="0.15">
      <c r="A291">
        <v>15</v>
      </c>
      <c r="B291">
        <v>17</v>
      </c>
      <c r="C291">
        <v>3009318.84765625</v>
      </c>
      <c r="D291">
        <v>3016393.9838039144</v>
      </c>
      <c r="E291">
        <v>8.2150406435770135E-6</v>
      </c>
      <c r="F291">
        <v>8.1608029244634802E-6</v>
      </c>
      <c r="G291">
        <v>5.4237719113533304E-8</v>
      </c>
      <c r="H291" t="b">
        <v>0</v>
      </c>
    </row>
    <row r="292" spans="1:8" x14ac:dyDescent="0.15">
      <c r="A292">
        <v>16</v>
      </c>
      <c r="B292">
        <v>1</v>
      </c>
      <c r="C292">
        <v>6050000</v>
      </c>
      <c r="D292">
        <v>1.357409145193622E+18</v>
      </c>
      <c r="E292">
        <v>536.87092200000006</v>
      </c>
      <c r="F292">
        <v>2.4969487526504963E-5</v>
      </c>
      <c r="G292">
        <v>536.87089703051254</v>
      </c>
      <c r="H292" t="b">
        <v>0</v>
      </c>
    </row>
    <row r="293" spans="1:8" x14ac:dyDescent="0.15">
      <c r="A293">
        <v>16</v>
      </c>
      <c r="B293">
        <v>2</v>
      </c>
      <c r="C293">
        <v>3075000</v>
      </c>
      <c r="D293">
        <v>1.3574091451936218E+18</v>
      </c>
      <c r="E293">
        <v>536.87092199999995</v>
      </c>
      <c r="F293">
        <v>2.4969487526504963E-5</v>
      </c>
      <c r="G293">
        <v>536.87089703051242</v>
      </c>
      <c r="H293" t="b">
        <v>0</v>
      </c>
    </row>
    <row r="294" spans="1:8" x14ac:dyDescent="0.15">
      <c r="A294">
        <v>16</v>
      </c>
      <c r="B294">
        <v>3</v>
      </c>
      <c r="C294">
        <v>1587500</v>
      </c>
      <c r="D294">
        <v>1.357409145193622E+18</v>
      </c>
      <c r="E294">
        <v>536.87092200000006</v>
      </c>
      <c r="F294">
        <v>2.4969487526504963E-5</v>
      </c>
      <c r="G294">
        <v>536.87089703051254</v>
      </c>
      <c r="H294" t="b">
        <v>0</v>
      </c>
    </row>
    <row r="295" spans="1:8" x14ac:dyDescent="0.15">
      <c r="A295">
        <v>16</v>
      </c>
      <c r="B295">
        <v>4</v>
      </c>
      <c r="C295">
        <v>843750</v>
      </c>
      <c r="D295">
        <v>4211172561526.8145</v>
      </c>
      <c r="E295">
        <v>1.0930532364939325E-2</v>
      </c>
      <c r="F295">
        <v>2.4969487573207189E-5</v>
      </c>
      <c r="G295">
        <v>1.0905562877366118E-2</v>
      </c>
      <c r="H295" t="b">
        <v>0</v>
      </c>
    </row>
    <row r="296" spans="1:8" x14ac:dyDescent="0.15">
      <c r="A296">
        <v>16</v>
      </c>
      <c r="B296">
        <v>5</v>
      </c>
      <c r="C296">
        <v>471875</v>
      </c>
      <c r="D296">
        <v>-46519.217128515622</v>
      </c>
      <c r="E296">
        <v>-4.3716699359058186E-6</v>
      </c>
      <c r="F296">
        <v>2.4969487573206528E-5</v>
      </c>
      <c r="G296">
        <v>-2.9341157509112347E-5</v>
      </c>
      <c r="H296" t="b">
        <v>1</v>
      </c>
    </row>
    <row r="297" spans="1:8" x14ac:dyDescent="0.15">
      <c r="A297">
        <v>16</v>
      </c>
      <c r="B297">
        <v>6</v>
      </c>
      <c r="C297">
        <v>657812.5</v>
      </c>
      <c r="D297">
        <v>-70413651.227235615</v>
      </c>
      <c r="E297">
        <v>1.6329824599309529E-5</v>
      </c>
      <c r="F297">
        <v>2.4969487573206528E-5</v>
      </c>
      <c r="G297">
        <v>-8.6396629738969993E-6</v>
      </c>
      <c r="H297" t="b">
        <v>1</v>
      </c>
    </row>
    <row r="298" spans="1:8" x14ac:dyDescent="0.15">
      <c r="A298">
        <v>16</v>
      </c>
      <c r="B298">
        <v>7</v>
      </c>
      <c r="C298">
        <v>750781.25</v>
      </c>
      <c r="D298">
        <v>87297649061.826355</v>
      </c>
      <c r="E298">
        <v>5.4183861267589038E-4</v>
      </c>
      <c r="F298">
        <v>2.4969487573206538E-5</v>
      </c>
      <c r="G298">
        <v>5.1686912510268384E-4</v>
      </c>
      <c r="H298" t="b">
        <v>0</v>
      </c>
    </row>
    <row r="299" spans="1:8" x14ac:dyDescent="0.15">
      <c r="A299">
        <v>16</v>
      </c>
      <c r="B299">
        <v>8</v>
      </c>
      <c r="C299">
        <v>704296.875</v>
      </c>
      <c r="D299">
        <v>6953309514.3848743</v>
      </c>
      <c r="E299">
        <v>1.010474404445905E-4</v>
      </c>
      <c r="F299">
        <v>2.4969487573206525E-5</v>
      </c>
      <c r="G299">
        <v>7.607795287138398E-5</v>
      </c>
      <c r="H299" t="b">
        <v>0</v>
      </c>
    </row>
    <row r="300" spans="1:8" x14ac:dyDescent="0.15">
      <c r="A300">
        <v>16</v>
      </c>
      <c r="B300">
        <v>9</v>
      </c>
      <c r="C300">
        <v>681054.6875</v>
      </c>
      <c r="D300">
        <v>952953483.17320585</v>
      </c>
      <c r="E300">
        <v>4.1378604843595493E-5</v>
      </c>
      <c r="F300">
        <v>2.4969487573206528E-5</v>
      </c>
      <c r="G300">
        <v>1.6409117270388965E-5</v>
      </c>
      <c r="H300" t="b">
        <v>0</v>
      </c>
    </row>
    <row r="301" spans="1:8" x14ac:dyDescent="0.15">
      <c r="A301">
        <v>16</v>
      </c>
      <c r="B301">
        <v>10</v>
      </c>
      <c r="C301">
        <v>669433.59375</v>
      </c>
      <c r="D301">
        <v>39349178.94629702</v>
      </c>
      <c r="E301">
        <v>2.6031428631416075E-5</v>
      </c>
      <c r="F301">
        <v>2.4969487573206528E-5</v>
      </c>
      <c r="G301">
        <v>1.0619410582095471E-6</v>
      </c>
      <c r="H301" t="b">
        <v>0</v>
      </c>
    </row>
    <row r="302" spans="1:8" x14ac:dyDescent="0.15">
      <c r="A302">
        <v>16</v>
      </c>
      <c r="B302">
        <v>11</v>
      </c>
      <c r="C302">
        <v>663623.046875</v>
      </c>
      <c r="D302">
        <v>-94035276.619423971</v>
      </c>
      <c r="E302">
        <v>2.0564875078006644E-5</v>
      </c>
      <c r="F302">
        <v>2.4969487573206528E-5</v>
      </c>
      <c r="G302">
        <v>-4.4046124951998839E-6</v>
      </c>
      <c r="H302" t="b">
        <v>1</v>
      </c>
    </row>
    <row r="303" spans="1:8" x14ac:dyDescent="0.15">
      <c r="A303">
        <v>16</v>
      </c>
      <c r="B303">
        <v>12</v>
      </c>
      <c r="C303">
        <v>666528.3203125</v>
      </c>
      <c r="D303">
        <v>-52897524.921907879</v>
      </c>
      <c r="E303">
        <v>2.3145125563256264E-5</v>
      </c>
      <c r="F303">
        <v>2.4969487573206528E-5</v>
      </c>
      <c r="G303">
        <v>-1.8243620099502638E-6</v>
      </c>
      <c r="H303" t="b">
        <v>1</v>
      </c>
    </row>
    <row r="304" spans="1:8" x14ac:dyDescent="0.15">
      <c r="A304">
        <v>16</v>
      </c>
      <c r="B304">
        <v>13</v>
      </c>
      <c r="C304">
        <v>667980.95703125</v>
      </c>
      <c r="D304">
        <v>-13900278.314840274</v>
      </c>
      <c r="E304">
        <v>2.4547959332879704E-5</v>
      </c>
      <c r="F304">
        <v>2.4969487573206528E-5</v>
      </c>
      <c r="G304">
        <v>-4.2152824032682434E-7</v>
      </c>
      <c r="H304" t="b">
        <v>1</v>
      </c>
    </row>
    <row r="305" spans="1:8" x14ac:dyDescent="0.15">
      <c r="A305">
        <v>16</v>
      </c>
      <c r="B305">
        <v>14</v>
      </c>
      <c r="C305">
        <v>668480.95703125</v>
      </c>
      <c r="D305">
        <v>2741441.8317688536</v>
      </c>
      <c r="E305">
        <v>2.5049252928987301E-5</v>
      </c>
      <c r="F305">
        <v>2.4969487573206528E-5</v>
      </c>
      <c r="G305">
        <v>7.976535578077323E-8</v>
      </c>
      <c r="H305" t="b">
        <v>0</v>
      </c>
    </row>
    <row r="306" spans="1:8" x14ac:dyDescent="0.15">
      <c r="A306">
        <v>16</v>
      </c>
      <c r="B306">
        <v>15</v>
      </c>
      <c r="C306">
        <v>668230.95703125</v>
      </c>
      <c r="D306">
        <v>-5794187.9123423984</v>
      </c>
      <c r="E306">
        <v>2.4797404888133532E-5</v>
      </c>
      <c r="F306">
        <v>2.4969487573206528E-5</v>
      </c>
      <c r="G306">
        <v>-1.7208268507299581E-7</v>
      </c>
      <c r="H306" t="b">
        <v>1</v>
      </c>
    </row>
    <row r="307" spans="1:8" x14ac:dyDescent="0.15">
      <c r="A307">
        <v>16</v>
      </c>
      <c r="B307">
        <v>16</v>
      </c>
      <c r="C307">
        <v>668355.95703125</v>
      </c>
      <c r="D307">
        <v>-1580649.1176030776</v>
      </c>
      <c r="E307">
        <v>2.4923024581894861E-5</v>
      </c>
      <c r="F307">
        <v>2.4969487573206528E-5</v>
      </c>
      <c r="G307">
        <v>-4.6462991311667048E-8</v>
      </c>
      <c r="H307" t="b">
        <v>1</v>
      </c>
    </row>
    <row r="308" spans="1:8" x14ac:dyDescent="0.15">
      <c r="A308">
        <v>16</v>
      </c>
      <c r="B308">
        <v>17</v>
      </c>
      <c r="C308">
        <v>668480.95703125</v>
      </c>
      <c r="D308">
        <v>2741441.8317688536</v>
      </c>
      <c r="E308">
        <v>2.5049252928987301E-5</v>
      </c>
      <c r="F308">
        <v>2.4969487573206528E-5</v>
      </c>
      <c r="G308">
        <v>7.976535578077323E-8</v>
      </c>
      <c r="H308" t="b">
        <v>0</v>
      </c>
    </row>
    <row r="309" spans="1:8" x14ac:dyDescent="0.15">
      <c r="A309">
        <v>16</v>
      </c>
      <c r="B309">
        <v>18</v>
      </c>
      <c r="C309">
        <v>668418.45703125</v>
      </c>
      <c r="D309">
        <v>566901.24686731317</v>
      </c>
      <c r="E309">
        <v>2.49860664930659E-5</v>
      </c>
      <c r="F309">
        <v>2.4969487573206528E-5</v>
      </c>
      <c r="G309">
        <v>1.6578919859371944E-8</v>
      </c>
      <c r="H309" t="b">
        <v>0</v>
      </c>
    </row>
    <row r="310" spans="1:8" x14ac:dyDescent="0.15">
      <c r="A310">
        <v>16</v>
      </c>
      <c r="B310">
        <v>19</v>
      </c>
      <c r="C310">
        <v>668449.70703125</v>
      </c>
      <c r="D310">
        <v>1650821.1377223858</v>
      </c>
      <c r="E310">
        <v>2.5017642516418784E-5</v>
      </c>
      <c r="F310">
        <v>2.4969487573206528E-5</v>
      </c>
      <c r="G310">
        <v>4.8154943212255817E-8</v>
      </c>
      <c r="H310" t="b">
        <v>0</v>
      </c>
    </row>
    <row r="311" spans="1:8" x14ac:dyDescent="0.15">
      <c r="A311">
        <v>16</v>
      </c>
      <c r="B311">
        <v>20</v>
      </c>
      <c r="C311">
        <v>668434.08203125</v>
      </c>
      <c r="D311">
        <v>1108009.1729872222</v>
      </c>
      <c r="E311">
        <v>2.5001849763692572E-5</v>
      </c>
      <c r="F311">
        <v>2.4969487573206528E-5</v>
      </c>
      <c r="G311">
        <v>3.2362190486043767E-8</v>
      </c>
      <c r="H311" t="b">
        <v>0</v>
      </c>
    </row>
    <row r="312" spans="1:8" x14ac:dyDescent="0.15">
      <c r="A312">
        <v>16</v>
      </c>
      <c r="B312">
        <v>21</v>
      </c>
      <c r="C312">
        <v>668415.33203125</v>
      </c>
      <c r="D312">
        <v>458883.97444949573</v>
      </c>
      <c r="E312">
        <v>2.498291097631591E-5</v>
      </c>
      <c r="F312">
        <v>2.4969487573206528E-5</v>
      </c>
      <c r="G312">
        <v>1.3423403109381633E-8</v>
      </c>
      <c r="H312" t="b">
        <v>0</v>
      </c>
    </row>
    <row r="313" spans="1:8" x14ac:dyDescent="0.15">
      <c r="A313">
        <v>16</v>
      </c>
      <c r="B313">
        <v>22</v>
      </c>
      <c r="C313">
        <v>668424.70703125</v>
      </c>
      <c r="D313">
        <v>783018.30578535877</v>
      </c>
      <c r="E313">
        <v>2.4992375111593623E-5</v>
      </c>
      <c r="F313">
        <v>2.4969487573206528E-5</v>
      </c>
      <c r="G313">
        <v>2.2887538387094617E-8</v>
      </c>
      <c r="H313" t="b">
        <v>0</v>
      </c>
    </row>
    <row r="314" spans="1:8" x14ac:dyDescent="0.15">
      <c r="A314">
        <v>16</v>
      </c>
      <c r="B314">
        <v>23</v>
      </c>
      <c r="C314">
        <v>668420.01953125</v>
      </c>
      <c r="D314">
        <v>620813.77890499099</v>
      </c>
      <c r="E314">
        <v>2.4987640842081566E-5</v>
      </c>
      <c r="F314">
        <v>2.4969487573206528E-5</v>
      </c>
      <c r="G314">
        <v>1.8153268875037957E-8</v>
      </c>
      <c r="H314" t="b">
        <v>0</v>
      </c>
    </row>
    <row r="315" spans="1:8" x14ac:dyDescent="0.15">
      <c r="A315">
        <v>16</v>
      </c>
      <c r="B315">
        <v>24</v>
      </c>
      <c r="C315">
        <v>668422.36328125</v>
      </c>
      <c r="D315">
        <v>702018.58152665617</v>
      </c>
      <c r="E315">
        <v>2.4990011422070737E-5</v>
      </c>
      <c r="F315">
        <v>2.4969487573206528E-5</v>
      </c>
      <c r="G315">
        <v>2.052384886420925E-8</v>
      </c>
      <c r="H315" t="b">
        <v>0</v>
      </c>
    </row>
    <row r="316" spans="1:8" x14ac:dyDescent="0.15">
      <c r="A316">
        <v>16</v>
      </c>
      <c r="B316">
        <v>25</v>
      </c>
      <c r="C316">
        <v>668421.19140625</v>
      </c>
      <c r="D316">
        <v>661350.54558227793</v>
      </c>
      <c r="E316">
        <v>2.4988824329490103E-5</v>
      </c>
      <c r="F316">
        <v>2.4969487573206528E-5</v>
      </c>
      <c r="G316">
        <v>1.9336756283575511E-8</v>
      </c>
      <c r="H316" t="b">
        <v>0</v>
      </c>
    </row>
    <row r="317" spans="1:8" x14ac:dyDescent="0.15">
      <c r="A317">
        <v>16</v>
      </c>
      <c r="B317">
        <v>26</v>
      </c>
      <c r="C317">
        <v>668421.77734375</v>
      </c>
      <c r="D317">
        <v>681622.51988793595</v>
      </c>
      <c r="E317">
        <v>2.4989416093184966E-5</v>
      </c>
      <c r="F317">
        <v>2.4969487573206528E-5</v>
      </c>
      <c r="G317">
        <v>1.9928519978438484E-8</v>
      </c>
      <c r="H317" t="b">
        <v>0</v>
      </c>
    </row>
    <row r="318" spans="1:8" x14ac:dyDescent="0.15">
      <c r="A318">
        <v>16</v>
      </c>
      <c r="B318">
        <v>27</v>
      </c>
      <c r="C318">
        <v>668421.484375</v>
      </c>
      <c r="D318">
        <v>671607.90454016102</v>
      </c>
      <c r="E318">
        <v>2.4989123761397571E-5</v>
      </c>
      <c r="F318">
        <v>2.4969487573206528E-5</v>
      </c>
      <c r="G318">
        <v>1.9636188191043383E-8</v>
      </c>
      <c r="H318" t="b">
        <v>0</v>
      </c>
    </row>
    <row r="319" spans="1:8" x14ac:dyDescent="0.15">
      <c r="A319">
        <v>17</v>
      </c>
      <c r="B319">
        <v>1</v>
      </c>
      <c r="C319">
        <v>6050000</v>
      </c>
      <c r="D319">
        <v>2.1962445135251986E+18</v>
      </c>
      <c r="E319">
        <v>536.87092200000006</v>
      </c>
      <c r="F319">
        <v>1.6281267676276912E-5</v>
      </c>
      <c r="G319">
        <v>536.87090571873239</v>
      </c>
      <c r="H319" t="b">
        <v>0</v>
      </c>
    </row>
    <row r="320" spans="1:8" x14ac:dyDescent="0.15">
      <c r="A320">
        <v>17</v>
      </c>
      <c r="B320">
        <v>2</v>
      </c>
      <c r="C320">
        <v>3075000</v>
      </c>
      <c r="D320">
        <v>2.1845080985307761E+18</v>
      </c>
      <c r="E320">
        <v>534.3309386127288</v>
      </c>
      <c r="F320">
        <v>1.6281267676276912E-5</v>
      </c>
      <c r="G320">
        <v>534.33092233146112</v>
      </c>
      <c r="H320" t="b">
        <v>0</v>
      </c>
    </row>
    <row r="321" spans="1:8" x14ac:dyDescent="0.15">
      <c r="A321">
        <v>17</v>
      </c>
      <c r="B321">
        <v>3</v>
      </c>
      <c r="C321">
        <v>1587500</v>
      </c>
      <c r="D321">
        <v>470759667637481.13</v>
      </c>
      <c r="E321">
        <v>0.35937831092180278</v>
      </c>
      <c r="F321">
        <v>1.6281267644135955E-5</v>
      </c>
      <c r="G321">
        <v>0.35936202965415864</v>
      </c>
      <c r="H321" t="b">
        <v>0</v>
      </c>
    </row>
    <row r="322" spans="1:8" x14ac:dyDescent="0.15">
      <c r="A322">
        <v>17</v>
      </c>
      <c r="B322">
        <v>4</v>
      </c>
      <c r="C322">
        <v>843750</v>
      </c>
      <c r="D322">
        <v>-702331.56630133349</v>
      </c>
      <c r="E322">
        <v>4.34680082823054E-6</v>
      </c>
      <c r="F322">
        <v>1.6281267644159479E-5</v>
      </c>
      <c r="G322">
        <v>-1.1934466815928938E-5</v>
      </c>
      <c r="H322" t="b">
        <v>1</v>
      </c>
    </row>
    <row r="323" spans="1:8" x14ac:dyDescent="0.15">
      <c r="A323">
        <v>17</v>
      </c>
      <c r="B323">
        <v>5</v>
      </c>
      <c r="C323">
        <v>1215625</v>
      </c>
      <c r="D323">
        <v>1651799080117.4065</v>
      </c>
      <c r="E323">
        <v>3.5436027555850267E-3</v>
      </c>
      <c r="F323">
        <v>1.6281267644159374E-5</v>
      </c>
      <c r="G323">
        <v>3.5273214879408673E-3</v>
      </c>
      <c r="H323" t="b">
        <v>0</v>
      </c>
    </row>
    <row r="324" spans="1:8" x14ac:dyDescent="0.15">
      <c r="A324">
        <v>17</v>
      </c>
      <c r="B324">
        <v>6</v>
      </c>
      <c r="C324">
        <v>1029687.5</v>
      </c>
      <c r="D324">
        <v>12498864358.301416</v>
      </c>
      <c r="E324">
        <v>1.0069492936243236E-4</v>
      </c>
      <c r="F324">
        <v>1.6281267644159482E-5</v>
      </c>
      <c r="G324">
        <v>8.4413661718272875E-5</v>
      </c>
      <c r="H324" t="b">
        <v>0</v>
      </c>
    </row>
    <row r="325" spans="1:8" x14ac:dyDescent="0.15">
      <c r="A325">
        <v>17</v>
      </c>
      <c r="B325">
        <v>7</v>
      </c>
      <c r="C325">
        <v>936718.75</v>
      </c>
      <c r="D325">
        <v>-56859609.283341601</v>
      </c>
      <c r="E325">
        <v>1.2772024762318249E-5</v>
      </c>
      <c r="F325">
        <v>1.6281267644159479E-5</v>
      </c>
      <c r="G325">
        <v>-3.5092428818412293E-6</v>
      </c>
      <c r="H325" t="b">
        <v>1</v>
      </c>
    </row>
    <row r="326" spans="1:8" x14ac:dyDescent="0.15">
      <c r="A326">
        <v>17</v>
      </c>
      <c r="B326">
        <v>8</v>
      </c>
      <c r="C326">
        <v>983203.125</v>
      </c>
      <c r="D326">
        <v>1491661569.2719405</v>
      </c>
      <c r="E326">
        <v>3.3497058916490096E-5</v>
      </c>
      <c r="F326">
        <v>1.6281267644159479E-5</v>
      </c>
      <c r="G326">
        <v>1.7215791272330617E-5</v>
      </c>
      <c r="H326" t="b">
        <v>0</v>
      </c>
    </row>
    <row r="327" spans="1:8" x14ac:dyDescent="0.15">
      <c r="A327">
        <v>17</v>
      </c>
      <c r="B327">
        <v>9</v>
      </c>
      <c r="C327">
        <v>959960.9375</v>
      </c>
      <c r="D327">
        <v>102277524.16199358</v>
      </c>
      <c r="E327">
        <v>1.8562927535733769E-5</v>
      </c>
      <c r="F327">
        <v>1.6281267644159479E-5</v>
      </c>
      <c r="G327">
        <v>2.28165989157429E-6</v>
      </c>
      <c r="H327" t="b">
        <v>0</v>
      </c>
    </row>
    <row r="328" spans="1:8" x14ac:dyDescent="0.15">
      <c r="A328">
        <v>17</v>
      </c>
      <c r="B328">
        <v>10</v>
      </c>
      <c r="C328">
        <v>948339.84375</v>
      </c>
      <c r="D328">
        <v>-39181145.540138885</v>
      </c>
      <c r="E328">
        <v>1.4800819692009439E-5</v>
      </c>
      <c r="F328">
        <v>1.6281267644159479E-5</v>
      </c>
      <c r="G328">
        <v>-1.4804479521500397E-6</v>
      </c>
      <c r="H328" t="b">
        <v>1</v>
      </c>
    </row>
    <row r="329" spans="1:8" x14ac:dyDescent="0.15">
      <c r="A329">
        <v>17</v>
      </c>
      <c r="B329">
        <v>11</v>
      </c>
      <c r="C329">
        <v>954150.390625</v>
      </c>
      <c r="D329">
        <v>-10843320.490140866</v>
      </c>
      <c r="E329">
        <v>1.5944284122455183E-5</v>
      </c>
      <c r="F329">
        <v>1.6281267644159479E-5</v>
      </c>
      <c r="G329">
        <v>-3.369835217042962E-7</v>
      </c>
      <c r="H329" t="b">
        <v>1</v>
      </c>
    </row>
    <row r="330" spans="1:8" x14ac:dyDescent="0.15">
      <c r="A330">
        <v>17</v>
      </c>
      <c r="B330">
        <v>12</v>
      </c>
      <c r="C330">
        <v>957055.6640625</v>
      </c>
      <c r="D330">
        <v>35545232.973397292</v>
      </c>
      <c r="E330">
        <v>1.7207826560465258E-5</v>
      </c>
      <c r="F330">
        <v>1.6281267644159479E-5</v>
      </c>
      <c r="G330">
        <v>9.265589163057791E-7</v>
      </c>
      <c r="H330" t="b">
        <v>0</v>
      </c>
    </row>
    <row r="331" spans="1:8" x14ac:dyDescent="0.15">
      <c r="A331">
        <v>17</v>
      </c>
      <c r="B331">
        <v>13</v>
      </c>
      <c r="C331">
        <v>955603.02734375</v>
      </c>
      <c r="D331">
        <v>9996051.9806751367</v>
      </c>
      <c r="E331">
        <v>1.6564971567288684E-5</v>
      </c>
      <c r="F331">
        <v>1.6281267644159479E-5</v>
      </c>
      <c r="G331">
        <v>2.83703923129205E-7</v>
      </c>
      <c r="H331" t="b">
        <v>0</v>
      </c>
    </row>
    <row r="332" spans="1:8" x14ac:dyDescent="0.15">
      <c r="A332">
        <v>17</v>
      </c>
      <c r="B332">
        <v>14</v>
      </c>
      <c r="C332">
        <v>954403.02734375</v>
      </c>
      <c r="D332">
        <v>-7541439.5200479049</v>
      </c>
      <c r="E332">
        <v>1.6050669880434564E-5</v>
      </c>
      <c r="F332">
        <v>1.6281267644159479E-5</v>
      </c>
      <c r="G332">
        <v>-2.3059776372491494E-7</v>
      </c>
      <c r="H332" t="b">
        <v>1</v>
      </c>
    </row>
    <row r="333" spans="1:8" x14ac:dyDescent="0.15">
      <c r="A333">
        <v>17</v>
      </c>
      <c r="B333">
        <v>15</v>
      </c>
      <c r="C333">
        <v>955003.02734375</v>
      </c>
      <c r="D333">
        <v>838345.93767517537</v>
      </c>
      <c r="E333">
        <v>1.6305951937590055E-5</v>
      </c>
      <c r="F333">
        <v>1.6281267644159479E-5</v>
      </c>
      <c r="G333">
        <v>2.4684293430576111E-8</v>
      </c>
      <c r="H333" t="b">
        <v>0</v>
      </c>
    </row>
    <row r="334" spans="1:8" x14ac:dyDescent="0.15">
      <c r="A334">
        <v>17</v>
      </c>
      <c r="B334">
        <v>16</v>
      </c>
      <c r="C334">
        <v>955723.02734375</v>
      </c>
      <c r="D334">
        <v>11923152.085344274</v>
      </c>
      <c r="E334">
        <v>1.6617227143843387E-5</v>
      </c>
      <c r="F334">
        <v>1.6281267644159479E-5</v>
      </c>
      <c r="G334">
        <v>3.3595949968390836E-7</v>
      </c>
      <c r="H334" t="b">
        <v>0</v>
      </c>
    </row>
    <row r="335" spans="1:8" x14ac:dyDescent="0.15">
      <c r="A335">
        <v>17</v>
      </c>
      <c r="B335">
        <v>17</v>
      </c>
      <c r="C335">
        <v>955363.02734375</v>
      </c>
      <c r="D335">
        <v>6238046.1509640086</v>
      </c>
      <c r="E335">
        <v>1.6460913810750825E-5</v>
      </c>
      <c r="F335">
        <v>1.6281267644159479E-5</v>
      </c>
      <c r="G335">
        <v>1.7964616659134664E-7</v>
      </c>
      <c r="H335" t="b">
        <v>0</v>
      </c>
    </row>
    <row r="336" spans="1:8" x14ac:dyDescent="0.15">
      <c r="A336">
        <v>17</v>
      </c>
      <c r="B336">
        <v>18</v>
      </c>
      <c r="C336">
        <v>954931.02734375</v>
      </c>
      <c r="D336">
        <v>-207708.52524590027</v>
      </c>
      <c r="E336">
        <v>1.6275124423151242E-5</v>
      </c>
      <c r="F336">
        <v>1.6281267644159479E-5</v>
      </c>
      <c r="G336">
        <v>-6.1432210082371954E-9</v>
      </c>
      <c r="H336" t="b">
        <v>1</v>
      </c>
    </row>
    <row r="337" spans="1:8" x14ac:dyDescent="0.15">
      <c r="A337">
        <v>17</v>
      </c>
      <c r="B337">
        <v>19</v>
      </c>
      <c r="C337">
        <v>955147.02734375</v>
      </c>
      <c r="D337">
        <v>2964281.6237037983</v>
      </c>
      <c r="E337">
        <v>1.6367773776574977E-5</v>
      </c>
      <c r="F337">
        <v>1.6281267644159479E-5</v>
      </c>
      <c r="G337">
        <v>8.6506132415498191E-8</v>
      </c>
      <c r="H337" t="b">
        <v>0</v>
      </c>
    </row>
    <row r="338" spans="1:8" x14ac:dyDescent="0.15">
      <c r="A338">
        <v>17</v>
      </c>
      <c r="B338">
        <v>20</v>
      </c>
      <c r="C338">
        <v>955039.02734375</v>
      </c>
      <c r="D338">
        <v>1365621.4480199171</v>
      </c>
      <c r="E338">
        <v>1.6321387362943501E-5</v>
      </c>
      <c r="F338">
        <v>1.6281267644159479E-5</v>
      </c>
      <c r="G338">
        <v>4.0119718784022591E-8</v>
      </c>
      <c r="H338" t="b">
        <v>0</v>
      </c>
    </row>
    <row r="339" spans="1:8" x14ac:dyDescent="0.15">
      <c r="A339">
        <v>17</v>
      </c>
      <c r="B339">
        <v>21</v>
      </c>
      <c r="C339">
        <v>954909.42734375002</v>
      </c>
      <c r="D339">
        <v>-519375.74284116423</v>
      </c>
      <c r="E339">
        <v>1.6265885811056438E-5</v>
      </c>
      <c r="F339">
        <v>1.6281267644159479E-5</v>
      </c>
      <c r="G339">
        <v>-1.5381833103041083E-8</v>
      </c>
      <c r="H339" t="b">
        <v>1</v>
      </c>
    </row>
    <row r="340" spans="1:8" x14ac:dyDescent="0.15">
      <c r="A340">
        <v>17</v>
      </c>
      <c r="B340">
        <v>22</v>
      </c>
      <c r="C340">
        <v>954974.22734375007</v>
      </c>
      <c r="D340">
        <v>418545.71524477529</v>
      </c>
      <c r="E340">
        <v>1.6293613391749667E-5</v>
      </c>
      <c r="F340">
        <v>1.6281267644159479E-5</v>
      </c>
      <c r="G340">
        <v>1.2345747590187893E-8</v>
      </c>
      <c r="H340" t="b">
        <v>0</v>
      </c>
    </row>
    <row r="341" spans="1:8" x14ac:dyDescent="0.15">
      <c r="A341">
        <v>17</v>
      </c>
      <c r="B341">
        <v>23</v>
      </c>
      <c r="C341">
        <v>955051.98734375008</v>
      </c>
      <c r="D341">
        <v>1556214.4609035137</v>
      </c>
      <c r="E341">
        <v>1.6326949955196387E-5</v>
      </c>
      <c r="F341">
        <v>1.6281267644159479E-5</v>
      </c>
      <c r="G341">
        <v>4.5682311036907914E-8</v>
      </c>
      <c r="H341" t="b">
        <v>0</v>
      </c>
    </row>
    <row r="342" spans="1:8" x14ac:dyDescent="0.15">
      <c r="A342">
        <v>17</v>
      </c>
      <c r="B342">
        <v>24</v>
      </c>
      <c r="C342">
        <v>955013.10734375007</v>
      </c>
      <c r="D342">
        <v>985797.39221871377</v>
      </c>
      <c r="E342">
        <v>1.6310275337428839E-5</v>
      </c>
      <c r="F342">
        <v>1.6281267644159479E-5</v>
      </c>
      <c r="G342">
        <v>2.9007693269360622E-8</v>
      </c>
      <c r="H342" t="b">
        <v>0</v>
      </c>
    </row>
    <row r="343" spans="1:8" x14ac:dyDescent="0.15">
      <c r="A343">
        <v>17</v>
      </c>
      <c r="B343">
        <v>25</v>
      </c>
      <c r="C343">
        <v>954966.45134375012</v>
      </c>
      <c r="D343">
        <v>305599.59321520361</v>
      </c>
      <c r="E343">
        <v>1.6290286201509583E-5</v>
      </c>
      <c r="F343">
        <v>1.6281267644159479E-5</v>
      </c>
      <c r="G343">
        <v>9.0185573501038276E-9</v>
      </c>
      <c r="H343" t="b">
        <v>0</v>
      </c>
    </row>
    <row r="344" spans="1:8" x14ac:dyDescent="0.15">
      <c r="A344">
        <v>17</v>
      </c>
      <c r="B344">
        <v>26</v>
      </c>
      <c r="C344">
        <v>954989.77934375009</v>
      </c>
      <c r="D344">
        <v>645015.46880852291</v>
      </c>
      <c r="E344">
        <v>1.6300275139011282E-5</v>
      </c>
      <c r="F344">
        <v>1.6281267644159479E-5</v>
      </c>
      <c r="G344">
        <v>1.9007494851803038E-8</v>
      </c>
      <c r="H344" t="b">
        <v>0</v>
      </c>
    </row>
    <row r="345" spans="1:8" x14ac:dyDescent="0.15">
      <c r="A345">
        <v>17</v>
      </c>
      <c r="B345">
        <v>27</v>
      </c>
      <c r="C345">
        <v>955017.77294375014</v>
      </c>
      <c r="D345">
        <v>1054074.2607705053</v>
      </c>
      <c r="E345">
        <v>1.6312275448297447E-5</v>
      </c>
      <c r="F345">
        <v>1.6281267644159479E-5</v>
      </c>
      <c r="G345">
        <v>3.1007804137968259E-8</v>
      </c>
      <c r="H345" t="b">
        <v>0</v>
      </c>
    </row>
    <row r="346" spans="1:8" x14ac:dyDescent="0.15">
      <c r="A346">
        <v>17</v>
      </c>
      <c r="B346">
        <v>28</v>
      </c>
      <c r="C346">
        <v>955003.77614375018</v>
      </c>
      <c r="D346">
        <v>849378.25272772717</v>
      </c>
      <c r="E346">
        <v>1.6306275600987764E-5</v>
      </c>
      <c r="F346">
        <v>1.6281267644159479E-5</v>
      </c>
      <c r="G346">
        <v>2.5007956828284965E-8</v>
      </c>
      <c r="H346" t="b">
        <v>0</v>
      </c>
    </row>
    <row r="347" spans="1:8" x14ac:dyDescent="0.15">
      <c r="A347">
        <v>17</v>
      </c>
      <c r="B347">
        <v>29</v>
      </c>
      <c r="C347">
        <v>955010.77454375022</v>
      </c>
      <c r="D347">
        <v>951676.56378213875</v>
      </c>
      <c r="E347">
        <v>1.6309275365511767E-5</v>
      </c>
      <c r="F347">
        <v>1.6281267644159479E-5</v>
      </c>
      <c r="G347">
        <v>2.8007721352288562E-8</v>
      </c>
      <c r="H347" t="b">
        <v>0</v>
      </c>
    </row>
    <row r="348" spans="1:8" x14ac:dyDescent="0.15">
      <c r="A348">
        <v>18</v>
      </c>
      <c r="B348">
        <v>1</v>
      </c>
      <c r="C348">
        <v>6050000</v>
      </c>
      <c r="D348">
        <v>2.1822380993396808E+18</v>
      </c>
      <c r="E348">
        <v>536.87092200000006</v>
      </c>
      <c r="F348">
        <v>1.6348198187188245E-5</v>
      </c>
      <c r="G348">
        <v>536.87090565180188</v>
      </c>
      <c r="H348" t="b">
        <v>0</v>
      </c>
    </row>
    <row r="349" spans="1:8" x14ac:dyDescent="0.15">
      <c r="A349">
        <v>18</v>
      </c>
      <c r="B349">
        <v>2</v>
      </c>
      <c r="C349">
        <v>3075000</v>
      </c>
      <c r="D349">
        <v>4.1040352974084616E+16</v>
      </c>
      <c r="E349">
        <v>16.481339631800427</v>
      </c>
      <c r="F349">
        <v>1.6348198137450254E-5</v>
      </c>
      <c r="G349">
        <v>16.48132328360229</v>
      </c>
      <c r="H349" t="b">
        <v>0</v>
      </c>
    </row>
    <row r="350" spans="1:8" x14ac:dyDescent="0.15">
      <c r="A350">
        <v>18</v>
      </c>
      <c r="B350">
        <v>3</v>
      </c>
      <c r="C350">
        <v>1587500</v>
      </c>
      <c r="D350">
        <v>148789469088.71579</v>
      </c>
      <c r="E350">
        <v>5.6166878431390937E-4</v>
      </c>
      <c r="F350">
        <v>1.6348198136847546E-5</v>
      </c>
      <c r="G350">
        <v>5.4532058617706182E-4</v>
      </c>
      <c r="H350" t="b">
        <v>0</v>
      </c>
    </row>
    <row r="351" spans="1:8" x14ac:dyDescent="0.15">
      <c r="A351">
        <v>18</v>
      </c>
      <c r="B351">
        <v>4</v>
      </c>
      <c r="C351">
        <v>843750</v>
      </c>
      <c r="D351">
        <v>-78056.74052041884</v>
      </c>
      <c r="E351">
        <v>-2.5332447186566855E-6</v>
      </c>
      <c r="F351">
        <v>1.6348198136847576E-5</v>
      </c>
      <c r="G351">
        <v>-1.8881442855504263E-5</v>
      </c>
      <c r="H351" t="b">
        <v>1</v>
      </c>
    </row>
    <row r="352" spans="1:8" x14ac:dyDescent="0.15">
      <c r="A352">
        <v>18</v>
      </c>
      <c r="B352">
        <v>5</v>
      </c>
      <c r="C352">
        <v>1215625</v>
      </c>
      <c r="D352">
        <v>-9684569.4860917851</v>
      </c>
      <c r="E352">
        <v>8.5944778572811405E-6</v>
      </c>
      <c r="F352">
        <v>1.6348198136847576E-5</v>
      </c>
      <c r="G352">
        <v>-7.7537202795664359E-6</v>
      </c>
      <c r="H352" t="b">
        <v>1</v>
      </c>
    </row>
    <row r="353" spans="1:8" x14ac:dyDescent="0.15">
      <c r="A353">
        <v>18</v>
      </c>
      <c r="B353">
        <v>6</v>
      </c>
      <c r="C353">
        <v>1401562.5</v>
      </c>
      <c r="D353">
        <v>5607277181.8259783</v>
      </c>
      <c r="E353">
        <v>6.3151990426443136E-5</v>
      </c>
      <c r="F353">
        <v>1.6348198136847573E-5</v>
      </c>
      <c r="G353">
        <v>4.6803792289595563E-5</v>
      </c>
      <c r="H353" t="b">
        <v>0</v>
      </c>
    </row>
    <row r="354" spans="1:8" x14ac:dyDescent="0.15">
      <c r="A354">
        <v>18</v>
      </c>
      <c r="B354">
        <v>7</v>
      </c>
      <c r="C354">
        <v>1308593.75</v>
      </c>
      <c r="D354">
        <v>54464162.638462692</v>
      </c>
      <c r="E354">
        <v>1.7701248710394414E-5</v>
      </c>
      <c r="F354">
        <v>1.6348198136847576E-5</v>
      </c>
      <c r="G354">
        <v>1.3530505735468377E-6</v>
      </c>
      <c r="H354" t="b">
        <v>0</v>
      </c>
    </row>
    <row r="355" spans="1:8" x14ac:dyDescent="0.15">
      <c r="A355">
        <v>18</v>
      </c>
      <c r="B355">
        <v>8</v>
      </c>
      <c r="C355">
        <v>1262109.375</v>
      </c>
      <c r="D355">
        <v>-53216889.929339394</v>
      </c>
      <c r="E355">
        <v>1.2075528732548186E-5</v>
      </c>
      <c r="F355">
        <v>1.6348198136847576E-5</v>
      </c>
      <c r="G355">
        <v>-4.2726694042993907E-6</v>
      </c>
      <c r="H355" t="b">
        <v>1</v>
      </c>
    </row>
    <row r="356" spans="1:8" x14ac:dyDescent="0.15">
      <c r="A356">
        <v>18</v>
      </c>
      <c r="B356">
        <v>9</v>
      </c>
      <c r="C356">
        <v>1285351.5625</v>
      </c>
      <c r="D356">
        <v>-48982790.366292134</v>
      </c>
      <c r="E356">
        <v>1.4246446908583042E-5</v>
      </c>
      <c r="F356">
        <v>1.6348198136847576E-5</v>
      </c>
      <c r="G356">
        <v>-2.1017512282645339E-6</v>
      </c>
      <c r="H356" t="b">
        <v>1</v>
      </c>
    </row>
    <row r="357" spans="1:8" x14ac:dyDescent="0.15">
      <c r="A357">
        <v>18</v>
      </c>
      <c r="B357">
        <v>10</v>
      </c>
      <c r="C357">
        <v>1296972.65625</v>
      </c>
      <c r="D357">
        <v>-26261868.350059342</v>
      </c>
      <c r="E357">
        <v>1.5452726393505869E-5</v>
      </c>
      <c r="F357">
        <v>1.6348198136847576E-5</v>
      </c>
      <c r="G357">
        <v>-8.9547174334170731E-7</v>
      </c>
      <c r="H357" t="b">
        <v>1</v>
      </c>
    </row>
    <row r="358" spans="1:8" x14ac:dyDescent="0.15">
      <c r="A358">
        <v>18</v>
      </c>
      <c r="B358">
        <v>11</v>
      </c>
      <c r="C358">
        <v>1302783.203125</v>
      </c>
      <c r="D358">
        <v>-2705243.0949589168</v>
      </c>
      <c r="E358">
        <v>1.6267046915421518E-5</v>
      </c>
      <c r="F358">
        <v>1.6348198136847576E-5</v>
      </c>
      <c r="G358">
        <v>-8.1151221426058569E-8</v>
      </c>
      <c r="H358" t="b">
        <v>1</v>
      </c>
    </row>
    <row r="359" spans="1:8" x14ac:dyDescent="0.15">
      <c r="A359">
        <v>18</v>
      </c>
      <c r="B359">
        <v>12</v>
      </c>
      <c r="C359">
        <v>1305688.4765625</v>
      </c>
      <c r="D359">
        <v>22862400.512774032</v>
      </c>
      <c r="E359">
        <v>1.6970279113994773E-5</v>
      </c>
      <c r="F359">
        <v>1.6348198136847576E-5</v>
      </c>
      <c r="G359">
        <v>6.2208097714719682E-7</v>
      </c>
      <c r="H359" t="b">
        <v>0</v>
      </c>
    </row>
    <row r="360" spans="1:8" x14ac:dyDescent="0.15">
      <c r="A360">
        <v>18</v>
      </c>
      <c r="B360">
        <v>13</v>
      </c>
      <c r="C360">
        <v>1304235.83984375</v>
      </c>
      <c r="D360">
        <v>9355778.0507926382</v>
      </c>
      <c r="E360">
        <v>1.6615256429104489E-5</v>
      </c>
      <c r="F360">
        <v>1.6348198136847576E-5</v>
      </c>
      <c r="G360">
        <v>2.6705829225691214E-7</v>
      </c>
      <c r="H360" t="b">
        <v>0</v>
      </c>
    </row>
    <row r="361" spans="1:8" x14ac:dyDescent="0.15">
      <c r="A361">
        <v>18</v>
      </c>
      <c r="B361">
        <v>14</v>
      </c>
      <c r="C361">
        <v>1303035.83984375</v>
      </c>
      <c r="D361">
        <v>-708711.64121515525</v>
      </c>
      <c r="E361">
        <v>1.6327123943689481E-5</v>
      </c>
      <c r="F361">
        <v>1.6348198136847576E-5</v>
      </c>
      <c r="G361">
        <v>-2.1074193158095714E-8</v>
      </c>
      <c r="H361" t="b">
        <v>1</v>
      </c>
    </row>
    <row r="362" spans="1:8" x14ac:dyDescent="0.15">
      <c r="A362">
        <v>18</v>
      </c>
      <c r="B362">
        <v>15</v>
      </c>
      <c r="C362">
        <v>1303635.83984375</v>
      </c>
      <c r="D362">
        <v>4202371.3253142564</v>
      </c>
      <c r="E362">
        <v>1.6470612211941027E-5</v>
      </c>
      <c r="F362">
        <v>1.6348198136847576E-5</v>
      </c>
      <c r="G362">
        <v>1.2241407509345082E-7</v>
      </c>
      <c r="H362" t="b">
        <v>0</v>
      </c>
    </row>
    <row r="363" spans="1:8" x14ac:dyDescent="0.15">
      <c r="A363">
        <v>18</v>
      </c>
      <c r="B363">
        <v>16</v>
      </c>
      <c r="C363">
        <v>1303335.83984375</v>
      </c>
      <c r="D363">
        <v>1716855.5938464415</v>
      </c>
      <c r="E363">
        <v>1.6398725412128832E-5</v>
      </c>
      <c r="F363">
        <v>1.6348198136847576E-5</v>
      </c>
      <c r="G363">
        <v>5.052727528125531E-8</v>
      </c>
      <c r="H363" t="b">
        <v>0</v>
      </c>
    </row>
    <row r="364" spans="1:8" x14ac:dyDescent="0.15">
      <c r="A364">
        <v>18</v>
      </c>
      <c r="B364">
        <v>17</v>
      </c>
      <c r="C364">
        <v>1302975.83984375</v>
      </c>
      <c r="D364">
        <v>-1186666.8488640918</v>
      </c>
      <c r="E364">
        <v>1.6312838143868259E-5</v>
      </c>
      <c r="F364">
        <v>1.6348198136847576E-5</v>
      </c>
      <c r="G364">
        <v>-3.535999297931688E-8</v>
      </c>
      <c r="H364" t="b">
        <v>1</v>
      </c>
    </row>
    <row r="365" spans="1:8" x14ac:dyDescent="0.15">
      <c r="A365">
        <v>18</v>
      </c>
      <c r="B365">
        <v>18</v>
      </c>
      <c r="C365">
        <v>1303155.83984375</v>
      </c>
      <c r="D365">
        <v>254278.19263290887</v>
      </c>
      <c r="E365">
        <v>1.6355728064704338E-5</v>
      </c>
      <c r="F365">
        <v>1.6348198136847576E-5</v>
      </c>
      <c r="G365">
        <v>7.5299278567621415E-9</v>
      </c>
      <c r="H365" t="b">
        <v>0</v>
      </c>
    </row>
    <row r="366" spans="1:8" x14ac:dyDescent="0.15">
      <c r="A366">
        <v>18</v>
      </c>
      <c r="B366">
        <v>19</v>
      </c>
      <c r="C366">
        <v>1303371.83984375</v>
      </c>
      <c r="D366">
        <v>2011876.0819946027</v>
      </c>
      <c r="E366">
        <v>1.6407334831781192E-5</v>
      </c>
      <c r="F366">
        <v>1.6348198136847576E-5</v>
      </c>
      <c r="G366">
        <v>5.9136694933615289E-8</v>
      </c>
      <c r="H366" t="b">
        <v>0</v>
      </c>
    </row>
    <row r="367" spans="1:8" x14ac:dyDescent="0.15">
      <c r="A367">
        <v>18</v>
      </c>
      <c r="B367">
        <v>20</v>
      </c>
      <c r="C367">
        <v>1303263.83984375</v>
      </c>
      <c r="D367">
        <v>1129196.2079859271</v>
      </c>
      <c r="E367">
        <v>1.6381512841176987E-5</v>
      </c>
      <c r="F367">
        <v>1.6348198136847576E-5</v>
      </c>
      <c r="G367">
        <v>3.3314704329410414E-8</v>
      </c>
      <c r="H367" t="b">
        <v>0</v>
      </c>
    </row>
    <row r="368" spans="1:8" x14ac:dyDescent="0.15">
      <c r="A368">
        <v>18</v>
      </c>
      <c r="B368">
        <v>21</v>
      </c>
      <c r="C368">
        <v>1303317.83984375</v>
      </c>
      <c r="D368">
        <v>1569634.3574698889</v>
      </c>
      <c r="E368">
        <v>1.6394421229556362E-5</v>
      </c>
      <c r="F368">
        <v>1.6348198136847576E-5</v>
      </c>
      <c r="G368">
        <v>4.6223092708785304E-8</v>
      </c>
      <c r="H368" t="b">
        <v>0</v>
      </c>
    </row>
    <row r="369" spans="1:8" x14ac:dyDescent="0.15">
      <c r="A369">
        <v>18</v>
      </c>
      <c r="B369">
        <v>22</v>
      </c>
      <c r="C369">
        <v>1303290.83984375</v>
      </c>
      <c r="D369">
        <v>1349137.5453606884</v>
      </c>
      <c r="E369">
        <v>1.6387964848287736E-5</v>
      </c>
      <c r="F369">
        <v>1.6348198136847576E-5</v>
      </c>
      <c r="G369">
        <v>3.9766711440159902E-8</v>
      </c>
      <c r="H369" t="b">
        <v>0</v>
      </c>
    </row>
    <row r="370" spans="1:8" x14ac:dyDescent="0.15">
      <c r="A370">
        <v>18</v>
      </c>
      <c r="B370">
        <v>23</v>
      </c>
      <c r="C370">
        <v>1303258.4398437501</v>
      </c>
      <c r="D370">
        <v>1085266.171404568</v>
      </c>
      <c r="E370">
        <v>1.6380222718884167E-5</v>
      </c>
      <c r="F370">
        <v>1.6348198136847576E-5</v>
      </c>
      <c r="G370">
        <v>3.2024582036590437E-8</v>
      </c>
      <c r="H370" t="b">
        <v>0</v>
      </c>
    </row>
    <row r="371" spans="1:8" x14ac:dyDescent="0.15">
      <c r="A371">
        <v>18</v>
      </c>
      <c r="B371">
        <v>24</v>
      </c>
      <c r="C371">
        <v>1303274.63984375</v>
      </c>
      <c r="D371">
        <v>1217184.2383598599</v>
      </c>
      <c r="E371">
        <v>1.6384095411089749E-5</v>
      </c>
      <c r="F371">
        <v>1.6348198136847576E-5</v>
      </c>
      <c r="G371">
        <v>3.5897274242172657E-8</v>
      </c>
      <c r="H371" t="b">
        <v>0</v>
      </c>
    </row>
    <row r="372" spans="1:8" x14ac:dyDescent="0.15">
      <c r="A372">
        <v>18</v>
      </c>
      <c r="B372">
        <v>25</v>
      </c>
      <c r="C372">
        <v>1303294.07984375</v>
      </c>
      <c r="D372">
        <v>1375563.1212277948</v>
      </c>
      <c r="E372">
        <v>1.6388739245472013E-5</v>
      </c>
      <c r="F372">
        <v>1.6348198136847576E-5</v>
      </c>
      <c r="G372">
        <v>4.0541108624436408E-8</v>
      </c>
      <c r="H372" t="b">
        <v>0</v>
      </c>
    </row>
    <row r="373" spans="1:8" x14ac:dyDescent="0.15">
      <c r="A373">
        <v>18</v>
      </c>
      <c r="B373">
        <v>26</v>
      </c>
      <c r="C373">
        <v>1303284.35984375</v>
      </c>
      <c r="D373">
        <v>1296377.1637133057</v>
      </c>
      <c r="E373">
        <v>1.6386418200945752E-5</v>
      </c>
      <c r="F373">
        <v>1.6348198136847576E-5</v>
      </c>
      <c r="G373">
        <v>3.8220064098175196E-8</v>
      </c>
      <c r="H373" t="b">
        <v>0</v>
      </c>
    </row>
    <row r="374" spans="1:8" x14ac:dyDescent="0.15">
      <c r="A374">
        <v>19</v>
      </c>
      <c r="B374">
        <v>1</v>
      </c>
      <c r="C374">
        <v>6050000</v>
      </c>
      <c r="D374">
        <v>1.3021971132642478E+18</v>
      </c>
      <c r="E374">
        <v>536.87092200000006</v>
      </c>
      <c r="F374">
        <v>2.5762736072465486E-5</v>
      </c>
      <c r="G374">
        <v>536.87089623726399</v>
      </c>
      <c r="H374" t="b">
        <v>0</v>
      </c>
    </row>
    <row r="375" spans="1:8" x14ac:dyDescent="0.15">
      <c r="A375">
        <v>19</v>
      </c>
      <c r="B375">
        <v>2</v>
      </c>
      <c r="C375">
        <v>3075000</v>
      </c>
      <c r="D375">
        <v>1.3021971132642478E+18</v>
      </c>
      <c r="E375">
        <v>536.87092200000006</v>
      </c>
      <c r="F375">
        <v>2.5762736072465486E-5</v>
      </c>
      <c r="G375">
        <v>536.87089623726399</v>
      </c>
      <c r="H375" t="b">
        <v>0</v>
      </c>
    </row>
    <row r="376" spans="1:8" x14ac:dyDescent="0.15">
      <c r="A376">
        <v>19</v>
      </c>
      <c r="B376">
        <v>3</v>
      </c>
      <c r="C376">
        <v>1587500</v>
      </c>
      <c r="D376">
        <v>630142985163811.38</v>
      </c>
      <c r="E376">
        <v>0.7138059368254065</v>
      </c>
      <c r="F376">
        <v>2.5762736125978236E-5</v>
      </c>
      <c r="G376">
        <v>0.71378017408928052</v>
      </c>
      <c r="H376" t="b">
        <v>0</v>
      </c>
    </row>
    <row r="377" spans="1:8" x14ac:dyDescent="0.15">
      <c r="A377">
        <v>19</v>
      </c>
      <c r="B377">
        <v>4</v>
      </c>
      <c r="C377">
        <v>843750</v>
      </c>
      <c r="D377">
        <v>-174467.33392275794</v>
      </c>
      <c r="E377">
        <v>3.1151136755281401E-6</v>
      </c>
      <c r="F377">
        <v>2.5762736125966368E-5</v>
      </c>
      <c r="G377">
        <v>-2.2647622450438227E-5</v>
      </c>
      <c r="H377" t="b">
        <v>1</v>
      </c>
    </row>
    <row r="378" spans="1:8" x14ac:dyDescent="0.15">
      <c r="A378">
        <v>19</v>
      </c>
      <c r="B378">
        <v>5</v>
      </c>
      <c r="C378">
        <v>1215625</v>
      </c>
      <c r="D378">
        <v>532049022354.89246</v>
      </c>
      <c r="E378">
        <v>2.1959120319560914E-3</v>
      </c>
      <c r="F378">
        <v>2.5762736125966527E-5</v>
      </c>
      <c r="G378">
        <v>2.1701492958301248E-3</v>
      </c>
      <c r="H378" t="b">
        <v>0</v>
      </c>
    </row>
    <row r="379" spans="1:8" x14ac:dyDescent="0.15">
      <c r="A379">
        <v>19</v>
      </c>
      <c r="B379">
        <v>6</v>
      </c>
      <c r="C379">
        <v>1029687.5</v>
      </c>
      <c r="D379">
        <v>2238652704.6789851</v>
      </c>
      <c r="E379">
        <v>5.8810146183455322E-5</v>
      </c>
      <c r="F379">
        <v>2.5762736125966371E-5</v>
      </c>
      <c r="G379">
        <v>3.3047410057488952E-5</v>
      </c>
      <c r="H379" t="b">
        <v>0</v>
      </c>
    </row>
    <row r="380" spans="1:8" x14ac:dyDescent="0.15">
      <c r="A380">
        <v>19</v>
      </c>
      <c r="B380">
        <v>7</v>
      </c>
      <c r="C380">
        <v>936718.75</v>
      </c>
      <c r="D380">
        <v>-2462927.6085464908</v>
      </c>
      <c r="E380">
        <v>1.0451371667919904E-5</v>
      </c>
      <c r="F380">
        <v>2.5762736125966364E-5</v>
      </c>
      <c r="G380">
        <v>-1.5311364458046462E-5</v>
      </c>
      <c r="H380" t="b">
        <v>1</v>
      </c>
    </row>
    <row r="381" spans="1:8" x14ac:dyDescent="0.15">
      <c r="A381">
        <v>19</v>
      </c>
      <c r="B381">
        <v>8</v>
      </c>
      <c r="C381">
        <v>983203.125</v>
      </c>
      <c r="D381">
        <v>-101150467.75698629</v>
      </c>
      <c r="E381">
        <v>2.0246949731489872E-5</v>
      </c>
      <c r="F381">
        <v>2.5762736125966368E-5</v>
      </c>
      <c r="G381">
        <v>-5.5157863944764952E-6</v>
      </c>
      <c r="H381" t="b">
        <v>1</v>
      </c>
    </row>
    <row r="382" spans="1:8" x14ac:dyDescent="0.15">
      <c r="A382">
        <v>19</v>
      </c>
      <c r="B382">
        <v>9</v>
      </c>
      <c r="C382">
        <v>1006445.3125</v>
      </c>
      <c r="D382">
        <v>449297325.76861984</v>
      </c>
      <c r="E382">
        <v>3.4858140500732512E-5</v>
      </c>
      <c r="F382">
        <v>2.5762736125966368E-5</v>
      </c>
      <c r="G382">
        <v>9.0954043747661449E-6</v>
      </c>
      <c r="H382" t="b">
        <v>0</v>
      </c>
    </row>
    <row r="383" spans="1:8" x14ac:dyDescent="0.15">
      <c r="A383">
        <v>19</v>
      </c>
      <c r="B383">
        <v>10</v>
      </c>
      <c r="C383">
        <v>994824.21875</v>
      </c>
      <c r="D383">
        <v>31325082.06573109</v>
      </c>
      <c r="E383">
        <v>2.6633423091983574E-5</v>
      </c>
      <c r="F383">
        <v>2.5762736125966368E-5</v>
      </c>
      <c r="G383">
        <v>8.7068696601720697E-7</v>
      </c>
      <c r="H383" t="b">
        <v>0</v>
      </c>
    </row>
    <row r="384" spans="1:8" x14ac:dyDescent="0.15">
      <c r="A384">
        <v>19</v>
      </c>
      <c r="B384">
        <v>11</v>
      </c>
      <c r="C384">
        <v>989013.671875</v>
      </c>
      <c r="D384">
        <v>-67946638.32252264</v>
      </c>
      <c r="E384">
        <v>2.3236560237701986E-5</v>
      </c>
      <c r="F384">
        <v>2.5762736125966368E-5</v>
      </c>
      <c r="G384">
        <v>-2.5261758882643813E-6</v>
      </c>
      <c r="H384" t="b">
        <v>1</v>
      </c>
    </row>
    <row r="385" spans="1:8" x14ac:dyDescent="0.15">
      <c r="A385">
        <v>19</v>
      </c>
      <c r="B385">
        <v>12</v>
      </c>
      <c r="C385">
        <v>991918.9453125</v>
      </c>
      <c r="D385">
        <v>-27665545.906882491</v>
      </c>
      <c r="E385">
        <v>2.488103679137777E-5</v>
      </c>
      <c r="F385">
        <v>2.5762736125966368E-5</v>
      </c>
      <c r="G385">
        <v>-8.8169933458859799E-7</v>
      </c>
      <c r="H385" t="b">
        <v>1</v>
      </c>
    </row>
    <row r="386" spans="1:8" x14ac:dyDescent="0.15">
      <c r="A386">
        <v>19</v>
      </c>
      <c r="B386">
        <v>13</v>
      </c>
      <c r="C386">
        <v>993371.58203125</v>
      </c>
      <c r="D386">
        <v>-652891.78513144539</v>
      </c>
      <c r="E386">
        <v>2.5743341181689899E-5</v>
      </c>
      <c r="F386">
        <v>2.5762736125966368E-5</v>
      </c>
      <c r="G386">
        <v>-1.9394944276468647E-8</v>
      </c>
      <c r="H386" t="b">
        <v>1</v>
      </c>
    </row>
    <row r="387" spans="1:8" x14ac:dyDescent="0.15">
      <c r="A387">
        <v>19</v>
      </c>
      <c r="B387">
        <v>14</v>
      </c>
      <c r="C387">
        <v>993871.58203125</v>
      </c>
      <c r="D387">
        <v>9778497.844385108</v>
      </c>
      <c r="E387">
        <v>2.6046529649344637E-5</v>
      </c>
      <c r="F387">
        <v>2.5762736125966368E-5</v>
      </c>
      <c r="G387">
        <v>2.8379352337826972E-7</v>
      </c>
      <c r="H387" t="b">
        <v>0</v>
      </c>
    </row>
    <row r="388" spans="1:8" x14ac:dyDescent="0.15">
      <c r="A388">
        <v>19</v>
      </c>
      <c r="B388">
        <v>15</v>
      </c>
      <c r="C388">
        <v>993621.58203125</v>
      </c>
      <c r="D388">
        <v>4488580.0208007274</v>
      </c>
      <c r="E388">
        <v>2.5894523481908174E-5</v>
      </c>
      <c r="F388">
        <v>2.5762736125966368E-5</v>
      </c>
      <c r="G388">
        <v>1.3178735594180675E-7</v>
      </c>
      <c r="H388" t="b">
        <v>0</v>
      </c>
    </row>
    <row r="389" spans="1:8" x14ac:dyDescent="0.15">
      <c r="A389">
        <v>19</v>
      </c>
      <c r="B389">
        <v>16</v>
      </c>
      <c r="C389">
        <v>993321.58203125</v>
      </c>
      <c r="D389">
        <v>-1663492.9678761445</v>
      </c>
      <c r="E389">
        <v>2.5713203579006923E-5</v>
      </c>
      <c r="F389">
        <v>2.5762736125966368E-5</v>
      </c>
      <c r="G389">
        <v>-4.9532546959444614E-8</v>
      </c>
      <c r="H389" t="b">
        <v>1</v>
      </c>
    </row>
    <row r="390" spans="1:8" x14ac:dyDescent="0.15">
      <c r="A390">
        <v>19</v>
      </c>
      <c r="B390">
        <v>17</v>
      </c>
      <c r="C390">
        <v>993471.58203125</v>
      </c>
      <c r="D390">
        <v>1385967.5799809895</v>
      </c>
      <c r="E390">
        <v>2.5803715144830422E-5</v>
      </c>
      <c r="F390">
        <v>2.5762736125966368E-5</v>
      </c>
      <c r="G390">
        <v>4.0979018864054946E-8</v>
      </c>
      <c r="H390" t="b">
        <v>0</v>
      </c>
    </row>
    <row r="391" spans="1:8" x14ac:dyDescent="0.15">
      <c r="A391">
        <v>19</v>
      </c>
      <c r="B391">
        <v>18</v>
      </c>
      <c r="C391">
        <v>993396.58203125</v>
      </c>
      <c r="D391">
        <v>-145386.32717954161</v>
      </c>
      <c r="E391">
        <v>2.5758422321526064E-5</v>
      </c>
      <c r="F391">
        <v>2.5762736125966368E-5</v>
      </c>
      <c r="G391">
        <v>-4.3138044403036064E-9</v>
      </c>
      <c r="H391" t="b">
        <v>1</v>
      </c>
    </row>
    <row r="392" spans="1:8" x14ac:dyDescent="0.15">
      <c r="A392">
        <v>19</v>
      </c>
      <c r="B392">
        <v>19</v>
      </c>
      <c r="C392">
        <v>993434.08203125</v>
      </c>
      <c r="D392">
        <v>618632.17659756111</v>
      </c>
      <c r="E392">
        <v>2.5781059466076973E-5</v>
      </c>
      <c r="F392">
        <v>2.5762736125966368E-5</v>
      </c>
      <c r="G392">
        <v>1.8323340110605417E-8</v>
      </c>
      <c r="H392" t="b">
        <v>0</v>
      </c>
    </row>
    <row r="393" spans="1:8" x14ac:dyDescent="0.15">
      <c r="A393">
        <v>19</v>
      </c>
      <c r="B393">
        <v>20</v>
      </c>
      <c r="C393">
        <v>993479.08203125</v>
      </c>
      <c r="D393">
        <v>1539740.478957006</v>
      </c>
      <c r="E393">
        <v>2.5808245776896686E-5</v>
      </c>
      <c r="F393">
        <v>2.5762736125966368E-5</v>
      </c>
      <c r="G393">
        <v>4.5509650930318193E-8</v>
      </c>
      <c r="H393" t="b">
        <v>0</v>
      </c>
    </row>
    <row r="394" spans="1:8" x14ac:dyDescent="0.15">
      <c r="A394">
        <v>19</v>
      </c>
      <c r="B394">
        <v>21</v>
      </c>
      <c r="C394">
        <v>993456.58203125</v>
      </c>
      <c r="D394">
        <v>1078635.065130431</v>
      </c>
      <c r="E394">
        <v>2.5794650648328862E-5</v>
      </c>
      <c r="F394">
        <v>2.5762736125966368E-5</v>
      </c>
      <c r="G394">
        <v>3.1914522362494967E-8</v>
      </c>
      <c r="H394" t="b">
        <v>0</v>
      </c>
    </row>
    <row r="395" spans="1:8" x14ac:dyDescent="0.15">
      <c r="A395">
        <v>19</v>
      </c>
      <c r="B395">
        <v>22</v>
      </c>
      <c r="C395">
        <v>993429.58203125</v>
      </c>
      <c r="D395">
        <v>526774.92408837262</v>
      </c>
      <c r="E395">
        <v>2.5778342030400634E-5</v>
      </c>
      <c r="F395">
        <v>2.5762736125966368E-5</v>
      </c>
      <c r="G395">
        <v>1.5605904434266735E-8</v>
      </c>
      <c r="H395" t="b">
        <v>0</v>
      </c>
    </row>
    <row r="396" spans="1:8" x14ac:dyDescent="0.15">
      <c r="A396">
        <v>19</v>
      </c>
      <c r="B396">
        <v>23</v>
      </c>
      <c r="C396">
        <v>993443.08203125</v>
      </c>
      <c r="D396">
        <v>802397.71857893711</v>
      </c>
      <c r="E396">
        <v>2.5786492411599705E-5</v>
      </c>
      <c r="F396">
        <v>2.5762736125966368E-5</v>
      </c>
      <c r="G396">
        <v>2.3756285633337777E-8</v>
      </c>
      <c r="H396" t="b">
        <v>0</v>
      </c>
    </row>
    <row r="397" spans="1:8" x14ac:dyDescent="0.15">
      <c r="A397">
        <v>19</v>
      </c>
      <c r="B397">
        <v>24</v>
      </c>
      <c r="C397">
        <v>993459.28203124995</v>
      </c>
      <c r="D397">
        <v>1133915.706281153</v>
      </c>
      <c r="E397">
        <v>2.579628203871976E-5</v>
      </c>
      <c r="F397">
        <v>2.5762736125966368E-5</v>
      </c>
      <c r="G397">
        <v>3.3545912753392052E-8</v>
      </c>
      <c r="H397" t="b">
        <v>0</v>
      </c>
    </row>
    <row r="398" spans="1:8" x14ac:dyDescent="0.15">
      <c r="A398">
        <v>19</v>
      </c>
      <c r="B398">
        <v>25</v>
      </c>
      <c r="C398">
        <v>993451.18203124998</v>
      </c>
      <c r="D398">
        <v>968125.41265340382</v>
      </c>
      <c r="E398">
        <v>2.5791388155911544E-5</v>
      </c>
      <c r="F398">
        <v>2.5762736125966368E-5</v>
      </c>
      <c r="G398">
        <v>2.8652029945176733E-8</v>
      </c>
      <c r="H398" t="b">
        <v>0</v>
      </c>
    </row>
    <row r="399" spans="1:8" x14ac:dyDescent="0.15">
      <c r="A399">
        <v>19</v>
      </c>
      <c r="B399">
        <v>26</v>
      </c>
      <c r="C399">
        <v>993455.23203125002</v>
      </c>
      <c r="D399">
        <v>1051001.1985837871</v>
      </c>
      <c r="E399">
        <v>2.5793834989178317E-5</v>
      </c>
      <c r="F399">
        <v>2.5762736125966368E-5</v>
      </c>
      <c r="G399">
        <v>3.1098863211949043E-8</v>
      </c>
      <c r="H399" t="b">
        <v>0</v>
      </c>
    </row>
    <row r="400" spans="1:8" x14ac:dyDescent="0.15">
      <c r="A400">
        <v>19</v>
      </c>
      <c r="B400">
        <v>27</v>
      </c>
      <c r="C400">
        <v>993453.20703125</v>
      </c>
      <c r="D400">
        <v>1009558.4657720866</v>
      </c>
      <c r="E400">
        <v>2.5792611545510924E-5</v>
      </c>
      <c r="F400">
        <v>2.5762736125966368E-5</v>
      </c>
      <c r="G400">
        <v>2.9875419544556005E-8</v>
      </c>
      <c r="H400" t="b">
        <v>0</v>
      </c>
    </row>
    <row r="401" spans="1:8" x14ac:dyDescent="0.15">
      <c r="A401">
        <v>19</v>
      </c>
      <c r="B401">
        <v>28</v>
      </c>
      <c r="C401">
        <v>993450.77703124995</v>
      </c>
      <c r="D401">
        <v>959839.96350418194</v>
      </c>
      <c r="E401">
        <v>2.5791143484479101E-5</v>
      </c>
      <c r="F401">
        <v>2.5762736125966368E-5</v>
      </c>
      <c r="G401">
        <v>2.8407358512732997E-8</v>
      </c>
      <c r="H401" t="b">
        <v>0</v>
      </c>
    </row>
    <row r="402" spans="1:8" x14ac:dyDescent="0.15">
      <c r="A402">
        <v>19</v>
      </c>
      <c r="B402">
        <v>29</v>
      </c>
      <c r="C402">
        <v>993451.99203124992</v>
      </c>
      <c r="D402">
        <v>984605.11274772789</v>
      </c>
      <c r="E402">
        <v>2.5791874778117186E-5</v>
      </c>
      <c r="F402">
        <v>2.5762736125966368E-5</v>
      </c>
      <c r="G402">
        <v>2.9138652150818758E-8</v>
      </c>
      <c r="H402" t="b">
        <v>0</v>
      </c>
    </row>
    <row r="403" spans="1:8" x14ac:dyDescent="0.15">
      <c r="A403">
        <v>20</v>
      </c>
      <c r="B403">
        <v>1</v>
      </c>
      <c r="C403">
        <v>6050000</v>
      </c>
      <c r="D403">
        <v>2.1491936769004132E+18</v>
      </c>
      <c r="E403">
        <v>536.87092200000006</v>
      </c>
      <c r="F403">
        <v>1.6373376638512127E-5</v>
      </c>
      <c r="G403">
        <v>536.87090562662343</v>
      </c>
      <c r="H403" t="b">
        <v>0</v>
      </c>
    </row>
    <row r="404" spans="1:8" x14ac:dyDescent="0.15">
      <c r="A404">
        <v>20</v>
      </c>
      <c r="B404">
        <v>2</v>
      </c>
      <c r="C404">
        <v>3075000</v>
      </c>
      <c r="D404">
        <v>2011118215029393.8</v>
      </c>
      <c r="E404">
        <v>1.2509194512685509</v>
      </c>
      <c r="F404">
        <v>1.6373376592770938E-5</v>
      </c>
      <c r="G404">
        <v>1.2509030778919581</v>
      </c>
      <c r="H404" t="b">
        <v>0</v>
      </c>
    </row>
    <row r="405" spans="1:8" x14ac:dyDescent="0.15">
      <c r="A405">
        <v>20</v>
      </c>
      <c r="B405">
        <v>3</v>
      </c>
      <c r="C405">
        <v>1587500</v>
      </c>
      <c r="D405">
        <v>2197050217.4738946</v>
      </c>
      <c r="E405">
        <v>3.9927974897532018E-5</v>
      </c>
      <c r="F405">
        <v>1.6373376592761435E-5</v>
      </c>
      <c r="G405">
        <v>2.3554598304770584E-5</v>
      </c>
      <c r="H405" t="b">
        <v>0</v>
      </c>
    </row>
    <row r="406" spans="1:8" x14ac:dyDescent="0.15">
      <c r="A406">
        <v>20</v>
      </c>
      <c r="B406">
        <v>4</v>
      </c>
      <c r="C406">
        <v>843750</v>
      </c>
      <c r="D406">
        <v>-42630.132043759251</v>
      </c>
      <c r="E406">
        <v>-5.9084492722717392E-6</v>
      </c>
      <c r="F406">
        <v>1.6373376592761431E-5</v>
      </c>
      <c r="G406">
        <v>-2.2281825865033172E-5</v>
      </c>
      <c r="H406" t="b">
        <v>1</v>
      </c>
    </row>
    <row r="407" spans="1:8" x14ac:dyDescent="0.15">
      <c r="A407">
        <v>20</v>
      </c>
      <c r="B407">
        <v>5</v>
      </c>
      <c r="C407">
        <v>1215625</v>
      </c>
      <c r="D407">
        <v>-345464.34249535401</v>
      </c>
      <c r="E407">
        <v>2.6908765311287224E-6</v>
      </c>
      <c r="F407">
        <v>1.6373376592761435E-5</v>
      </c>
      <c r="G407">
        <v>-1.3682500061632712E-5</v>
      </c>
      <c r="H407" t="b">
        <v>1</v>
      </c>
    </row>
    <row r="408" spans="1:8" x14ac:dyDescent="0.15">
      <c r="A408">
        <v>20</v>
      </c>
      <c r="B408">
        <v>6</v>
      </c>
      <c r="C408">
        <v>1401562.5</v>
      </c>
      <c r="D408">
        <v>-9681944.8344030418</v>
      </c>
      <c r="E408">
        <v>8.6317499126313679E-6</v>
      </c>
      <c r="F408">
        <v>1.6373376592761435E-5</v>
      </c>
      <c r="G408">
        <v>-7.7416266801300669E-6</v>
      </c>
      <c r="H408" t="b">
        <v>1</v>
      </c>
    </row>
    <row r="409" spans="1:8" x14ac:dyDescent="0.15">
      <c r="A409">
        <v>20</v>
      </c>
      <c r="B409">
        <v>7</v>
      </c>
      <c r="C409">
        <v>1494531.25</v>
      </c>
      <c r="D409">
        <v>-36716322.960985824</v>
      </c>
      <c r="E409">
        <v>1.4965428018973315E-5</v>
      </c>
      <c r="F409">
        <v>1.6373376592761435E-5</v>
      </c>
      <c r="G409">
        <v>-1.4079485737881197E-6</v>
      </c>
      <c r="H409" t="b">
        <v>1</v>
      </c>
    </row>
    <row r="410" spans="1:8" x14ac:dyDescent="0.15">
      <c r="A410">
        <v>20</v>
      </c>
      <c r="B410">
        <v>8</v>
      </c>
      <c r="C410">
        <v>1541015.625</v>
      </c>
      <c r="D410">
        <v>487193693.25139487</v>
      </c>
      <c r="E410">
        <v>2.3791325571205547E-5</v>
      </c>
      <c r="F410">
        <v>1.6373376592761435E-5</v>
      </c>
      <c r="G410">
        <v>7.4179489784441122E-6</v>
      </c>
      <c r="H410" t="b">
        <v>0</v>
      </c>
    </row>
    <row r="411" spans="1:8" x14ac:dyDescent="0.15">
      <c r="A411">
        <v>20</v>
      </c>
      <c r="B411">
        <v>9</v>
      </c>
      <c r="C411">
        <v>1517773.4375</v>
      </c>
      <c r="D411">
        <v>74203995.167993471</v>
      </c>
      <c r="E411">
        <v>1.8170793213459858E-5</v>
      </c>
      <c r="F411">
        <v>1.6373376592761435E-5</v>
      </c>
      <c r="G411">
        <v>1.7974166206984232E-6</v>
      </c>
      <c r="H411" t="b">
        <v>0</v>
      </c>
    </row>
    <row r="412" spans="1:8" x14ac:dyDescent="0.15">
      <c r="A412">
        <v>20</v>
      </c>
      <c r="B412">
        <v>10</v>
      </c>
      <c r="C412">
        <v>1506152.34375</v>
      </c>
      <c r="D412">
        <v>-12041314.845255135</v>
      </c>
      <c r="E412">
        <v>1.5985020449666957E-5</v>
      </c>
      <c r="F412">
        <v>1.6373376592761435E-5</v>
      </c>
      <c r="G412">
        <v>-3.8835614309447742E-7</v>
      </c>
      <c r="H412" t="b">
        <v>1</v>
      </c>
    </row>
    <row r="413" spans="1:8" x14ac:dyDescent="0.15">
      <c r="A413">
        <v>20</v>
      </c>
      <c r="B413">
        <v>11</v>
      </c>
      <c r="C413">
        <v>1511962.890625</v>
      </c>
      <c r="D413">
        <v>21202692.732719414</v>
      </c>
      <c r="E413">
        <v>1.6967638179031381E-5</v>
      </c>
      <c r="F413">
        <v>1.6373376592761435E-5</v>
      </c>
      <c r="G413">
        <v>5.9426158626994661E-7</v>
      </c>
      <c r="H413" t="b">
        <v>0</v>
      </c>
    </row>
    <row r="414" spans="1:8" x14ac:dyDescent="0.15">
      <c r="A414">
        <v>20</v>
      </c>
      <c r="B414">
        <v>12</v>
      </c>
      <c r="C414">
        <v>1509057.6171875</v>
      </c>
      <c r="D414">
        <v>658672.58937688661</v>
      </c>
      <c r="E414">
        <v>1.6393361940486371E-5</v>
      </c>
      <c r="F414">
        <v>1.6373376592761435E-5</v>
      </c>
      <c r="G414">
        <v>1.998534772493666E-8</v>
      </c>
      <c r="H414" t="b">
        <v>0</v>
      </c>
    </row>
    <row r="415" spans="1:8" x14ac:dyDescent="0.15">
      <c r="A415">
        <v>20</v>
      </c>
      <c r="B415">
        <v>13</v>
      </c>
      <c r="C415">
        <v>1510510.25390625</v>
      </c>
      <c r="D415">
        <v>10462537.009575643</v>
      </c>
      <c r="E415">
        <v>1.6678303783945243E-5</v>
      </c>
      <c r="F415">
        <v>1.6373376592761435E-5</v>
      </c>
      <c r="G415">
        <v>3.0492719118380815E-7</v>
      </c>
      <c r="H415" t="b">
        <v>0</v>
      </c>
    </row>
    <row r="416" spans="1:8" x14ac:dyDescent="0.15">
      <c r="A416">
        <v>20</v>
      </c>
      <c r="B416">
        <v>14</v>
      </c>
      <c r="C416">
        <v>1510010.25390625</v>
      </c>
      <c r="D416">
        <v>6984508.7469304129</v>
      </c>
      <c r="E416">
        <v>1.6579749441395554E-5</v>
      </c>
      <c r="F416">
        <v>1.6373376592761435E-5</v>
      </c>
      <c r="G416">
        <v>2.0637284863411938E-7</v>
      </c>
      <c r="H416" t="b">
        <v>0</v>
      </c>
    </row>
    <row r="417" spans="1:8" x14ac:dyDescent="0.15">
      <c r="A417">
        <v>20</v>
      </c>
      <c r="B417">
        <v>15</v>
      </c>
      <c r="C417">
        <v>1509410.25390625</v>
      </c>
      <c r="D417">
        <v>2955782.7527753641</v>
      </c>
      <c r="E417">
        <v>1.6462177859008997E-5</v>
      </c>
      <c r="F417">
        <v>1.6373376592761435E-5</v>
      </c>
      <c r="G417">
        <v>8.880126624756236E-8</v>
      </c>
      <c r="H417" t="b">
        <v>0</v>
      </c>
    </row>
    <row r="418" spans="1:8" x14ac:dyDescent="0.15">
      <c r="A418">
        <v>20</v>
      </c>
      <c r="B418">
        <v>16</v>
      </c>
      <c r="C418">
        <v>1508690.25390625</v>
      </c>
      <c r="D418">
        <v>-1678301.0365533687</v>
      </c>
      <c r="E418">
        <v>1.6321922226272269E-5</v>
      </c>
      <c r="F418">
        <v>1.6373376592761435E-5</v>
      </c>
      <c r="G418">
        <v>-5.1454366489165878E-8</v>
      </c>
      <c r="H418" t="b">
        <v>1</v>
      </c>
    </row>
    <row r="419" spans="1:8" x14ac:dyDescent="0.15">
      <c r="A419">
        <v>20</v>
      </c>
      <c r="B419">
        <v>17</v>
      </c>
      <c r="C419">
        <v>1509050.25390625</v>
      </c>
      <c r="D419">
        <v>611263.39662842732</v>
      </c>
      <c r="E419">
        <v>1.6391927304111071E-5</v>
      </c>
      <c r="F419">
        <v>1.6373376592761435E-5</v>
      </c>
      <c r="G419">
        <v>1.8550711349636304E-8</v>
      </c>
      <c r="H419" t="b">
        <v>0</v>
      </c>
    </row>
    <row r="420" spans="1:8" x14ac:dyDescent="0.15">
      <c r="A420">
        <v>20</v>
      </c>
      <c r="B420">
        <v>18</v>
      </c>
      <c r="C420">
        <v>1509482.25390625</v>
      </c>
      <c r="D420">
        <v>3431015.4112491636</v>
      </c>
      <c r="E420">
        <v>1.6476248520746069E-5</v>
      </c>
      <c r="F420">
        <v>1.6373376592761435E-5</v>
      </c>
      <c r="G420">
        <v>1.0287192798463411E-7</v>
      </c>
      <c r="H420" t="b">
        <v>0</v>
      </c>
    </row>
    <row r="421" spans="1:8" x14ac:dyDescent="0.15">
      <c r="A421">
        <v>20</v>
      </c>
      <c r="B421">
        <v>19</v>
      </c>
      <c r="C421">
        <v>1509266.25390625</v>
      </c>
      <c r="D421">
        <v>2011656.7438729792</v>
      </c>
      <c r="E421">
        <v>1.6434057217741913E-5</v>
      </c>
      <c r="F421">
        <v>1.6373376592761435E-5</v>
      </c>
      <c r="G421">
        <v>6.0680624980478037E-8</v>
      </c>
      <c r="H421" t="b">
        <v>0</v>
      </c>
    </row>
    <row r="422" spans="1:8" x14ac:dyDescent="0.15">
      <c r="A422">
        <v>20</v>
      </c>
      <c r="B422">
        <v>20</v>
      </c>
      <c r="C422">
        <v>1509007.05390625</v>
      </c>
      <c r="D422">
        <v>333586.15025420184</v>
      </c>
      <c r="E422">
        <v>1.6383512645013197E-5</v>
      </c>
      <c r="F422">
        <v>1.6373376592761435E-5</v>
      </c>
      <c r="G422">
        <v>1.0136052251761944E-8</v>
      </c>
      <c r="H422" t="b">
        <v>0</v>
      </c>
    </row>
    <row r="423" spans="1:8" x14ac:dyDescent="0.15">
      <c r="A423">
        <v>20</v>
      </c>
      <c r="B423">
        <v>21</v>
      </c>
      <c r="C423">
        <v>1509136.6539062501</v>
      </c>
      <c r="D423">
        <v>1168967.5840662715</v>
      </c>
      <c r="E423">
        <v>1.6408766456255945E-5</v>
      </c>
      <c r="F423">
        <v>1.6373376592761435E-5</v>
      </c>
      <c r="G423">
        <v>3.5389863494510415E-8</v>
      </c>
      <c r="H423" t="b">
        <v>0</v>
      </c>
    </row>
    <row r="424" spans="1:8" x14ac:dyDescent="0.15">
      <c r="A424">
        <v>20</v>
      </c>
      <c r="B424">
        <v>22</v>
      </c>
      <c r="C424">
        <v>1509292.1739062502</v>
      </c>
      <c r="D424">
        <v>2181128.4797705505</v>
      </c>
      <c r="E424">
        <v>1.6439121446097698E-5</v>
      </c>
      <c r="F424">
        <v>1.6373376592761435E-5</v>
      </c>
      <c r="G424">
        <v>6.5744853336263643E-8</v>
      </c>
      <c r="H424" t="b">
        <v>0</v>
      </c>
    </row>
    <row r="425" spans="1:8" x14ac:dyDescent="0.15">
      <c r="A425">
        <v>20</v>
      </c>
      <c r="B425">
        <v>23</v>
      </c>
      <c r="C425">
        <v>1509214.4139062501</v>
      </c>
      <c r="D425">
        <v>1673710.0474575704</v>
      </c>
      <c r="E425">
        <v>1.6423936699256966E-5</v>
      </c>
      <c r="F425">
        <v>1.6373376592761435E-5</v>
      </c>
      <c r="G425">
        <v>5.056010649553112E-8</v>
      </c>
      <c r="H425" t="b">
        <v>0</v>
      </c>
    </row>
    <row r="426" spans="1:8" x14ac:dyDescent="0.15">
      <c r="A426">
        <v>20</v>
      </c>
      <c r="B426">
        <v>24</v>
      </c>
      <c r="C426">
        <v>1509121.1019062502</v>
      </c>
      <c r="D426">
        <v>1068393.9060571946</v>
      </c>
      <c r="E426">
        <v>1.6405735781285179E-5</v>
      </c>
      <c r="F426">
        <v>1.6373376592761435E-5</v>
      </c>
      <c r="G426">
        <v>3.235918852374469E-8</v>
      </c>
      <c r="H426" t="b">
        <v>0</v>
      </c>
    </row>
    <row r="427" spans="1:8" x14ac:dyDescent="0.15">
      <c r="A427">
        <v>20</v>
      </c>
      <c r="B427">
        <v>25</v>
      </c>
      <c r="C427">
        <v>1509167.7579062502</v>
      </c>
      <c r="D427">
        <v>1370613.0473811752</v>
      </c>
      <c r="E427">
        <v>1.6414834895197884E-5</v>
      </c>
      <c r="F427">
        <v>1.6373376592761435E-5</v>
      </c>
      <c r="G427">
        <v>4.1458302436449062E-8</v>
      </c>
      <c r="H427" t="b">
        <v>0</v>
      </c>
    </row>
    <row r="428" spans="1:8" x14ac:dyDescent="0.15">
      <c r="A428">
        <v>20</v>
      </c>
      <c r="B428">
        <v>26</v>
      </c>
      <c r="C428">
        <v>1509223.7451062503</v>
      </c>
      <c r="D428">
        <v>1734454.6836800522</v>
      </c>
      <c r="E428">
        <v>1.6425757977838247E-5</v>
      </c>
      <c r="F428">
        <v>1.6373376592761435E-5</v>
      </c>
      <c r="G428">
        <v>5.2381385076811745E-8</v>
      </c>
      <c r="H428" t="b">
        <v>0</v>
      </c>
    </row>
    <row r="429" spans="1:8" x14ac:dyDescent="0.15">
      <c r="A429">
        <v>20</v>
      </c>
      <c r="B429">
        <v>27</v>
      </c>
      <c r="C429">
        <v>1509195.7515062504</v>
      </c>
      <c r="D429">
        <v>1552395.5977998264</v>
      </c>
      <c r="E429">
        <v>1.642029654723446E-5</v>
      </c>
      <c r="F429">
        <v>1.6373376592761435E-5</v>
      </c>
      <c r="G429">
        <v>4.6919954473025223E-8</v>
      </c>
      <c r="H429" t="b">
        <v>0</v>
      </c>
    </row>
    <row r="430" spans="1:8" x14ac:dyDescent="0.15">
      <c r="A430">
        <v>20</v>
      </c>
      <c r="B430">
        <v>28</v>
      </c>
      <c r="C430">
        <v>1509162.1591862503</v>
      </c>
      <c r="D430">
        <v>1334235.366804762</v>
      </c>
      <c r="E430">
        <v>1.6413740903142955E-5</v>
      </c>
      <c r="F430">
        <v>1.6373376592761435E-5</v>
      </c>
      <c r="G430">
        <v>4.036431038152057E-8</v>
      </c>
      <c r="H430" t="b">
        <v>0</v>
      </c>
    </row>
    <row r="431" spans="1:8" x14ac:dyDescent="0.15">
      <c r="A431">
        <v>20</v>
      </c>
      <c r="B431">
        <v>29</v>
      </c>
      <c r="C431">
        <v>1509178.9553462502</v>
      </c>
      <c r="D431">
        <v>1443285.4529026346</v>
      </c>
      <c r="E431">
        <v>1.6417019359449467E-5</v>
      </c>
      <c r="F431">
        <v>1.6373376592761435E-5</v>
      </c>
      <c r="G431">
        <v>4.3642766688032383E-8</v>
      </c>
      <c r="H431" t="b">
        <v>0</v>
      </c>
    </row>
    <row r="432" spans="1:8" x14ac:dyDescent="0.15">
      <c r="A432">
        <v>20</v>
      </c>
      <c r="B432">
        <v>30</v>
      </c>
      <c r="C432">
        <v>1509199.1107382502</v>
      </c>
      <c r="D432">
        <v>1574232.2517165288</v>
      </c>
      <c r="E432">
        <v>1.6420952055560455E-5</v>
      </c>
      <c r="F432">
        <v>1.6373376592761435E-5</v>
      </c>
      <c r="G432">
        <v>4.7575462799020058E-8</v>
      </c>
      <c r="H432" t="b">
        <v>0</v>
      </c>
    </row>
    <row r="433" spans="1:8" x14ac:dyDescent="0.15">
      <c r="A433">
        <v>20</v>
      </c>
      <c r="B433">
        <v>31</v>
      </c>
      <c r="C433">
        <v>1509189.0330422502</v>
      </c>
      <c r="D433">
        <v>1508675.0224698167</v>
      </c>
      <c r="E433">
        <v>1.6418983742515858E-5</v>
      </c>
      <c r="F433">
        <v>1.6373376592761435E-5</v>
      </c>
      <c r="G433">
        <v>4.5607149754423054E-8</v>
      </c>
      <c r="H433" t="b">
        <v>0</v>
      </c>
    </row>
    <row r="434" spans="1:8" x14ac:dyDescent="0.15">
      <c r="A434">
        <v>21</v>
      </c>
      <c r="B434">
        <v>1</v>
      </c>
      <c r="C434">
        <v>6050000</v>
      </c>
      <c r="D434">
        <v>2.2534990593105646E+18</v>
      </c>
      <c r="E434">
        <v>522.40027381938444</v>
      </c>
      <c r="F434">
        <v>1.5571994936181E-5</v>
      </c>
      <c r="G434">
        <v>522.4002582473895</v>
      </c>
      <c r="H434" t="b">
        <v>0</v>
      </c>
    </row>
    <row r="435" spans="1:8" x14ac:dyDescent="0.15">
      <c r="A435">
        <v>21</v>
      </c>
      <c r="B435">
        <v>2</v>
      </c>
      <c r="C435">
        <v>3075000</v>
      </c>
      <c r="D435">
        <v>53356348499038.945</v>
      </c>
      <c r="E435">
        <v>5.5915616623578829E-2</v>
      </c>
      <c r="F435">
        <v>1.5571994950690227E-5</v>
      </c>
      <c r="G435">
        <v>5.5900044628628139E-2</v>
      </c>
      <c r="H435" t="b">
        <v>0</v>
      </c>
    </row>
    <row r="436" spans="1:8" x14ac:dyDescent="0.15">
      <c r="A436">
        <v>21</v>
      </c>
      <c r="B436">
        <v>3</v>
      </c>
      <c r="C436">
        <v>1587500</v>
      </c>
      <c r="D436">
        <v>-4095394.4464995135</v>
      </c>
      <c r="E436">
        <v>7.0149778181186426E-6</v>
      </c>
      <c r="F436">
        <v>1.5571994950689427E-5</v>
      </c>
      <c r="G436">
        <v>-8.5570171325707845E-6</v>
      </c>
      <c r="H436" t="b">
        <v>1</v>
      </c>
    </row>
    <row r="437" spans="1:8" x14ac:dyDescent="0.15">
      <c r="A437">
        <v>21</v>
      </c>
      <c r="B437">
        <v>4</v>
      </c>
      <c r="C437">
        <v>2331250</v>
      </c>
      <c r="D437">
        <v>541791751470.2771</v>
      </c>
      <c r="E437">
        <v>1.421551768408025E-3</v>
      </c>
      <c r="F437">
        <v>1.5571994950689359E-5</v>
      </c>
      <c r="G437">
        <v>1.4059797734573356E-3</v>
      </c>
      <c r="H437" t="b">
        <v>0</v>
      </c>
    </row>
    <row r="438" spans="1:8" x14ac:dyDescent="0.15">
      <c r="A438">
        <v>21</v>
      </c>
      <c r="B438">
        <v>5</v>
      </c>
      <c r="C438">
        <v>1959375</v>
      </c>
      <c r="D438">
        <v>14493400601.505278</v>
      </c>
      <c r="E438">
        <v>1.059495835805903E-4</v>
      </c>
      <c r="F438">
        <v>1.5571994950689427E-5</v>
      </c>
      <c r="G438">
        <v>9.0377588629900877E-5</v>
      </c>
      <c r="H438" t="b">
        <v>0</v>
      </c>
    </row>
    <row r="439" spans="1:8" x14ac:dyDescent="0.15">
      <c r="A439">
        <v>21</v>
      </c>
      <c r="B439">
        <v>6</v>
      </c>
      <c r="C439">
        <v>1773437.5</v>
      </c>
      <c r="D439">
        <v>269814182.59668416</v>
      </c>
      <c r="E439">
        <v>2.0247044272190258E-5</v>
      </c>
      <c r="F439">
        <v>1.5571994950689427E-5</v>
      </c>
      <c r="G439">
        <v>4.6750493215008309E-6</v>
      </c>
      <c r="H439" t="b">
        <v>0</v>
      </c>
    </row>
    <row r="440" spans="1:8" x14ac:dyDescent="0.15">
      <c r="A440">
        <v>21</v>
      </c>
      <c r="B440">
        <v>7</v>
      </c>
      <c r="C440">
        <v>1680468.75</v>
      </c>
      <c r="D440">
        <v>-48730302.15298184</v>
      </c>
      <c r="E440">
        <v>1.132286846902048E-5</v>
      </c>
      <c r="F440">
        <v>1.5571994950689427E-5</v>
      </c>
      <c r="G440">
        <v>-4.2491264816689472E-6</v>
      </c>
      <c r="H440" t="b">
        <v>1</v>
      </c>
    </row>
    <row r="441" spans="1:8" x14ac:dyDescent="0.15">
      <c r="A441">
        <v>21</v>
      </c>
      <c r="B441">
        <v>8</v>
      </c>
      <c r="C441">
        <v>1726953.125</v>
      </c>
      <c r="D441">
        <v>-36355027.320417218</v>
      </c>
      <c r="E441">
        <v>1.4225525113957724E-5</v>
      </c>
      <c r="F441">
        <v>1.5571994950689427E-5</v>
      </c>
      <c r="G441">
        <v>-1.3464698367317035E-6</v>
      </c>
      <c r="H441" t="b">
        <v>1</v>
      </c>
    </row>
    <row r="442" spans="1:8" x14ac:dyDescent="0.15">
      <c r="A442">
        <v>21</v>
      </c>
      <c r="B442">
        <v>9</v>
      </c>
      <c r="C442">
        <v>1750195.3125</v>
      </c>
      <c r="D442">
        <v>19322388.446361337</v>
      </c>
      <c r="E442">
        <v>1.6095326316143595E-5</v>
      </c>
      <c r="F442">
        <v>1.5571994950689427E-5</v>
      </c>
      <c r="G442">
        <v>5.2333136545416794E-7</v>
      </c>
      <c r="H442" t="b">
        <v>0</v>
      </c>
    </row>
    <row r="443" spans="1:8" x14ac:dyDescent="0.15">
      <c r="A443">
        <v>21</v>
      </c>
      <c r="B443">
        <v>10</v>
      </c>
      <c r="C443">
        <v>1738574.21875</v>
      </c>
      <c r="D443">
        <v>-16630162.889984488</v>
      </c>
      <c r="E443">
        <v>1.5041802766174378E-5</v>
      </c>
      <c r="F443">
        <v>1.5571994950689427E-5</v>
      </c>
      <c r="G443">
        <v>-5.3019218451504859E-7</v>
      </c>
      <c r="H443" t="b">
        <v>1</v>
      </c>
    </row>
    <row r="444" spans="1:8" x14ac:dyDescent="0.15">
      <c r="A444">
        <v>21</v>
      </c>
      <c r="B444">
        <v>11</v>
      </c>
      <c r="C444">
        <v>1744384.765625</v>
      </c>
      <c r="D444">
        <v>-3613827.8409276488</v>
      </c>
      <c r="E444">
        <v>1.5464463162858164E-5</v>
      </c>
      <c r="F444">
        <v>1.5571994950689427E-5</v>
      </c>
      <c r="G444">
        <v>-1.0753178783126335E-7</v>
      </c>
      <c r="H444" t="b">
        <v>1</v>
      </c>
    </row>
    <row r="445" spans="1:8" x14ac:dyDescent="0.15">
      <c r="A445">
        <v>21</v>
      </c>
      <c r="B445">
        <v>12</v>
      </c>
      <c r="C445">
        <v>1747290.0390625</v>
      </c>
      <c r="D445">
        <v>3734630.039130616</v>
      </c>
      <c r="E445">
        <v>1.567949388166278E-5</v>
      </c>
      <c r="F445">
        <v>1.5571994950689427E-5</v>
      </c>
      <c r="G445">
        <v>1.0749893097335305E-7</v>
      </c>
      <c r="H445" t="b">
        <v>0</v>
      </c>
    </row>
    <row r="446" spans="1:8" x14ac:dyDescent="0.15">
      <c r="A446">
        <v>21</v>
      </c>
      <c r="B446">
        <v>13</v>
      </c>
      <c r="C446">
        <v>1745837.40234375</v>
      </c>
      <c r="D446">
        <v>-11188.072570607901</v>
      </c>
      <c r="E446">
        <v>1.5571667555212951E-5</v>
      </c>
      <c r="F446">
        <v>1.5571994950689427E-5</v>
      </c>
      <c r="G446">
        <v>-3.2739547647570358E-10</v>
      </c>
      <c r="H446" t="b">
        <v>1</v>
      </c>
    </row>
    <row r="447" spans="1:8" x14ac:dyDescent="0.15">
      <c r="A447">
        <v>21</v>
      </c>
      <c r="B447">
        <v>14</v>
      </c>
      <c r="C447">
        <v>1746337.40234375</v>
      </c>
      <c r="D447">
        <v>1261906.4617938581</v>
      </c>
      <c r="E447">
        <v>1.5608712150626034E-5</v>
      </c>
      <c r="F447">
        <v>1.5571994950689427E-5</v>
      </c>
      <c r="G447">
        <v>3.6717199936606924E-8</v>
      </c>
      <c r="H447" t="b">
        <v>0</v>
      </c>
    </row>
    <row r="448" spans="1:8" x14ac:dyDescent="0.15">
      <c r="A448">
        <v>21</v>
      </c>
      <c r="B448">
        <v>15</v>
      </c>
      <c r="C448">
        <v>1746937.40234375</v>
      </c>
      <c r="D448">
        <v>2812079.0826091859</v>
      </c>
      <c r="E448">
        <v>1.5653261929487046E-5</v>
      </c>
      <c r="F448">
        <v>1.5571994950689427E-5</v>
      </c>
      <c r="G448">
        <v>8.1266978797618562E-8</v>
      </c>
      <c r="H448" t="b">
        <v>0</v>
      </c>
    </row>
    <row r="449" spans="1:8" x14ac:dyDescent="0.15">
      <c r="A449">
        <v>21</v>
      </c>
      <c r="B449">
        <v>16</v>
      </c>
      <c r="C449">
        <v>1746637.40234375</v>
      </c>
      <c r="D449">
        <v>2033889.7450289363</v>
      </c>
      <c r="E449">
        <v>1.5630972949018442E-5</v>
      </c>
      <c r="F449">
        <v>1.5571994950689427E-5</v>
      </c>
      <c r="G449">
        <v>5.8977998329014496E-8</v>
      </c>
      <c r="H449" t="b">
        <v>0</v>
      </c>
    </row>
    <row r="450" spans="1:8" x14ac:dyDescent="0.15">
      <c r="A450">
        <v>21</v>
      </c>
      <c r="B450">
        <v>17</v>
      </c>
      <c r="C450">
        <v>1746277.40234375</v>
      </c>
      <c r="D450">
        <v>1108240.2217443325</v>
      </c>
      <c r="E450">
        <v>1.5604263001024139E-5</v>
      </c>
      <c r="F450">
        <v>1.5571994950689427E-5</v>
      </c>
      <c r="G450">
        <v>3.2268050334711453E-8</v>
      </c>
      <c r="H450" t="b">
        <v>0</v>
      </c>
    </row>
    <row r="451" spans="1:8" x14ac:dyDescent="0.15">
      <c r="A451">
        <v>21</v>
      </c>
      <c r="B451">
        <v>18</v>
      </c>
      <c r="C451">
        <v>1746457.40234375</v>
      </c>
      <c r="D451">
        <v>1569972.6476446046</v>
      </c>
      <c r="E451">
        <v>1.5617613564944006E-5</v>
      </c>
      <c r="F451">
        <v>1.5571994950689427E-5</v>
      </c>
      <c r="G451">
        <v>4.5618614254579149E-8</v>
      </c>
      <c r="H451" t="b">
        <v>0</v>
      </c>
    </row>
    <row r="452" spans="1:8" x14ac:dyDescent="0.15">
      <c r="A452">
        <v>21</v>
      </c>
      <c r="B452">
        <v>19</v>
      </c>
      <c r="C452">
        <v>1746673.40234375</v>
      </c>
      <c r="D452">
        <v>2126971.3838208169</v>
      </c>
      <c r="E452">
        <v>1.5633646911939399E-5</v>
      </c>
      <c r="F452">
        <v>1.5571994950689427E-5</v>
      </c>
      <c r="G452">
        <v>6.1651961249972438E-8</v>
      </c>
      <c r="H452" t="b">
        <v>0</v>
      </c>
    </row>
    <row r="453" spans="1:8" x14ac:dyDescent="0.15">
      <c r="A453">
        <v>21</v>
      </c>
      <c r="B453">
        <v>20</v>
      </c>
      <c r="C453">
        <v>1746565.40234375</v>
      </c>
      <c r="D453">
        <v>1848073.7909258327</v>
      </c>
      <c r="E453">
        <v>1.5625628518141057E-5</v>
      </c>
      <c r="F453">
        <v>1.5571994950689427E-5</v>
      </c>
      <c r="G453">
        <v>5.363356745162961E-8</v>
      </c>
      <c r="H453" t="b">
        <v>0</v>
      </c>
    </row>
    <row r="454" spans="1:8" x14ac:dyDescent="0.15">
      <c r="A454">
        <v>21</v>
      </c>
      <c r="B454">
        <v>21</v>
      </c>
      <c r="C454">
        <v>1746435.8023437499</v>
      </c>
      <c r="D454">
        <v>1514420.8477685458</v>
      </c>
      <c r="E454">
        <v>1.5616010205365206E-5</v>
      </c>
      <c r="F454">
        <v>1.5571994950689427E-5</v>
      </c>
      <c r="G454">
        <v>4.4015254675779385E-8</v>
      </c>
      <c r="H454" t="b">
        <v>0</v>
      </c>
    </row>
    <row r="455" spans="1:8" x14ac:dyDescent="0.15">
      <c r="A455">
        <v>21</v>
      </c>
      <c r="B455">
        <v>22</v>
      </c>
      <c r="C455">
        <v>1746500.60234375</v>
      </c>
      <c r="D455">
        <v>1681117.5800684474</v>
      </c>
      <c r="E455">
        <v>1.5620819133418108E-5</v>
      </c>
      <c r="F455">
        <v>1.5571994950689427E-5</v>
      </c>
      <c r="G455">
        <v>4.882418272868054E-8</v>
      </c>
      <c r="H455" t="b">
        <v>0</v>
      </c>
    </row>
    <row r="456" spans="1:8" x14ac:dyDescent="0.15">
      <c r="A456">
        <v>21</v>
      </c>
      <c r="B456">
        <v>23</v>
      </c>
      <c r="C456">
        <v>1746578.36234375</v>
      </c>
      <c r="D456">
        <v>1881499.4344236678</v>
      </c>
      <c r="E456">
        <v>1.562659054371241E-5</v>
      </c>
      <c r="F456">
        <v>1.5571994950689427E-5</v>
      </c>
      <c r="G456">
        <v>5.459559302298326E-8</v>
      </c>
      <c r="H456" t="b">
        <v>0</v>
      </c>
    </row>
    <row r="457" spans="1:8" x14ac:dyDescent="0.15">
      <c r="A457">
        <v>21</v>
      </c>
      <c r="B457">
        <v>24</v>
      </c>
      <c r="C457">
        <v>1746539.4823437501</v>
      </c>
      <c r="D457">
        <v>1781229.7518262942</v>
      </c>
      <c r="E457">
        <v>1.5623703833441232E-5</v>
      </c>
      <c r="F457">
        <v>1.5571994950689427E-5</v>
      </c>
      <c r="G457">
        <v>5.1708882751804949E-8</v>
      </c>
      <c r="H457" t="b">
        <v>0</v>
      </c>
    </row>
    <row r="458" spans="1:8" x14ac:dyDescent="0.15">
      <c r="A458">
        <v>21</v>
      </c>
      <c r="B458">
        <v>25</v>
      </c>
      <c r="C458">
        <v>1746492.8263437501</v>
      </c>
      <c r="D458">
        <v>1661074.9730932866</v>
      </c>
      <c r="E458">
        <v>1.5620241308498356E-5</v>
      </c>
      <c r="F458">
        <v>1.5571994950689427E-5</v>
      </c>
      <c r="G458">
        <v>4.8246357808929321E-8</v>
      </c>
      <c r="H458" t="b">
        <v>0</v>
      </c>
    </row>
    <row r="459" spans="1:8" x14ac:dyDescent="0.15">
      <c r="A459">
        <v>21</v>
      </c>
      <c r="B459">
        <v>26</v>
      </c>
      <c r="C459">
        <v>1746516.1543437501</v>
      </c>
      <c r="D459">
        <v>1721160.9305043116</v>
      </c>
      <c r="E459">
        <v>1.5621973272802075E-5</v>
      </c>
      <c r="F459">
        <v>1.5571994950689427E-5</v>
      </c>
      <c r="G459">
        <v>4.9978322112648052E-8</v>
      </c>
      <c r="H459" t="b">
        <v>0</v>
      </c>
    </row>
    <row r="460" spans="1:8" x14ac:dyDescent="0.15">
      <c r="A460">
        <v>21</v>
      </c>
      <c r="B460">
        <v>27</v>
      </c>
      <c r="C460">
        <v>1746544.14794375</v>
      </c>
      <c r="D460">
        <v>1793280.5628066363</v>
      </c>
      <c r="E460">
        <v>1.5624050903457761E-5</v>
      </c>
      <c r="F460">
        <v>1.5571994950689427E-5</v>
      </c>
      <c r="G460">
        <v>5.2055952768333618E-8</v>
      </c>
      <c r="H460" t="b">
        <v>0</v>
      </c>
    </row>
    <row r="461" spans="1:8" x14ac:dyDescent="0.15">
      <c r="A461">
        <v>21</v>
      </c>
      <c r="B461">
        <v>28</v>
      </c>
      <c r="C461">
        <v>1746530.1511437499</v>
      </c>
      <c r="D461">
        <v>1757214.0601004327</v>
      </c>
      <c r="E461">
        <v>1.5623012059238102E-5</v>
      </c>
      <c r="F461">
        <v>1.5571994950689427E-5</v>
      </c>
      <c r="G461">
        <v>5.1017108548674731E-8</v>
      </c>
      <c r="H461" t="b">
        <v>0</v>
      </c>
    </row>
    <row r="462" spans="1:8" x14ac:dyDescent="0.15">
      <c r="A462">
        <v>22</v>
      </c>
      <c r="B462">
        <v>1</v>
      </c>
      <c r="C462">
        <v>6050000</v>
      </c>
      <c r="D462">
        <v>1.3444255161856998E+18</v>
      </c>
      <c r="E462">
        <v>536.87092199999995</v>
      </c>
      <c r="F462">
        <v>2.5240337663490209E-5</v>
      </c>
      <c r="G462">
        <v>536.87089675966229</v>
      </c>
      <c r="H462" t="b">
        <v>0</v>
      </c>
    </row>
    <row r="463" spans="1:8" x14ac:dyDescent="0.15">
      <c r="A463">
        <v>22</v>
      </c>
      <c r="B463">
        <v>2</v>
      </c>
      <c r="C463">
        <v>3075000</v>
      </c>
      <c r="D463">
        <v>1.3444255161857001E+18</v>
      </c>
      <c r="E463">
        <v>536.87092200000006</v>
      </c>
      <c r="F463">
        <v>2.5240337663490209E-5</v>
      </c>
      <c r="G463">
        <v>536.8708967596624</v>
      </c>
      <c r="H463" t="b">
        <v>0</v>
      </c>
    </row>
    <row r="464" spans="1:8" x14ac:dyDescent="0.15">
      <c r="A464">
        <v>22</v>
      </c>
      <c r="B464">
        <v>3</v>
      </c>
      <c r="C464">
        <v>1587500</v>
      </c>
      <c r="D464">
        <v>1005403802072.9631</v>
      </c>
      <c r="E464">
        <v>3.5195203281238397E-3</v>
      </c>
      <c r="F464">
        <v>2.5240337618482375E-5</v>
      </c>
      <c r="G464">
        <v>3.4942799905053573E-3</v>
      </c>
      <c r="H464" t="b">
        <v>0</v>
      </c>
    </row>
    <row r="465" spans="1:8" x14ac:dyDescent="0.15">
      <c r="A465">
        <v>22</v>
      </c>
      <c r="B465">
        <v>4</v>
      </c>
      <c r="C465">
        <v>843750</v>
      </c>
      <c r="D465">
        <v>-50659.910068935627</v>
      </c>
      <c r="E465">
        <v>-3.6993646300152918E-6</v>
      </c>
      <c r="F465">
        <v>2.5240337618482405E-5</v>
      </c>
      <c r="G465">
        <v>-2.8939702248497697E-5</v>
      </c>
      <c r="H465" t="b">
        <v>1</v>
      </c>
    </row>
    <row r="466" spans="1:8" x14ac:dyDescent="0.15">
      <c r="A466">
        <v>22</v>
      </c>
      <c r="B466">
        <v>5</v>
      </c>
      <c r="C466">
        <v>1215625</v>
      </c>
      <c r="D466">
        <v>-69788692.579821378</v>
      </c>
      <c r="E466">
        <v>1.6382014563259049E-5</v>
      </c>
      <c r="F466">
        <v>2.5240337618482405E-5</v>
      </c>
      <c r="G466">
        <v>-8.8583230552233557E-6</v>
      </c>
      <c r="H466" t="b">
        <v>1</v>
      </c>
    </row>
    <row r="467" spans="1:8" x14ac:dyDescent="0.15">
      <c r="A467">
        <v>22</v>
      </c>
      <c r="B467">
        <v>6</v>
      </c>
      <c r="C467">
        <v>1401562.5</v>
      </c>
      <c r="D467">
        <v>41841296404.491684</v>
      </c>
      <c r="E467">
        <v>3.2207409611490081E-4</v>
      </c>
      <c r="F467">
        <v>2.5240337618482429E-5</v>
      </c>
      <c r="G467">
        <v>2.9683375849641838E-4</v>
      </c>
      <c r="H467" t="b">
        <v>0</v>
      </c>
    </row>
    <row r="468" spans="1:8" x14ac:dyDescent="0.15">
      <c r="A468">
        <v>22</v>
      </c>
      <c r="B468">
        <v>7</v>
      </c>
      <c r="C468">
        <v>1308593.75</v>
      </c>
      <c r="D468">
        <v>4418491176.4935951</v>
      </c>
      <c r="E468">
        <v>7.9521888520554535E-5</v>
      </c>
      <c r="F468">
        <v>2.5240337618482402E-5</v>
      </c>
      <c r="G468">
        <v>5.4281550902072134E-5</v>
      </c>
      <c r="H468" t="b">
        <v>0</v>
      </c>
    </row>
    <row r="469" spans="1:8" x14ac:dyDescent="0.15">
      <c r="A469">
        <v>22</v>
      </c>
      <c r="B469">
        <v>8</v>
      </c>
      <c r="C469">
        <v>1262109.375</v>
      </c>
      <c r="D469">
        <v>628901439.72438002</v>
      </c>
      <c r="E469">
        <v>3.69961953400101E-5</v>
      </c>
      <c r="F469">
        <v>2.5240337618482405E-5</v>
      </c>
      <c r="G469">
        <v>1.1755857721527695E-5</v>
      </c>
      <c r="H469" t="b">
        <v>0</v>
      </c>
    </row>
    <row r="470" spans="1:8" x14ac:dyDescent="0.15">
      <c r="A470">
        <v>22</v>
      </c>
      <c r="B470">
        <v>9</v>
      </c>
      <c r="C470">
        <v>1238867.1875</v>
      </c>
      <c r="D470">
        <v>-15689750.077994557</v>
      </c>
      <c r="E470">
        <v>2.4765201505947037E-5</v>
      </c>
      <c r="F470">
        <v>2.5240337618482405E-5</v>
      </c>
      <c r="G470">
        <v>-4.7513611253536763E-7</v>
      </c>
      <c r="H470" t="b">
        <v>1</v>
      </c>
    </row>
    <row r="471" spans="1:8" x14ac:dyDescent="0.15">
      <c r="A471">
        <v>22</v>
      </c>
      <c r="B471">
        <v>10</v>
      </c>
      <c r="C471">
        <v>1250488.28125</v>
      </c>
      <c r="D471">
        <v>235106079.91031402</v>
      </c>
      <c r="E471">
        <v>3.0319788955725741E-5</v>
      </c>
      <c r="F471">
        <v>2.5240337618482405E-5</v>
      </c>
      <c r="G471">
        <v>5.0794513372433358E-6</v>
      </c>
      <c r="H471" t="b">
        <v>0</v>
      </c>
    </row>
    <row r="472" spans="1:8" x14ac:dyDescent="0.15">
      <c r="A472">
        <v>22</v>
      </c>
      <c r="B472">
        <v>11</v>
      </c>
      <c r="C472">
        <v>1244677.734375</v>
      </c>
      <c r="D472">
        <v>87275637.473918945</v>
      </c>
      <c r="E472">
        <v>2.741425416091912E-5</v>
      </c>
      <c r="F472">
        <v>2.5240337618482405E-5</v>
      </c>
      <c r="G472">
        <v>2.1739165424367147E-6</v>
      </c>
      <c r="H472" t="b">
        <v>0</v>
      </c>
    </row>
    <row r="473" spans="1:8" x14ac:dyDescent="0.15">
      <c r="A473">
        <v>22</v>
      </c>
      <c r="B473">
        <v>12</v>
      </c>
      <c r="C473">
        <v>1241772.4609375</v>
      </c>
      <c r="D473">
        <v>29915352.937722225</v>
      </c>
      <c r="E473">
        <v>2.6058766504024267E-5</v>
      </c>
      <c r="F473">
        <v>2.5240337618482405E-5</v>
      </c>
      <c r="G473">
        <v>8.1842888554186236E-7</v>
      </c>
      <c r="H473" t="b">
        <v>0</v>
      </c>
    </row>
    <row r="474" spans="1:8" x14ac:dyDescent="0.15">
      <c r="A474">
        <v>22</v>
      </c>
      <c r="B474">
        <v>13</v>
      </c>
      <c r="C474">
        <v>1240319.82421875</v>
      </c>
      <c r="D474">
        <v>5706077.5125391623</v>
      </c>
      <c r="E474">
        <v>2.5404405608124618E-5</v>
      </c>
      <c r="F474">
        <v>2.5240337618482405E-5</v>
      </c>
      <c r="G474">
        <v>1.6406798964221326E-7</v>
      </c>
      <c r="H474" t="b">
        <v>0</v>
      </c>
    </row>
    <row r="475" spans="1:8" x14ac:dyDescent="0.15">
      <c r="A475">
        <v>22</v>
      </c>
      <c r="B475">
        <v>14</v>
      </c>
      <c r="C475">
        <v>1239119.82421875</v>
      </c>
      <c r="D475">
        <v>-12165401.388140177</v>
      </c>
      <c r="E475">
        <v>2.4875295314921766E-5</v>
      </c>
      <c r="F475">
        <v>2.5240337618482405E-5</v>
      </c>
      <c r="G475">
        <v>-3.6504230356063897E-7</v>
      </c>
      <c r="H475" t="b">
        <v>1</v>
      </c>
    </row>
    <row r="476" spans="1:8" x14ac:dyDescent="0.15">
      <c r="A476">
        <v>22</v>
      </c>
      <c r="B476">
        <v>15</v>
      </c>
      <c r="C476">
        <v>1239719.82421875</v>
      </c>
      <c r="D476">
        <v>-3465270.053987585</v>
      </c>
      <c r="E476">
        <v>2.5138570483977955E-5</v>
      </c>
      <c r="F476">
        <v>2.5240337618482405E-5</v>
      </c>
      <c r="G476">
        <v>-1.017671345044505E-7</v>
      </c>
      <c r="H476" t="b">
        <v>1</v>
      </c>
    </row>
    <row r="477" spans="1:8" x14ac:dyDescent="0.15">
      <c r="A477">
        <v>22</v>
      </c>
      <c r="B477">
        <v>16</v>
      </c>
      <c r="C477">
        <v>1240319.82421875</v>
      </c>
      <c r="D477">
        <v>5706077.5125391623</v>
      </c>
      <c r="E477">
        <v>2.5404405608124618E-5</v>
      </c>
      <c r="F477">
        <v>2.5240337618482405E-5</v>
      </c>
      <c r="G477">
        <v>1.6406798964221326E-7</v>
      </c>
      <c r="H477" t="b">
        <v>0</v>
      </c>
    </row>
    <row r="478" spans="1:8" x14ac:dyDescent="0.15">
      <c r="A478">
        <v>22</v>
      </c>
      <c r="B478">
        <v>17</v>
      </c>
      <c r="C478">
        <v>1240019.82421875</v>
      </c>
      <c r="D478">
        <v>1060993.5946156408</v>
      </c>
      <c r="E478">
        <v>2.527116745119094E-5</v>
      </c>
      <c r="F478">
        <v>2.5240337618482405E-5</v>
      </c>
      <c r="G478">
        <v>3.0829832708535005E-8</v>
      </c>
      <c r="H478" t="b">
        <v>0</v>
      </c>
    </row>
    <row r="479" spans="1:8" x14ac:dyDescent="0.15">
      <c r="A479">
        <v>22</v>
      </c>
      <c r="B479">
        <v>18</v>
      </c>
      <c r="C479">
        <v>1240169.82421875</v>
      </c>
      <c r="D479">
        <v>3368650.3993008998</v>
      </c>
      <c r="E479">
        <v>2.533770719264883E-5</v>
      </c>
      <c r="F479">
        <v>2.5240337618482405E-5</v>
      </c>
      <c r="G479">
        <v>9.7369574166425107E-8</v>
      </c>
      <c r="H479" t="b">
        <v>0</v>
      </c>
    </row>
    <row r="480" spans="1:8" x14ac:dyDescent="0.15">
      <c r="A480">
        <v>22</v>
      </c>
      <c r="B480">
        <v>19</v>
      </c>
      <c r="C480">
        <v>1240094.82421875</v>
      </c>
      <c r="D480">
        <v>2211097.956039825</v>
      </c>
      <c r="E480">
        <v>2.5304417192138376E-5</v>
      </c>
      <c r="F480">
        <v>2.5240337618482405E-5</v>
      </c>
      <c r="G480">
        <v>6.4079573655971393E-8</v>
      </c>
      <c r="H480" t="b">
        <v>0</v>
      </c>
    </row>
    <row r="481" spans="1:8" x14ac:dyDescent="0.15">
      <c r="A481">
        <v>22</v>
      </c>
      <c r="B481">
        <v>20</v>
      </c>
      <c r="C481">
        <v>1240004.82421875</v>
      </c>
      <c r="D481">
        <v>831865.00836964289</v>
      </c>
      <c r="E481">
        <v>2.5264522330235251E-5</v>
      </c>
      <c r="F481">
        <v>2.5240337618482405E-5</v>
      </c>
      <c r="G481">
        <v>2.4184711752846098E-8</v>
      </c>
      <c r="H481" t="b">
        <v>0</v>
      </c>
    </row>
    <row r="482" spans="1:8" x14ac:dyDescent="0.15">
      <c r="A482">
        <v>22</v>
      </c>
      <c r="B482">
        <v>21</v>
      </c>
      <c r="C482">
        <v>1240049.82421875</v>
      </c>
      <c r="D482">
        <v>1520142.6486478436</v>
      </c>
      <c r="E482">
        <v>2.5284462519267857E-5</v>
      </c>
      <c r="F482">
        <v>2.5240337618482405E-5</v>
      </c>
      <c r="G482">
        <v>4.412490078545221E-8</v>
      </c>
      <c r="H482" t="b">
        <v>0</v>
      </c>
    </row>
    <row r="483" spans="1:8" x14ac:dyDescent="0.15">
      <c r="A483">
        <v>22</v>
      </c>
      <c r="B483">
        <v>22</v>
      </c>
      <c r="C483">
        <v>1240027.32421875</v>
      </c>
      <c r="D483">
        <v>1175669.3476494395</v>
      </c>
      <c r="E483">
        <v>2.5274490614872491E-5</v>
      </c>
      <c r="F483">
        <v>2.5240337618482405E-5</v>
      </c>
      <c r="G483">
        <v>3.41529963900864E-8</v>
      </c>
      <c r="H483" t="b">
        <v>0</v>
      </c>
    </row>
    <row r="484" spans="1:8" x14ac:dyDescent="0.15">
      <c r="A484">
        <v>22</v>
      </c>
      <c r="B484">
        <v>23</v>
      </c>
      <c r="C484">
        <v>1240038.57421875</v>
      </c>
      <c r="D484">
        <v>1347739.6370202403</v>
      </c>
      <c r="E484">
        <v>2.5279473720141994E-5</v>
      </c>
      <c r="F484">
        <v>2.5240337618482405E-5</v>
      </c>
      <c r="G484">
        <v>3.9136101659589383E-8</v>
      </c>
      <c r="H484" t="b">
        <v>0</v>
      </c>
    </row>
    <row r="485" spans="1:8" x14ac:dyDescent="0.15">
      <c r="A485">
        <v>22</v>
      </c>
      <c r="B485">
        <v>24</v>
      </c>
      <c r="C485">
        <v>1240032.94921875</v>
      </c>
      <c r="D485">
        <v>1261642.2690607652</v>
      </c>
      <c r="E485">
        <v>2.5276980857446788E-5</v>
      </c>
      <c r="F485">
        <v>2.5240337618482405E-5</v>
      </c>
      <c r="G485">
        <v>3.6643238964382727E-8</v>
      </c>
      <c r="H485" t="b">
        <v>0</v>
      </c>
    </row>
    <row r="486" spans="1:8" x14ac:dyDescent="0.15">
      <c r="A486">
        <v>22</v>
      </c>
      <c r="B486">
        <v>25</v>
      </c>
      <c r="C486">
        <v>1240026.19921875</v>
      </c>
      <c r="D486">
        <v>1158380.6255656672</v>
      </c>
      <c r="E486">
        <v>2.5273989720864766E-5</v>
      </c>
      <c r="F486">
        <v>2.5240337618482405E-5</v>
      </c>
      <c r="G486">
        <v>3.3652102382361143E-8</v>
      </c>
      <c r="H486" t="b">
        <v>0</v>
      </c>
    </row>
    <row r="487" spans="1:8" x14ac:dyDescent="0.15">
      <c r="A487">
        <v>22</v>
      </c>
      <c r="B487">
        <v>26</v>
      </c>
      <c r="C487">
        <v>1240029.57421875</v>
      </c>
      <c r="D487">
        <v>1210003.9210298257</v>
      </c>
      <c r="E487">
        <v>2.5275485248433487E-5</v>
      </c>
      <c r="F487">
        <v>2.5240337618482405E-5</v>
      </c>
      <c r="G487">
        <v>3.5147629951082232E-8</v>
      </c>
      <c r="H487" t="b">
        <v>0</v>
      </c>
    </row>
    <row r="488" spans="1:8" x14ac:dyDescent="0.15">
      <c r="A488">
        <v>22</v>
      </c>
      <c r="B488">
        <v>27</v>
      </c>
      <c r="C488">
        <v>1240033.62421875</v>
      </c>
      <c r="D488">
        <v>1272054.4210162042</v>
      </c>
      <c r="E488">
        <v>2.5277282383179755E-5</v>
      </c>
      <c r="F488">
        <v>2.5240337618482405E-5</v>
      </c>
      <c r="G488">
        <v>3.6944764697350137E-8</v>
      </c>
      <c r="H488" t="b">
        <v>0</v>
      </c>
    </row>
    <row r="489" spans="1:8" x14ac:dyDescent="0.15">
      <c r="A489">
        <v>22</v>
      </c>
      <c r="B489">
        <v>28</v>
      </c>
      <c r="C489">
        <v>1240031.5992187501</v>
      </c>
      <c r="D489">
        <v>1240985.1234315147</v>
      </c>
      <c r="E489">
        <v>2.5276382604067552E-5</v>
      </c>
      <c r="F489">
        <v>2.5240337618482405E-5</v>
      </c>
      <c r="G489">
        <v>3.604498558514664E-8</v>
      </c>
      <c r="H489" t="b">
        <v>0</v>
      </c>
    </row>
    <row r="490" spans="1:8" x14ac:dyDescent="0.15">
      <c r="A490">
        <v>23</v>
      </c>
      <c r="B490">
        <v>1</v>
      </c>
      <c r="C490">
        <v>6050000</v>
      </c>
      <c r="D490">
        <v>2.2933935499701117E+18</v>
      </c>
      <c r="E490">
        <v>536.87092200000006</v>
      </c>
      <c r="F490">
        <v>1.7916480828716885E-5</v>
      </c>
      <c r="G490">
        <v>536.87090408351924</v>
      </c>
      <c r="H490" t="b">
        <v>0</v>
      </c>
    </row>
    <row r="491" spans="1:8" x14ac:dyDescent="0.15">
      <c r="A491">
        <v>23</v>
      </c>
      <c r="B491">
        <v>2</v>
      </c>
      <c r="C491">
        <v>3075000</v>
      </c>
      <c r="D491">
        <v>2.2933935499701117E+18</v>
      </c>
      <c r="E491">
        <v>536.87092200000006</v>
      </c>
      <c r="F491">
        <v>1.7916480828716885E-5</v>
      </c>
      <c r="G491">
        <v>536.87090408351924</v>
      </c>
      <c r="H491" t="b">
        <v>0</v>
      </c>
    </row>
    <row r="492" spans="1:8" x14ac:dyDescent="0.15">
      <c r="A492">
        <v>23</v>
      </c>
      <c r="B492">
        <v>3</v>
      </c>
      <c r="C492">
        <v>1587500</v>
      </c>
      <c r="D492">
        <v>4.230495649354256E+17</v>
      </c>
      <c r="E492">
        <v>120.81384286509645</v>
      </c>
      <c r="F492">
        <v>1.791648084292774E-5</v>
      </c>
      <c r="G492">
        <v>120.8138249486156</v>
      </c>
      <c r="H492" t="b">
        <v>0</v>
      </c>
    </row>
    <row r="493" spans="1:8" x14ac:dyDescent="0.15">
      <c r="A493">
        <v>23</v>
      </c>
      <c r="B493">
        <v>4</v>
      </c>
      <c r="C493">
        <v>843750</v>
      </c>
      <c r="D493">
        <v>80793627113.232773</v>
      </c>
      <c r="E493">
        <v>3.3963325980002334E-4</v>
      </c>
      <c r="F493">
        <v>1.7916480839867959E-5</v>
      </c>
      <c r="G493">
        <v>3.2171677896015538E-4</v>
      </c>
      <c r="H493" t="b">
        <v>0</v>
      </c>
    </row>
    <row r="494" spans="1:8" x14ac:dyDescent="0.15">
      <c r="A494">
        <v>23</v>
      </c>
      <c r="B494">
        <v>5</v>
      </c>
      <c r="C494">
        <v>471875</v>
      </c>
      <c r="D494">
        <v>-24128.34678865469</v>
      </c>
      <c r="E494">
        <v>-8.1828526925378422E-6</v>
      </c>
      <c r="F494">
        <v>1.7916480839867945E-5</v>
      </c>
      <c r="G494">
        <v>-2.6099333532405787E-5</v>
      </c>
      <c r="H494" t="b">
        <v>1</v>
      </c>
    </row>
    <row r="495" spans="1:8" x14ac:dyDescent="0.15">
      <c r="A495">
        <v>23</v>
      </c>
      <c r="B495">
        <v>6</v>
      </c>
      <c r="C495">
        <v>657812.5</v>
      </c>
      <c r="D495">
        <v>-236490.10509886686</v>
      </c>
      <c r="E495">
        <v>2.5991442339686161E-6</v>
      </c>
      <c r="F495">
        <v>1.7916480839867945E-5</v>
      </c>
      <c r="G495">
        <v>-1.5317336605899328E-5</v>
      </c>
      <c r="H495" t="b">
        <v>1</v>
      </c>
    </row>
    <row r="496" spans="1:8" x14ac:dyDescent="0.15">
      <c r="A496">
        <v>23</v>
      </c>
      <c r="B496">
        <v>7</v>
      </c>
      <c r="C496">
        <v>750781.25</v>
      </c>
      <c r="D496">
        <v>-76826148.007052884</v>
      </c>
      <c r="E496">
        <v>1.5562890614788567E-5</v>
      </c>
      <c r="F496">
        <v>1.7916480839867945E-5</v>
      </c>
      <c r="G496">
        <v>-2.3535902250793782E-6</v>
      </c>
      <c r="H496" t="b">
        <v>1</v>
      </c>
    </row>
    <row r="497" spans="1:8" x14ac:dyDescent="0.15">
      <c r="A497">
        <v>23</v>
      </c>
      <c r="B497">
        <v>8</v>
      </c>
      <c r="C497">
        <v>797265.625</v>
      </c>
      <c r="D497">
        <v>8513961606.8950462</v>
      </c>
      <c r="E497">
        <v>7.7193267548749693E-5</v>
      </c>
      <c r="F497">
        <v>1.7916480839867945E-5</v>
      </c>
      <c r="G497">
        <v>5.9276786708881748E-5</v>
      </c>
      <c r="H497" t="b">
        <v>0</v>
      </c>
    </row>
    <row r="498" spans="1:8" x14ac:dyDescent="0.15">
      <c r="A498">
        <v>23</v>
      </c>
      <c r="B498">
        <v>9</v>
      </c>
      <c r="C498">
        <v>774023.4375</v>
      </c>
      <c r="D498">
        <v>1684407385.7388651</v>
      </c>
      <c r="E498">
        <v>3.5260416579208843E-5</v>
      </c>
      <c r="F498">
        <v>1.7916480839867945E-5</v>
      </c>
      <c r="G498">
        <v>1.7343935739340898E-5</v>
      </c>
      <c r="H498" t="b">
        <v>0</v>
      </c>
    </row>
    <row r="499" spans="1:8" x14ac:dyDescent="0.15">
      <c r="A499">
        <v>23</v>
      </c>
      <c r="B499">
        <v>10</v>
      </c>
      <c r="C499">
        <v>762402.34375</v>
      </c>
      <c r="D499">
        <v>416345370.53287649</v>
      </c>
      <c r="E499">
        <v>2.3522402914786871E-5</v>
      </c>
      <c r="F499">
        <v>1.7916480839867945E-5</v>
      </c>
      <c r="G499">
        <v>5.6059220749189259E-6</v>
      </c>
      <c r="H499" t="b">
        <v>0</v>
      </c>
    </row>
    <row r="500" spans="1:8" x14ac:dyDescent="0.15">
      <c r="A500">
        <v>23</v>
      </c>
      <c r="B500">
        <v>11</v>
      </c>
      <c r="C500">
        <v>756591.796875</v>
      </c>
      <c r="D500">
        <v>65549064.231179364</v>
      </c>
      <c r="E500">
        <v>1.9153337847781646E-5</v>
      </c>
      <c r="F500">
        <v>1.7916480839867945E-5</v>
      </c>
      <c r="G500">
        <v>1.2368570079137008E-6</v>
      </c>
      <c r="H500" t="b">
        <v>0</v>
      </c>
    </row>
    <row r="501" spans="1:8" x14ac:dyDescent="0.15">
      <c r="A501">
        <v>23</v>
      </c>
      <c r="B501">
        <v>12</v>
      </c>
      <c r="C501">
        <v>753686.5234375</v>
      </c>
      <c r="D501">
        <v>-27514886.06907621</v>
      </c>
      <c r="E501">
        <v>1.7269641564536824E-5</v>
      </c>
      <c r="F501">
        <v>1.7916480839867945E-5</v>
      </c>
      <c r="G501">
        <v>-6.4683927533112101E-7</v>
      </c>
      <c r="H501" t="b">
        <v>1</v>
      </c>
    </row>
    <row r="502" spans="1:8" x14ac:dyDescent="0.15">
      <c r="A502">
        <v>23</v>
      </c>
      <c r="B502">
        <v>13</v>
      </c>
      <c r="C502">
        <v>755139.16015625</v>
      </c>
      <c r="D502">
        <v>12967112.408514382</v>
      </c>
      <c r="E502">
        <v>1.8188328074292362E-5</v>
      </c>
      <c r="F502">
        <v>1.7916480839867945E-5</v>
      </c>
      <c r="G502">
        <v>2.7184723442441657E-7</v>
      </c>
      <c r="H502" t="b">
        <v>0</v>
      </c>
    </row>
    <row r="503" spans="1:8" x14ac:dyDescent="0.15">
      <c r="A503">
        <v>23</v>
      </c>
      <c r="B503">
        <v>14</v>
      </c>
      <c r="C503">
        <v>753939.16015625</v>
      </c>
      <c r="D503">
        <v>-21291367.948797278</v>
      </c>
      <c r="E503">
        <v>1.7426183573670807E-5</v>
      </c>
      <c r="F503">
        <v>1.7916480839867945E-5</v>
      </c>
      <c r="G503">
        <v>-4.9029726619713868E-7</v>
      </c>
      <c r="H503" t="b">
        <v>1</v>
      </c>
    </row>
    <row r="504" spans="1:8" x14ac:dyDescent="0.15">
      <c r="A504">
        <v>23</v>
      </c>
      <c r="B504">
        <v>15</v>
      </c>
      <c r="C504">
        <v>754539.16015625</v>
      </c>
      <c r="D504">
        <v>-5151868.0680528339</v>
      </c>
      <c r="E504">
        <v>1.7803379972604662E-5</v>
      </c>
      <c r="F504">
        <v>1.7916480839867945E-5</v>
      </c>
      <c r="G504">
        <v>-1.1310086726328293E-7</v>
      </c>
      <c r="H504" t="b">
        <v>1</v>
      </c>
    </row>
    <row r="505" spans="1:8" x14ac:dyDescent="0.15">
      <c r="A505">
        <v>23</v>
      </c>
      <c r="B505">
        <v>16</v>
      </c>
      <c r="C505">
        <v>755139.16015625</v>
      </c>
      <c r="D505">
        <v>12967112.408514382</v>
      </c>
      <c r="E505">
        <v>1.8188328074292362E-5</v>
      </c>
      <c r="F505">
        <v>1.7916480839867945E-5</v>
      </c>
      <c r="G505">
        <v>2.7184723442441657E-7</v>
      </c>
      <c r="H505" t="b">
        <v>0</v>
      </c>
    </row>
    <row r="506" spans="1:8" x14ac:dyDescent="0.15">
      <c r="A506">
        <v>23</v>
      </c>
      <c r="B506">
        <v>17</v>
      </c>
      <c r="C506">
        <v>754839.16015625</v>
      </c>
      <c r="D506">
        <v>3654979.1905921432</v>
      </c>
      <c r="E506">
        <v>1.7994875737024141E-5</v>
      </c>
      <c r="F506">
        <v>1.7916480839867945E-5</v>
      </c>
      <c r="G506">
        <v>7.8394897156195819E-8</v>
      </c>
      <c r="H506" t="b">
        <v>0</v>
      </c>
    </row>
    <row r="507" spans="1:8" x14ac:dyDescent="0.15">
      <c r="A507">
        <v>23</v>
      </c>
      <c r="B507">
        <v>18</v>
      </c>
      <c r="C507">
        <v>754479.16015625</v>
      </c>
      <c r="D507">
        <v>-6853636.3320943983</v>
      </c>
      <c r="E507">
        <v>1.7765311442228015E-5</v>
      </c>
      <c r="F507">
        <v>1.7916480839867945E-5</v>
      </c>
      <c r="G507">
        <v>-1.5116939763993019E-7</v>
      </c>
      <c r="H507" t="b">
        <v>1</v>
      </c>
    </row>
    <row r="508" spans="1:8" x14ac:dyDescent="0.15">
      <c r="A508">
        <v>23</v>
      </c>
      <c r="B508">
        <v>19</v>
      </c>
      <c r="C508">
        <v>754659.16015625</v>
      </c>
      <c r="D508">
        <v>-1689209.0561412999</v>
      </c>
      <c r="E508">
        <v>1.7879742143083159E-5</v>
      </c>
      <c r="F508">
        <v>1.7916480839867945E-5</v>
      </c>
      <c r="G508">
        <v>-3.6738696784785956E-8</v>
      </c>
      <c r="H508" t="b">
        <v>1</v>
      </c>
    </row>
    <row r="509" spans="1:8" x14ac:dyDescent="0.15">
      <c r="A509">
        <v>23</v>
      </c>
      <c r="B509">
        <v>20</v>
      </c>
      <c r="C509">
        <v>754839.16015625</v>
      </c>
      <c r="D509">
        <v>3654979.1905921432</v>
      </c>
      <c r="E509">
        <v>1.7994875737024141E-5</v>
      </c>
      <c r="F509">
        <v>1.7916480839867945E-5</v>
      </c>
      <c r="G509">
        <v>7.8394897156195819E-8</v>
      </c>
      <c r="H509" t="b">
        <v>0</v>
      </c>
    </row>
    <row r="510" spans="1:8" x14ac:dyDescent="0.15">
      <c r="A510">
        <v>23</v>
      </c>
      <c r="B510">
        <v>21</v>
      </c>
      <c r="C510">
        <v>754749.16015625</v>
      </c>
      <c r="D510">
        <v>960228.80372408871</v>
      </c>
      <c r="E510">
        <v>1.7937219865905224E-5</v>
      </c>
      <c r="F510">
        <v>1.7916480839867945E-5</v>
      </c>
      <c r="G510">
        <v>2.0739026037279164E-8</v>
      </c>
      <c r="H510" t="b">
        <v>0</v>
      </c>
    </row>
    <row r="511" spans="1:8" x14ac:dyDescent="0.15">
      <c r="A511">
        <v>23</v>
      </c>
      <c r="B511">
        <v>22</v>
      </c>
      <c r="C511">
        <v>754641.16015625</v>
      </c>
      <c r="D511">
        <v>-2213582.5631729816</v>
      </c>
      <c r="E511">
        <v>1.7868270163027782E-5</v>
      </c>
      <c r="F511">
        <v>1.7916480839867945E-5</v>
      </c>
      <c r="G511">
        <v>-4.8210676840163507E-8</v>
      </c>
      <c r="H511" t="b">
        <v>1</v>
      </c>
    </row>
    <row r="512" spans="1:8" x14ac:dyDescent="0.15">
      <c r="A512">
        <v>23</v>
      </c>
      <c r="B512">
        <v>23</v>
      </c>
      <c r="C512">
        <v>754695.16015625</v>
      </c>
      <c r="D512">
        <v>-634838.8883296696</v>
      </c>
      <c r="E512">
        <v>1.7902712193795111E-5</v>
      </c>
      <c r="F512">
        <v>1.7916480839867945E-5</v>
      </c>
      <c r="G512">
        <v>-1.3768646072834413E-8</v>
      </c>
      <c r="H512" t="b">
        <v>1</v>
      </c>
    </row>
    <row r="513" spans="1:8" x14ac:dyDescent="0.15">
      <c r="A513">
        <v>23</v>
      </c>
      <c r="B513">
        <v>24</v>
      </c>
      <c r="C513">
        <v>754749.16015625</v>
      </c>
      <c r="D513">
        <v>960228.80372408871</v>
      </c>
      <c r="E513">
        <v>1.7937219865905224E-5</v>
      </c>
      <c r="F513">
        <v>1.7916480839867945E-5</v>
      </c>
      <c r="G513">
        <v>2.0739026037279164E-8</v>
      </c>
      <c r="H513" t="b">
        <v>0</v>
      </c>
    </row>
    <row r="514" spans="1:8" x14ac:dyDescent="0.15">
      <c r="A514">
        <v>23</v>
      </c>
      <c r="B514">
        <v>25</v>
      </c>
      <c r="C514">
        <v>754722.16015625</v>
      </c>
      <c r="D514">
        <v>160665.12775970739</v>
      </c>
      <c r="E514">
        <v>1.7919958135116903E-5</v>
      </c>
      <c r="F514">
        <v>1.7916480839867945E-5</v>
      </c>
      <c r="G514">
        <v>3.4772952489577633E-9</v>
      </c>
      <c r="H514" t="b">
        <v>0</v>
      </c>
    </row>
    <row r="515" spans="1:8" x14ac:dyDescent="0.15">
      <c r="A515">
        <v>23</v>
      </c>
      <c r="B515">
        <v>26</v>
      </c>
      <c r="C515">
        <v>754735.66015625</v>
      </c>
      <c r="D515">
        <v>560057.02390223427</v>
      </c>
      <c r="E515">
        <v>1.7928589573300203E-5</v>
      </c>
      <c r="F515">
        <v>1.7916480839867945E-5</v>
      </c>
      <c r="G515">
        <v>1.2108733432257513E-8</v>
      </c>
      <c r="H515" t="b">
        <v>0</v>
      </c>
    </row>
    <row r="516" spans="1:8" x14ac:dyDescent="0.15">
      <c r="A516">
        <v>23</v>
      </c>
      <c r="B516">
        <v>27</v>
      </c>
      <c r="C516">
        <v>754751.86015624995</v>
      </c>
      <c r="D516">
        <v>1040408.7462451281</v>
      </c>
      <c r="E516">
        <v>1.7938946907931483E-5</v>
      </c>
      <c r="F516">
        <v>1.7916480839867945E-5</v>
      </c>
      <c r="G516">
        <v>2.2466068063537999E-8</v>
      </c>
      <c r="H516" t="b">
        <v>0</v>
      </c>
    </row>
    <row r="517" spans="1:8" x14ac:dyDescent="0.15">
      <c r="A517">
        <v>23</v>
      </c>
      <c r="B517">
        <v>28</v>
      </c>
      <c r="C517">
        <v>754743.76015624998</v>
      </c>
      <c r="D517">
        <v>800109.10558432608</v>
      </c>
      <c r="E517">
        <v>1.7933768804040391E-5</v>
      </c>
      <c r="F517">
        <v>1.7916480839867945E-5</v>
      </c>
      <c r="G517">
        <v>1.7287964172445523E-8</v>
      </c>
      <c r="H517" t="b">
        <v>0</v>
      </c>
    </row>
    <row r="518" spans="1:8" x14ac:dyDescent="0.15">
      <c r="A518">
        <v>23</v>
      </c>
      <c r="B518">
        <v>29</v>
      </c>
      <c r="C518">
        <v>754734.04015625</v>
      </c>
      <c r="D518">
        <v>511972.54402720794</v>
      </c>
      <c r="E518">
        <v>1.7927551350589966E-5</v>
      </c>
      <c r="F518">
        <v>1.7916480839867945E-5</v>
      </c>
      <c r="G518">
        <v>1.1070510722020787E-8</v>
      </c>
      <c r="H518" t="b">
        <v>0</v>
      </c>
    </row>
    <row r="519" spans="1:8" x14ac:dyDescent="0.15">
      <c r="A519">
        <v>23</v>
      </c>
      <c r="B519">
        <v>30</v>
      </c>
      <c r="C519">
        <v>754738.90015624999</v>
      </c>
      <c r="D519">
        <v>656033.95948612492</v>
      </c>
      <c r="E519">
        <v>1.7930661094974654E-5</v>
      </c>
      <c r="F519">
        <v>1.7916480839867945E-5</v>
      </c>
      <c r="G519">
        <v>1.4180255106709062E-8</v>
      </c>
      <c r="H519" t="b">
        <v>0</v>
      </c>
    </row>
    <row r="520" spans="1:8" x14ac:dyDescent="0.15">
      <c r="A520">
        <v>23</v>
      </c>
      <c r="B520">
        <v>31</v>
      </c>
      <c r="C520">
        <v>754744.73215625004</v>
      </c>
      <c r="D520">
        <v>828939.9410160901</v>
      </c>
      <c r="E520">
        <v>1.7934390407281937E-5</v>
      </c>
      <c r="F520">
        <v>1.7916480839867945E-5</v>
      </c>
      <c r="G520">
        <v>1.7909567413991532E-8</v>
      </c>
      <c r="H520" t="b">
        <v>0</v>
      </c>
    </row>
    <row r="521" spans="1:8" x14ac:dyDescent="0.15">
      <c r="A521">
        <v>23</v>
      </c>
      <c r="B521">
        <v>32</v>
      </c>
      <c r="C521">
        <v>754741.81615625008</v>
      </c>
      <c r="D521">
        <v>742463.24184938404</v>
      </c>
      <c r="E521">
        <v>1.7932525658984345E-5</v>
      </c>
      <c r="F521">
        <v>1.7916480839867945E-5</v>
      </c>
      <c r="G521">
        <v>1.6044819116399679E-8</v>
      </c>
      <c r="H521" t="b">
        <v>0</v>
      </c>
    </row>
    <row r="522" spans="1:8" x14ac:dyDescent="0.15">
      <c r="A522">
        <v>23</v>
      </c>
      <c r="B522">
        <v>33</v>
      </c>
      <c r="C522">
        <v>754743.27415625006</v>
      </c>
      <c r="D522">
        <v>785577.49882863741</v>
      </c>
      <c r="E522">
        <v>1.7933455462035474E-5</v>
      </c>
      <c r="F522">
        <v>1.7916480839867945E-5</v>
      </c>
      <c r="G522">
        <v>1.6974622167528357E-8</v>
      </c>
      <c r="H522" t="b">
        <v>0</v>
      </c>
    </row>
    <row r="523" spans="1:8" x14ac:dyDescent="0.15">
      <c r="A523">
        <v>23</v>
      </c>
      <c r="B523">
        <v>34</v>
      </c>
      <c r="C523">
        <v>754742.54515625001</v>
      </c>
      <c r="D523">
        <v>764077.97106235195</v>
      </c>
      <c r="E523">
        <v>1.7932991828783712E-5</v>
      </c>
      <c r="F523">
        <v>1.7916480839867945E-5</v>
      </c>
      <c r="G523">
        <v>1.6510988915766512E-8</v>
      </c>
      <c r="H523" t="b">
        <v>0</v>
      </c>
    </row>
    <row r="524" spans="1:8" x14ac:dyDescent="0.15">
      <c r="A524">
        <v>23</v>
      </c>
      <c r="B524">
        <v>35</v>
      </c>
      <c r="C524">
        <v>754741.67035625002</v>
      </c>
      <c r="D524">
        <v>738140.65179222624</v>
      </c>
      <c r="E524">
        <v>1.7932432426409974E-5</v>
      </c>
      <c r="F524">
        <v>1.7916480839867945E-5</v>
      </c>
      <c r="G524">
        <v>1.5951586542028946E-8</v>
      </c>
      <c r="H524" t="b">
        <v>0</v>
      </c>
    </row>
    <row r="525" spans="1:8" x14ac:dyDescent="0.15">
      <c r="A525">
        <v>23</v>
      </c>
      <c r="B525">
        <v>36</v>
      </c>
      <c r="C525">
        <v>754742.10775625007</v>
      </c>
      <c r="D525">
        <v>751108.77798629203</v>
      </c>
      <c r="E525">
        <v>1.7932712125523776E-5</v>
      </c>
      <c r="F525">
        <v>1.7916480839867945E-5</v>
      </c>
      <c r="G525">
        <v>1.623128565583033E-8</v>
      </c>
      <c r="H525" t="b">
        <v>0</v>
      </c>
    </row>
    <row r="526" spans="1:8" x14ac:dyDescent="0.15">
      <c r="A526">
        <v>24</v>
      </c>
      <c r="B526">
        <v>1</v>
      </c>
      <c r="C526">
        <v>6050000</v>
      </c>
      <c r="D526">
        <v>3.8647596783502418E+18</v>
      </c>
      <c r="E526">
        <v>536.87092200000006</v>
      </c>
      <c r="F526">
        <v>1.1332711551403918E-5</v>
      </c>
      <c r="G526">
        <v>536.87091066728851</v>
      </c>
      <c r="H526" t="b">
        <v>0</v>
      </c>
    </row>
    <row r="527" spans="1:8" x14ac:dyDescent="0.15">
      <c r="A527">
        <v>24</v>
      </c>
      <c r="B527">
        <v>2</v>
      </c>
      <c r="C527">
        <v>3075000</v>
      </c>
      <c r="D527">
        <v>3.3771172743154099E+17</v>
      </c>
      <c r="E527">
        <v>62.727282809235831</v>
      </c>
      <c r="F527">
        <v>1.1332711522982208E-5</v>
      </c>
      <c r="G527">
        <v>62.727271476524308</v>
      </c>
      <c r="H527" t="b">
        <v>0</v>
      </c>
    </row>
    <row r="528" spans="1:8" x14ac:dyDescent="0.15">
      <c r="A528">
        <v>24</v>
      </c>
      <c r="B528">
        <v>3</v>
      </c>
      <c r="C528">
        <v>1587500</v>
      </c>
      <c r="D528">
        <v>12491334709809.26</v>
      </c>
      <c r="E528">
        <v>1.117768267937118E-2</v>
      </c>
      <c r="F528">
        <v>1.1332711520924826E-5</v>
      </c>
      <c r="G528">
        <v>1.1166349967850256E-2</v>
      </c>
      <c r="H528" t="b">
        <v>0</v>
      </c>
    </row>
    <row r="529" spans="1:8" x14ac:dyDescent="0.15">
      <c r="A529">
        <v>24</v>
      </c>
      <c r="B529">
        <v>4</v>
      </c>
      <c r="C529">
        <v>843750</v>
      </c>
      <c r="D529">
        <v>-148034.35757794409</v>
      </c>
      <c r="E529">
        <v>-3.3457197317742219E-7</v>
      </c>
      <c r="F529">
        <v>1.1332711520924359E-5</v>
      </c>
      <c r="G529">
        <v>-1.1667283494101782E-5</v>
      </c>
      <c r="H529" t="b">
        <v>1</v>
      </c>
    </row>
    <row r="530" spans="1:8" x14ac:dyDescent="0.15">
      <c r="A530">
        <v>24</v>
      </c>
      <c r="B530">
        <v>5</v>
      </c>
      <c r="C530">
        <v>1215625</v>
      </c>
      <c r="D530">
        <v>7122189216.8163099</v>
      </c>
      <c r="E530">
        <v>4.7583073110056673E-5</v>
      </c>
      <c r="F530">
        <v>1.1332711520924359E-5</v>
      </c>
      <c r="G530">
        <v>3.6250361589132314E-5</v>
      </c>
      <c r="H530" t="b">
        <v>0</v>
      </c>
    </row>
    <row r="531" spans="1:8" x14ac:dyDescent="0.15">
      <c r="A531">
        <v>24</v>
      </c>
      <c r="B531">
        <v>6</v>
      </c>
      <c r="C531">
        <v>1029687.5</v>
      </c>
      <c r="D531">
        <v>-1654072.8764406736</v>
      </c>
      <c r="E531">
        <v>4.0661531118973882E-6</v>
      </c>
      <c r="F531">
        <v>1.1332711520924359E-5</v>
      </c>
      <c r="G531">
        <v>-7.2665584090269706E-6</v>
      </c>
      <c r="H531" t="b">
        <v>1</v>
      </c>
    </row>
    <row r="532" spans="1:8" x14ac:dyDescent="0.15">
      <c r="A532">
        <v>24</v>
      </c>
      <c r="B532">
        <v>7</v>
      </c>
      <c r="C532">
        <v>1122656.25</v>
      </c>
      <c r="D532">
        <v>-44776601.496163487</v>
      </c>
      <c r="E532">
        <v>9.7618318707554857E-6</v>
      </c>
      <c r="F532">
        <v>1.1332711520924359E-5</v>
      </c>
      <c r="G532">
        <v>-1.5708796501688731E-6</v>
      </c>
      <c r="H532" t="b">
        <v>1</v>
      </c>
    </row>
    <row r="533" spans="1:8" x14ac:dyDescent="0.15">
      <c r="A533">
        <v>24</v>
      </c>
      <c r="B533">
        <v>8</v>
      </c>
      <c r="C533">
        <v>1169140.625</v>
      </c>
      <c r="D533">
        <v>864372403.64174759</v>
      </c>
      <c r="E533">
        <v>1.8838284079875998E-5</v>
      </c>
      <c r="F533">
        <v>1.1332711520924359E-5</v>
      </c>
      <c r="G533">
        <v>7.5055725589516394E-6</v>
      </c>
      <c r="H533" t="b">
        <v>0</v>
      </c>
    </row>
    <row r="534" spans="1:8" x14ac:dyDescent="0.15">
      <c r="A534">
        <v>24</v>
      </c>
      <c r="B534">
        <v>9</v>
      </c>
      <c r="C534">
        <v>1145898.4375</v>
      </c>
      <c r="D534">
        <v>59669826.518512785</v>
      </c>
      <c r="E534">
        <v>1.2409134077135054E-5</v>
      </c>
      <c r="F534">
        <v>1.1332711520924359E-5</v>
      </c>
      <c r="G534">
        <v>1.0764225562106957E-6</v>
      </c>
      <c r="H534" t="b">
        <v>0</v>
      </c>
    </row>
    <row r="535" spans="1:8" x14ac:dyDescent="0.15">
      <c r="A535">
        <v>24</v>
      </c>
      <c r="B535">
        <v>10</v>
      </c>
      <c r="C535">
        <v>1134277.34375</v>
      </c>
      <c r="D535">
        <v>-13147929.081850212</v>
      </c>
      <c r="E535">
        <v>1.1014445344871298E-5</v>
      </c>
      <c r="F535">
        <v>1.1332711520924359E-5</v>
      </c>
      <c r="G535">
        <v>-3.1826617605306079E-7</v>
      </c>
      <c r="H535" t="b">
        <v>1</v>
      </c>
    </row>
    <row r="536" spans="1:8" x14ac:dyDescent="0.15">
      <c r="A536">
        <v>24</v>
      </c>
      <c r="B536">
        <v>11</v>
      </c>
      <c r="C536">
        <v>1140087.890625</v>
      </c>
      <c r="D536">
        <v>17386602.205736484</v>
      </c>
      <c r="E536">
        <v>1.1693270113601562E-5</v>
      </c>
      <c r="F536">
        <v>1.1332711520924359E-5</v>
      </c>
      <c r="G536">
        <v>3.6055859267720297E-7</v>
      </c>
      <c r="H536" t="b">
        <v>0</v>
      </c>
    </row>
    <row r="537" spans="1:8" x14ac:dyDescent="0.15">
      <c r="A537">
        <v>24</v>
      </c>
      <c r="B537">
        <v>12</v>
      </c>
      <c r="C537">
        <v>1137182.6171875</v>
      </c>
      <c r="D537">
        <v>743053.64373548958</v>
      </c>
      <c r="E537">
        <v>1.1349324602139372E-5</v>
      </c>
      <c r="F537">
        <v>1.1332711520924359E-5</v>
      </c>
      <c r="G537">
        <v>1.6613081215012849E-8</v>
      </c>
      <c r="H537" t="b">
        <v>0</v>
      </c>
    </row>
    <row r="538" spans="1:8" x14ac:dyDescent="0.15">
      <c r="A538">
        <v>24</v>
      </c>
      <c r="B538">
        <v>13</v>
      </c>
      <c r="C538">
        <v>1138635.25390625</v>
      </c>
      <c r="D538">
        <v>8709343.0589058977</v>
      </c>
      <c r="E538">
        <v>1.1520152097580653E-5</v>
      </c>
      <c r="F538">
        <v>1.1332711520924359E-5</v>
      </c>
      <c r="G538">
        <v>1.8744057665629374E-7</v>
      </c>
      <c r="H538" t="b">
        <v>0</v>
      </c>
    </row>
    <row r="539" spans="1:8" x14ac:dyDescent="0.15">
      <c r="A539">
        <v>24</v>
      </c>
      <c r="B539">
        <v>14</v>
      </c>
      <c r="C539">
        <v>1138135.25390625</v>
      </c>
      <c r="D539">
        <v>5888250.7929149475</v>
      </c>
      <c r="E539">
        <v>1.1461095686600041E-5</v>
      </c>
      <c r="F539">
        <v>1.1332711520924359E-5</v>
      </c>
      <c r="G539">
        <v>1.2838416567568195E-7</v>
      </c>
      <c r="H539" t="b">
        <v>0</v>
      </c>
    </row>
    <row r="540" spans="1:8" x14ac:dyDescent="0.15">
      <c r="A540">
        <v>24</v>
      </c>
      <c r="B540">
        <v>15</v>
      </c>
      <c r="C540">
        <v>1137535.25390625</v>
      </c>
      <c r="D540">
        <v>2612807.7466608793</v>
      </c>
      <c r="E540">
        <v>1.1390584819242774E-5</v>
      </c>
      <c r="F540">
        <v>1.1332711520924359E-5</v>
      </c>
      <c r="G540">
        <v>5.787329831841517E-8</v>
      </c>
      <c r="H540" t="b">
        <v>0</v>
      </c>
    </row>
    <row r="541" spans="1:8" x14ac:dyDescent="0.15">
      <c r="A541">
        <v>24</v>
      </c>
      <c r="B541">
        <v>16</v>
      </c>
      <c r="C541">
        <v>1136815.25390625</v>
      </c>
      <c r="D541">
        <v>-1161663.9479182684</v>
      </c>
      <c r="E541">
        <v>1.1306483350461499E-5</v>
      </c>
      <c r="F541">
        <v>1.1332711520924359E-5</v>
      </c>
      <c r="G541">
        <v>-2.6228170462859642E-8</v>
      </c>
      <c r="H541" t="b">
        <v>1</v>
      </c>
    </row>
    <row r="542" spans="1:8" x14ac:dyDescent="0.15">
      <c r="A542">
        <v>24</v>
      </c>
      <c r="B542">
        <v>17</v>
      </c>
      <c r="C542">
        <v>1137175.25390625</v>
      </c>
      <c r="D542">
        <v>704484.90383111569</v>
      </c>
      <c r="E542">
        <v>1.1348465369613893E-5</v>
      </c>
      <c r="F542">
        <v>1.1332711520924359E-5</v>
      </c>
      <c r="G542">
        <v>1.575384868953416E-8</v>
      </c>
      <c r="H542" t="b">
        <v>0</v>
      </c>
    </row>
    <row r="543" spans="1:8" x14ac:dyDescent="0.15">
      <c r="A543">
        <v>24</v>
      </c>
      <c r="B543">
        <v>18</v>
      </c>
      <c r="C543">
        <v>1137607.25390625</v>
      </c>
      <c r="D543">
        <v>2999581.1510844347</v>
      </c>
      <c r="E543">
        <v>1.1399025621204338E-5</v>
      </c>
      <c r="F543">
        <v>1.1332711520924359E-5</v>
      </c>
      <c r="G543">
        <v>6.6314100279979554E-8</v>
      </c>
      <c r="H543" t="b">
        <v>0</v>
      </c>
    </row>
    <row r="544" spans="1:8" x14ac:dyDescent="0.15">
      <c r="A544">
        <v>24</v>
      </c>
      <c r="B544">
        <v>19</v>
      </c>
      <c r="C544">
        <v>1137391.25390625</v>
      </c>
      <c r="D544">
        <v>1844410.3473524433</v>
      </c>
      <c r="E544">
        <v>1.1373720844372626E-5</v>
      </c>
      <c r="F544">
        <v>1.1332711520924359E-5</v>
      </c>
      <c r="G544">
        <v>4.1009323448266936E-8</v>
      </c>
      <c r="H544" t="b">
        <v>0</v>
      </c>
    </row>
    <row r="545" spans="1:8" x14ac:dyDescent="0.15">
      <c r="A545">
        <v>24</v>
      </c>
      <c r="B545">
        <v>20</v>
      </c>
      <c r="C545">
        <v>1137132.05390625</v>
      </c>
      <c r="D545">
        <v>478288.05294717639</v>
      </c>
      <c r="E545">
        <v>1.1343419408345642E-5</v>
      </c>
      <c r="F545">
        <v>1.1332711520924359E-5</v>
      </c>
      <c r="G545">
        <v>1.0707887421282933E-8</v>
      </c>
      <c r="H545" t="b">
        <v>0</v>
      </c>
    </row>
    <row r="546" spans="1:8" x14ac:dyDescent="0.15">
      <c r="A546">
        <v>24</v>
      </c>
      <c r="B546">
        <v>21</v>
      </c>
      <c r="C546">
        <v>1137261.6539062501</v>
      </c>
      <c r="D546">
        <v>1158625.5493930141</v>
      </c>
      <c r="E546">
        <v>1.1358561541865476E-5</v>
      </c>
      <c r="F546">
        <v>1.1332711520924359E-5</v>
      </c>
      <c r="G546">
        <v>2.5850020941116711E-8</v>
      </c>
      <c r="H546" t="b">
        <v>0</v>
      </c>
    </row>
    <row r="547" spans="1:8" x14ac:dyDescent="0.15">
      <c r="A547">
        <v>24</v>
      </c>
      <c r="B547">
        <v>22</v>
      </c>
      <c r="C547">
        <v>1137196.8539062501</v>
      </c>
      <c r="D547">
        <v>817791.71090383211</v>
      </c>
      <c r="E547">
        <v>1.1350988660824328E-5</v>
      </c>
      <c r="F547">
        <v>1.1332711520924359E-5</v>
      </c>
      <c r="G547">
        <v>1.8277139899969621E-8</v>
      </c>
      <c r="H547" t="b">
        <v>0</v>
      </c>
    </row>
    <row r="548" spans="1:8" x14ac:dyDescent="0.15">
      <c r="A548">
        <v>24</v>
      </c>
      <c r="B548">
        <v>23</v>
      </c>
      <c r="C548">
        <v>1137229.25390625</v>
      </c>
      <c r="D548">
        <v>987997.54892919771</v>
      </c>
      <c r="E548">
        <v>1.1354773654293998E-5</v>
      </c>
      <c r="F548">
        <v>1.1332711520924359E-5</v>
      </c>
      <c r="G548">
        <v>2.2062133369639178E-8</v>
      </c>
      <c r="H548" t="b">
        <v>0</v>
      </c>
    </row>
    <row r="549" spans="1:8" x14ac:dyDescent="0.15">
      <c r="A549">
        <v>24</v>
      </c>
      <c r="B549">
        <v>24</v>
      </c>
      <c r="C549">
        <v>1137268.1339062499</v>
      </c>
      <c r="D549">
        <v>1192744.498132871</v>
      </c>
      <c r="E549">
        <v>1.1359318194644814E-5</v>
      </c>
      <c r="F549">
        <v>1.1332711520924359E-5</v>
      </c>
      <c r="G549">
        <v>2.6606673720455573E-8</v>
      </c>
      <c r="H549" t="b">
        <v>0</v>
      </c>
    </row>
    <row r="550" spans="1:8" x14ac:dyDescent="0.15">
      <c r="A550">
        <v>24</v>
      </c>
      <c r="B550">
        <v>25</v>
      </c>
      <c r="C550">
        <v>1137248.6939062499</v>
      </c>
      <c r="D550">
        <v>1090349.1105004833</v>
      </c>
      <c r="E550">
        <v>1.1357046604703994E-5</v>
      </c>
      <c r="F550">
        <v>1.1332711520924359E-5</v>
      </c>
      <c r="G550">
        <v>2.4335083779635617E-8</v>
      </c>
      <c r="H550" t="b">
        <v>0</v>
      </c>
    </row>
    <row r="551" spans="1:8" x14ac:dyDescent="0.15">
      <c r="A551">
        <v>24</v>
      </c>
      <c r="B551">
        <v>26</v>
      </c>
      <c r="C551">
        <v>1137258.4139062499</v>
      </c>
      <c r="D551">
        <v>1141551.2964153367</v>
      </c>
      <c r="E551">
        <v>1.1358182790652559E-5</v>
      </c>
      <c r="F551">
        <v>1.1332711520924359E-5</v>
      </c>
      <c r="G551">
        <v>2.5471269728200022E-8</v>
      </c>
      <c r="H551" t="b">
        <v>0</v>
      </c>
    </row>
    <row r="552" spans="1:8" x14ac:dyDescent="0.15">
      <c r="A552">
        <v>25</v>
      </c>
      <c r="B552">
        <v>1</v>
      </c>
      <c r="C552">
        <v>6050000</v>
      </c>
      <c r="D552">
        <v>3.7644665636476134E+18</v>
      </c>
      <c r="E552">
        <v>536.87092200000006</v>
      </c>
      <c r="F552">
        <v>1.3037581538810628E-5</v>
      </c>
      <c r="G552">
        <v>536.87090896241853</v>
      </c>
      <c r="H552" t="b">
        <v>0</v>
      </c>
    </row>
    <row r="553" spans="1:8" x14ac:dyDescent="0.15">
      <c r="A553">
        <v>25</v>
      </c>
      <c r="B553">
        <v>2</v>
      </c>
      <c r="C553">
        <v>3075000</v>
      </c>
      <c r="D553">
        <v>3.7644665636476134E+18</v>
      </c>
      <c r="E553">
        <v>536.87092200000006</v>
      </c>
      <c r="F553">
        <v>1.3037581538810628E-5</v>
      </c>
      <c r="G553">
        <v>536.87090896241853</v>
      </c>
      <c r="H553" t="b">
        <v>0</v>
      </c>
    </row>
    <row r="554" spans="1:8" x14ac:dyDescent="0.15">
      <c r="A554">
        <v>25</v>
      </c>
      <c r="B554">
        <v>3</v>
      </c>
      <c r="C554">
        <v>1587500</v>
      </c>
      <c r="D554">
        <v>4191167286712503.5</v>
      </c>
      <c r="E554">
        <v>1.4343214245149705</v>
      </c>
      <c r="F554">
        <v>1.3037581582775459E-5</v>
      </c>
      <c r="G554">
        <v>1.4343083869333877</v>
      </c>
      <c r="H554" t="b">
        <v>0</v>
      </c>
    </row>
    <row r="555" spans="1:8" x14ac:dyDescent="0.15">
      <c r="A555">
        <v>25</v>
      </c>
      <c r="B555">
        <v>4</v>
      </c>
      <c r="C555">
        <v>843750</v>
      </c>
      <c r="D555">
        <v>-420243.5999011005</v>
      </c>
      <c r="E555">
        <v>2.7574314035473232E-6</v>
      </c>
      <c r="F555">
        <v>1.3037581582869497E-5</v>
      </c>
      <c r="G555">
        <v>-1.0280150179322174E-5</v>
      </c>
      <c r="H555" t="b">
        <v>1</v>
      </c>
    </row>
    <row r="556" spans="1:8" x14ac:dyDescent="0.15">
      <c r="A556">
        <v>25</v>
      </c>
      <c r="B556">
        <v>5</v>
      </c>
      <c r="C556">
        <v>1215625</v>
      </c>
      <c r="D556">
        <v>5270721177819.165</v>
      </c>
      <c r="E556">
        <v>5.6365987438188898E-3</v>
      </c>
      <c r="F556">
        <v>1.3037581582869134E-5</v>
      </c>
      <c r="G556">
        <v>5.6235611622360206E-3</v>
      </c>
      <c r="H556" t="b">
        <v>0</v>
      </c>
    </row>
    <row r="557" spans="1:8" x14ac:dyDescent="0.15">
      <c r="A557">
        <v>25</v>
      </c>
      <c r="B557">
        <v>6</v>
      </c>
      <c r="C557">
        <v>1029687.5</v>
      </c>
      <c r="D557">
        <v>22868429629.076241</v>
      </c>
      <c r="E557">
        <v>9.770162249538005E-5</v>
      </c>
      <c r="F557">
        <v>1.30375815828695E-5</v>
      </c>
      <c r="G557">
        <v>8.466404091251055E-5</v>
      </c>
      <c r="H557" t="b">
        <v>0</v>
      </c>
    </row>
    <row r="558" spans="1:8" x14ac:dyDescent="0.15">
      <c r="A558">
        <v>25</v>
      </c>
      <c r="B558">
        <v>7</v>
      </c>
      <c r="C558">
        <v>936718.75</v>
      </c>
      <c r="D558">
        <v>-81737508.27824302</v>
      </c>
      <c r="E558">
        <v>1.0259666132311559E-5</v>
      </c>
      <c r="F558">
        <v>1.3037581582869497E-5</v>
      </c>
      <c r="G558">
        <v>-2.7779154505579381E-6</v>
      </c>
      <c r="H558" t="b">
        <v>1</v>
      </c>
    </row>
    <row r="559" spans="1:8" x14ac:dyDescent="0.15">
      <c r="A559">
        <v>25</v>
      </c>
      <c r="B559">
        <v>8</v>
      </c>
      <c r="C559">
        <v>983203.125</v>
      </c>
      <c r="D559">
        <v>2790057977.34196</v>
      </c>
      <c r="E559">
        <v>3.0664119383080173E-5</v>
      </c>
      <c r="F559">
        <v>1.3037581582869497E-5</v>
      </c>
      <c r="G559">
        <v>1.7626537800210676E-5</v>
      </c>
      <c r="H559" t="b">
        <v>0</v>
      </c>
    </row>
    <row r="560" spans="1:8" x14ac:dyDescent="0.15">
      <c r="A560">
        <v>25</v>
      </c>
      <c r="B560">
        <v>9</v>
      </c>
      <c r="C560">
        <v>959960.9375</v>
      </c>
      <c r="D560">
        <v>351323936.79220539</v>
      </c>
      <c r="E560">
        <v>1.6655477104042101E-5</v>
      </c>
      <c r="F560">
        <v>1.3037581582869497E-5</v>
      </c>
      <c r="G560">
        <v>3.617895521172604E-6</v>
      </c>
      <c r="H560" t="b">
        <v>0</v>
      </c>
    </row>
    <row r="561" spans="1:8" x14ac:dyDescent="0.15">
      <c r="A561">
        <v>25</v>
      </c>
      <c r="B561">
        <v>10</v>
      </c>
      <c r="C561">
        <v>948339.84375</v>
      </c>
      <c r="D561">
        <v>-43657159.318634681</v>
      </c>
      <c r="E561">
        <v>1.2177182826908662E-5</v>
      </c>
      <c r="F561">
        <v>1.3037581582869497E-5</v>
      </c>
      <c r="G561">
        <v>-8.6039875596083446E-7</v>
      </c>
      <c r="H561" t="b">
        <v>1</v>
      </c>
    </row>
    <row r="562" spans="1:8" x14ac:dyDescent="0.15">
      <c r="A562">
        <v>25</v>
      </c>
      <c r="B562">
        <v>11</v>
      </c>
      <c r="C562">
        <v>954150.390625</v>
      </c>
      <c r="D562">
        <v>88483760.464125574</v>
      </c>
      <c r="E562">
        <v>1.4250920852705704E-5</v>
      </c>
      <c r="F562">
        <v>1.3037581582869497E-5</v>
      </c>
      <c r="G562">
        <v>1.2133392698362069E-6</v>
      </c>
      <c r="H562" t="b">
        <v>0</v>
      </c>
    </row>
    <row r="563" spans="1:8" x14ac:dyDescent="0.15">
      <c r="A563">
        <v>25</v>
      </c>
      <c r="B563">
        <v>12</v>
      </c>
      <c r="C563">
        <v>951245.1171875</v>
      </c>
      <c r="D563">
        <v>8493700.9421583302</v>
      </c>
      <c r="E563">
        <v>1.3175535638749862E-5</v>
      </c>
      <c r="F563">
        <v>1.3037581582869497E-5</v>
      </c>
      <c r="G563">
        <v>1.3795405588036463E-7</v>
      </c>
      <c r="H563" t="b">
        <v>0</v>
      </c>
    </row>
    <row r="564" spans="1:8" x14ac:dyDescent="0.15">
      <c r="A564">
        <v>25</v>
      </c>
      <c r="B564">
        <v>13</v>
      </c>
      <c r="C564">
        <v>949792.48046875</v>
      </c>
      <c r="D564">
        <v>-20780897.711062327</v>
      </c>
      <c r="E564">
        <v>1.2667064673091707E-5</v>
      </c>
      <c r="F564">
        <v>1.3037581582869497E-5</v>
      </c>
      <c r="G564">
        <v>-3.7051690977779004E-7</v>
      </c>
      <c r="H564" t="b">
        <v>1</v>
      </c>
    </row>
    <row r="565" spans="1:8" x14ac:dyDescent="0.15">
      <c r="A565">
        <v>25</v>
      </c>
      <c r="B565">
        <v>14</v>
      </c>
      <c r="C565">
        <v>950292.48046875</v>
      </c>
      <c r="D565">
        <v>-11454372.698701637</v>
      </c>
      <c r="E565">
        <v>1.2839950103993988E-5</v>
      </c>
      <c r="F565">
        <v>1.3037581582869497E-5</v>
      </c>
      <c r="G565">
        <v>-1.97631478875509E-7</v>
      </c>
      <c r="H565" t="b">
        <v>1</v>
      </c>
    </row>
    <row r="566" spans="1:8" x14ac:dyDescent="0.15">
      <c r="A566">
        <v>25</v>
      </c>
      <c r="B566">
        <v>15</v>
      </c>
      <c r="C566">
        <v>950792.48046875</v>
      </c>
      <c r="D566">
        <v>-1347566.6240002539</v>
      </c>
      <c r="E566">
        <v>1.3015064441816E-5</v>
      </c>
      <c r="F566">
        <v>1.3037581582869497E-5</v>
      </c>
      <c r="G566">
        <v>-2.2517141053496508E-8</v>
      </c>
      <c r="H566" t="b">
        <v>1</v>
      </c>
    </row>
    <row r="567" spans="1:8" x14ac:dyDescent="0.15">
      <c r="A567">
        <v>25</v>
      </c>
      <c r="B567">
        <v>16</v>
      </c>
      <c r="C567">
        <v>951292.48046875</v>
      </c>
      <c r="D567">
        <v>9562085.401281707</v>
      </c>
      <c r="E567">
        <v>1.3192433043176089E-5</v>
      </c>
      <c r="F567">
        <v>1.3037581582869497E-5</v>
      </c>
      <c r="G567">
        <v>1.5485146030659256E-7</v>
      </c>
      <c r="H567" t="b">
        <v>0</v>
      </c>
    </row>
    <row r="568" spans="1:8" x14ac:dyDescent="0.15">
      <c r="A568">
        <v>25</v>
      </c>
      <c r="B568">
        <v>17</v>
      </c>
      <c r="C568">
        <v>951042.48046875</v>
      </c>
      <c r="D568">
        <v>4005517.1396071445</v>
      </c>
      <c r="E568">
        <v>1.310346591464569E-5</v>
      </c>
      <c r="F568">
        <v>1.3037581582869497E-5</v>
      </c>
      <c r="G568">
        <v>6.5884331776193563E-8</v>
      </c>
      <c r="H568" t="b">
        <v>0</v>
      </c>
    </row>
    <row r="569" spans="1:8" x14ac:dyDescent="0.15">
      <c r="A569">
        <v>25</v>
      </c>
      <c r="B569">
        <v>18</v>
      </c>
      <c r="C569">
        <v>950742.48046875</v>
      </c>
      <c r="D569">
        <v>-2394004.00362089</v>
      </c>
      <c r="E569">
        <v>1.2997451935546858E-5</v>
      </c>
      <c r="F569">
        <v>1.3037581582869497E-5</v>
      </c>
      <c r="G569">
        <v>-4.0129647322638575E-8</v>
      </c>
      <c r="H569" t="b">
        <v>1</v>
      </c>
    </row>
    <row r="570" spans="1:8" x14ac:dyDescent="0.15">
      <c r="A570">
        <v>25</v>
      </c>
      <c r="B570">
        <v>19</v>
      </c>
      <c r="C570">
        <v>950892.48046875</v>
      </c>
      <c r="D570">
        <v>769418.93015786679</v>
      </c>
      <c r="E570">
        <v>1.3050357160819338E-5</v>
      </c>
      <c r="F570">
        <v>1.3037581582869497E-5</v>
      </c>
      <c r="G570">
        <v>1.2775577949840654E-8</v>
      </c>
      <c r="H570" t="b">
        <v>0</v>
      </c>
    </row>
    <row r="571" spans="1:8" x14ac:dyDescent="0.15">
      <c r="A571">
        <v>25</v>
      </c>
      <c r="B571">
        <v>20</v>
      </c>
      <c r="C571">
        <v>951072.48046875</v>
      </c>
      <c r="D571">
        <v>4661512.2262479905</v>
      </c>
      <c r="E571">
        <v>1.3114112153747779E-5</v>
      </c>
      <c r="F571">
        <v>1.3037581582869497E-5</v>
      </c>
      <c r="G571">
        <v>7.6530570878282283E-8</v>
      </c>
      <c r="H571" t="b">
        <v>0</v>
      </c>
    </row>
    <row r="572" spans="1:8" x14ac:dyDescent="0.15">
      <c r="A572">
        <v>25</v>
      </c>
      <c r="B572">
        <v>21</v>
      </c>
      <c r="C572">
        <v>950982.48046875</v>
      </c>
      <c r="D572">
        <v>2702317.2735143253</v>
      </c>
      <c r="E572">
        <v>1.308219794250362E-5</v>
      </c>
      <c r="F572">
        <v>1.3037581582869497E-5</v>
      </c>
      <c r="G572">
        <v>4.4616359634122864E-8</v>
      </c>
      <c r="H572" t="b">
        <v>0</v>
      </c>
    </row>
    <row r="573" spans="1:8" x14ac:dyDescent="0.15">
      <c r="A573">
        <v>25</v>
      </c>
      <c r="B573">
        <v>22</v>
      </c>
      <c r="C573">
        <v>950874.48046875</v>
      </c>
      <c r="D573">
        <v>385983.09618882235</v>
      </c>
      <c r="E573">
        <v>1.3043997802002068E-5</v>
      </c>
      <c r="F573">
        <v>1.3037581582869497E-5</v>
      </c>
      <c r="G573">
        <v>6.4162191325709494E-9</v>
      </c>
      <c r="H573" t="b">
        <v>0</v>
      </c>
    </row>
    <row r="574" spans="1:8" x14ac:dyDescent="0.15">
      <c r="A574">
        <v>25</v>
      </c>
      <c r="B574">
        <v>23</v>
      </c>
      <c r="C574">
        <v>950928.48046875</v>
      </c>
      <c r="D574">
        <v>1539431.2289598563</v>
      </c>
      <c r="E574">
        <v>1.306308467215126E-5</v>
      </c>
      <c r="F574">
        <v>1.3037581582869497E-5</v>
      </c>
      <c r="G574">
        <v>2.550308928176349E-8</v>
      </c>
      <c r="H574" t="b">
        <v>0</v>
      </c>
    </row>
    <row r="575" spans="1:8" x14ac:dyDescent="0.15">
      <c r="A575">
        <v>25</v>
      </c>
      <c r="B575">
        <v>24</v>
      </c>
      <c r="C575">
        <v>950901.48046875</v>
      </c>
      <c r="D575">
        <v>961424.48822193325</v>
      </c>
      <c r="E575">
        <v>1.3053536206036016E-5</v>
      </c>
      <c r="F575">
        <v>1.3037581582869497E-5</v>
      </c>
      <c r="G575">
        <v>1.5954623166518811E-8</v>
      </c>
      <c r="H575" t="b">
        <v>0</v>
      </c>
    </row>
    <row r="576" spans="1:8" x14ac:dyDescent="0.15">
      <c r="A576">
        <v>25</v>
      </c>
      <c r="B576">
        <v>25</v>
      </c>
      <c r="C576">
        <v>950869.08046874998</v>
      </c>
      <c r="D576">
        <v>271156.25817382603</v>
      </c>
      <c r="E576">
        <v>1.3042090565675383E-5</v>
      </c>
      <c r="F576">
        <v>1.3037581582869497E-5</v>
      </c>
      <c r="G576">
        <v>4.5089828058860902E-9</v>
      </c>
      <c r="H576" t="b">
        <v>0</v>
      </c>
    </row>
    <row r="577" spans="1:8" x14ac:dyDescent="0.15">
      <c r="A577">
        <v>25</v>
      </c>
      <c r="B577">
        <v>26</v>
      </c>
      <c r="C577">
        <v>950885.28046874993</v>
      </c>
      <c r="D577">
        <v>615814.5979813165</v>
      </c>
      <c r="E577">
        <v>1.3047811333306881E-5</v>
      </c>
      <c r="F577">
        <v>1.3037581582869497E-5</v>
      </c>
      <c r="G577">
        <v>1.0229750437384149E-8</v>
      </c>
      <c r="H577" t="b">
        <v>0</v>
      </c>
    </row>
    <row r="578" spans="1:8" x14ac:dyDescent="0.15">
      <c r="A578">
        <v>25</v>
      </c>
      <c r="B578">
        <v>27</v>
      </c>
      <c r="C578">
        <v>950904.72046874987</v>
      </c>
      <c r="D578">
        <v>1030648.2149778184</v>
      </c>
      <c r="E578">
        <v>1.3054681465487107E-5</v>
      </c>
      <c r="F578">
        <v>1.3037581582869497E-5</v>
      </c>
      <c r="G578">
        <v>1.7099882617610271E-8</v>
      </c>
      <c r="H578" t="b">
        <v>0</v>
      </c>
    </row>
    <row r="579" spans="1:8" x14ac:dyDescent="0.15">
      <c r="A579">
        <v>25</v>
      </c>
      <c r="B579">
        <v>28</v>
      </c>
      <c r="C579">
        <v>950895.0004687499</v>
      </c>
      <c r="D579">
        <v>823183.43487649015</v>
      </c>
      <c r="E579">
        <v>1.3051247704902934E-5</v>
      </c>
      <c r="F579">
        <v>1.3037581582869497E-5</v>
      </c>
      <c r="G579">
        <v>1.3666122033437582E-8</v>
      </c>
      <c r="H579" t="b">
        <v>0</v>
      </c>
    </row>
    <row r="580" spans="1:8" x14ac:dyDescent="0.15">
      <c r="A580">
        <v>25</v>
      </c>
      <c r="B580">
        <v>29</v>
      </c>
      <c r="C580">
        <v>950899.86046874989</v>
      </c>
      <c r="D580">
        <v>926930.05834105483</v>
      </c>
      <c r="E580">
        <v>1.3052965345011916E-5</v>
      </c>
      <c r="F580">
        <v>1.3037581582869497E-5</v>
      </c>
      <c r="G580">
        <v>1.5383762142419336E-8</v>
      </c>
      <c r="H580" t="b">
        <v>0</v>
      </c>
    </row>
    <row r="581" spans="1:8" x14ac:dyDescent="0.15">
      <c r="A581">
        <v>25</v>
      </c>
      <c r="B581">
        <v>30</v>
      </c>
      <c r="C581">
        <v>950905.69246874994</v>
      </c>
      <c r="D581">
        <v>1051421.9491539616</v>
      </c>
      <c r="E581">
        <v>1.305502506184323E-5</v>
      </c>
      <c r="F581">
        <v>1.3037581582869497E-5</v>
      </c>
      <c r="G581">
        <v>1.7443478973733399E-8</v>
      </c>
      <c r="H581" t="b">
        <v>0</v>
      </c>
    </row>
    <row r="582" spans="1:8" x14ac:dyDescent="0.15">
      <c r="A582">
        <v>25</v>
      </c>
      <c r="B582">
        <v>31</v>
      </c>
      <c r="C582">
        <v>950902.77646874997</v>
      </c>
      <c r="D582">
        <v>989214.6662025518</v>
      </c>
      <c r="E582">
        <v>1.3053996031647953E-5</v>
      </c>
      <c r="F582">
        <v>1.3037581582869497E-5</v>
      </c>
      <c r="G582">
        <v>1.6414448778455745E-8</v>
      </c>
      <c r="H582" t="b">
        <v>0</v>
      </c>
    </row>
    <row r="583" spans="1:8" x14ac:dyDescent="0.15">
      <c r="A583">
        <v>25</v>
      </c>
      <c r="B583">
        <v>32</v>
      </c>
      <c r="C583">
        <v>950899.27726875001</v>
      </c>
      <c r="D583">
        <v>914371.73204751848</v>
      </c>
      <c r="E583">
        <v>1.3052757483860445E-5</v>
      </c>
      <c r="F583">
        <v>1.3037581582869497E-5</v>
      </c>
      <c r="G583">
        <v>1.5175900990947773E-8</v>
      </c>
      <c r="H583" t="b">
        <v>0</v>
      </c>
    </row>
    <row r="584" spans="1:8" x14ac:dyDescent="0.15">
      <c r="A584">
        <v>25</v>
      </c>
      <c r="B584">
        <v>33</v>
      </c>
      <c r="C584">
        <v>950901.02686874999</v>
      </c>
      <c r="D584">
        <v>951840.60416425206</v>
      </c>
      <c r="E584">
        <v>1.3053377610436084E-5</v>
      </c>
      <c r="F584">
        <v>1.3037581582869497E-5</v>
      </c>
      <c r="G584">
        <v>1.5796027566587125E-8</v>
      </c>
      <c r="H584" t="b">
        <v>0</v>
      </c>
    </row>
    <row r="585" spans="1:8" x14ac:dyDescent="0.15">
      <c r="A585">
        <v>26</v>
      </c>
      <c r="B585">
        <v>1</v>
      </c>
      <c r="C585">
        <v>6050000</v>
      </c>
      <c r="D585">
        <v>6.1396600037568246E+18</v>
      </c>
      <c r="E585">
        <v>536.87092200000006</v>
      </c>
      <c r="F585">
        <v>8.4234741279942682E-6</v>
      </c>
      <c r="G585">
        <v>536.87091357652594</v>
      </c>
      <c r="H585" t="b">
        <v>0</v>
      </c>
    </row>
    <row r="586" spans="1:8" x14ac:dyDescent="0.15">
      <c r="A586">
        <v>26</v>
      </c>
      <c r="B586">
        <v>2</v>
      </c>
      <c r="C586">
        <v>3075000</v>
      </c>
      <c r="D586">
        <v>7.006824486233044E+16</v>
      </c>
      <c r="E586">
        <v>10.625308945535867</v>
      </c>
      <c r="F586">
        <v>8.4234741439814798E-6</v>
      </c>
      <c r="G586">
        <v>10.625300522061723</v>
      </c>
      <c r="H586" t="b">
        <v>0</v>
      </c>
    </row>
    <row r="587" spans="1:8" x14ac:dyDescent="0.15">
      <c r="A587">
        <v>26</v>
      </c>
      <c r="B587">
        <v>3</v>
      </c>
      <c r="C587">
        <v>1587500</v>
      </c>
      <c r="D587">
        <v>484939203518.09827</v>
      </c>
      <c r="E587">
        <v>5.9895494561274236E-4</v>
      </c>
      <c r="F587">
        <v>8.4234741448604425E-6</v>
      </c>
      <c r="G587">
        <v>5.9053147146788192E-4</v>
      </c>
      <c r="H587" t="b">
        <v>0</v>
      </c>
    </row>
    <row r="588" spans="1:8" x14ac:dyDescent="0.15">
      <c r="A588">
        <v>26</v>
      </c>
      <c r="B588">
        <v>4</v>
      </c>
      <c r="C588">
        <v>843750</v>
      </c>
      <c r="D588">
        <v>-59736.461541769975</v>
      </c>
      <c r="E588">
        <v>-2.9074642042844166E-6</v>
      </c>
      <c r="F588">
        <v>8.4234741448604967E-6</v>
      </c>
      <c r="G588">
        <v>-1.1330938349144913E-5</v>
      </c>
      <c r="H588" t="b">
        <v>1</v>
      </c>
    </row>
    <row r="589" spans="1:8" x14ac:dyDescent="0.15">
      <c r="A589">
        <v>26</v>
      </c>
      <c r="B589">
        <v>5</v>
      </c>
      <c r="C589">
        <v>1215625</v>
      </c>
      <c r="D589">
        <v>-7154550.8232987085</v>
      </c>
      <c r="E589">
        <v>4.3503054279331237E-6</v>
      </c>
      <c r="F589">
        <v>8.4234741448604967E-6</v>
      </c>
      <c r="G589">
        <v>-4.073168716927373E-6</v>
      </c>
      <c r="H589" t="b">
        <v>1</v>
      </c>
    </row>
    <row r="590" spans="1:8" x14ac:dyDescent="0.15">
      <c r="A590">
        <v>26</v>
      </c>
      <c r="B590">
        <v>6</v>
      </c>
      <c r="C590">
        <v>1401562.5</v>
      </c>
      <c r="D590">
        <v>9904792577.399292</v>
      </c>
      <c r="E590">
        <v>4.0938410695974082E-5</v>
      </c>
      <c r="F590">
        <v>8.4234741448604967E-6</v>
      </c>
      <c r="G590">
        <v>3.2514936551113586E-5</v>
      </c>
      <c r="H590" t="b">
        <v>0</v>
      </c>
    </row>
    <row r="591" spans="1:8" x14ac:dyDescent="0.15">
      <c r="A591">
        <v>26</v>
      </c>
      <c r="B591">
        <v>7</v>
      </c>
      <c r="C591">
        <v>1308593.75</v>
      </c>
      <c r="D591">
        <v>98131002.499692231</v>
      </c>
      <c r="E591">
        <v>9.6841076378324028E-6</v>
      </c>
      <c r="F591">
        <v>8.4234741448604967E-6</v>
      </c>
      <c r="G591">
        <v>1.2606334929719061E-6</v>
      </c>
      <c r="H591" t="b">
        <v>0</v>
      </c>
    </row>
    <row r="592" spans="1:8" x14ac:dyDescent="0.15">
      <c r="A592">
        <v>26</v>
      </c>
      <c r="B592">
        <v>8</v>
      </c>
      <c r="C592">
        <v>1262109.375</v>
      </c>
      <c r="D592">
        <v>-38569053.991120256</v>
      </c>
      <c r="E592">
        <v>6.3781787010232865E-6</v>
      </c>
      <c r="F592">
        <v>8.4234741448604967E-6</v>
      </c>
      <c r="G592">
        <v>-2.0452954438372101E-6</v>
      </c>
      <c r="H592" t="b">
        <v>1</v>
      </c>
    </row>
    <row r="593" spans="1:8" x14ac:dyDescent="0.15">
      <c r="A593">
        <v>26</v>
      </c>
      <c r="B593">
        <v>9</v>
      </c>
      <c r="C593">
        <v>1285351.5625</v>
      </c>
      <c r="D593">
        <v>-24644959.164507236</v>
      </c>
      <c r="E593">
        <v>7.8749156946018696E-6</v>
      </c>
      <c r="F593">
        <v>8.4234741448604967E-6</v>
      </c>
      <c r="G593">
        <v>-5.4855845025862708E-7</v>
      </c>
      <c r="H593" t="b">
        <v>1</v>
      </c>
    </row>
    <row r="594" spans="1:8" x14ac:dyDescent="0.15">
      <c r="A594">
        <v>26</v>
      </c>
      <c r="B594">
        <v>10</v>
      </c>
      <c r="C594">
        <v>1296972.65625</v>
      </c>
      <c r="D594">
        <v>19045781.307120442</v>
      </c>
      <c r="E594">
        <v>8.7374896128310856E-6</v>
      </c>
      <c r="F594">
        <v>8.4234741448604967E-6</v>
      </c>
      <c r="G594">
        <v>3.1401546797058898E-7</v>
      </c>
      <c r="H594" t="b">
        <v>0</v>
      </c>
    </row>
    <row r="595" spans="1:8" x14ac:dyDescent="0.15">
      <c r="A595">
        <v>26</v>
      </c>
      <c r="B595">
        <v>11</v>
      </c>
      <c r="C595">
        <v>1291162.109375</v>
      </c>
      <c r="D595">
        <v>-6700287.2788781468</v>
      </c>
      <c r="E595">
        <v>8.2960794387865796E-6</v>
      </c>
      <c r="F595">
        <v>8.4234741448604967E-6</v>
      </c>
      <c r="G595">
        <v>-1.2739470607391707E-7</v>
      </c>
      <c r="H595" t="b">
        <v>1</v>
      </c>
    </row>
    <row r="596" spans="1:8" x14ac:dyDescent="0.15">
      <c r="A596">
        <v>26</v>
      </c>
      <c r="B596">
        <v>12</v>
      </c>
      <c r="C596">
        <v>1294067.3828125</v>
      </c>
      <c r="D596">
        <v>5133308.7302625971</v>
      </c>
      <c r="E596">
        <v>8.5142063814121416E-6</v>
      </c>
      <c r="F596">
        <v>8.4234741448604967E-6</v>
      </c>
      <c r="G596">
        <v>9.0732236551644901E-8</v>
      </c>
      <c r="H596" t="b">
        <v>0</v>
      </c>
    </row>
    <row r="597" spans="1:8" x14ac:dyDescent="0.15">
      <c r="A597">
        <v>26</v>
      </c>
      <c r="B597">
        <v>13</v>
      </c>
      <c r="C597">
        <v>1292614.74609375</v>
      </c>
      <c r="D597">
        <v>-1035213.7895507287</v>
      </c>
      <c r="E597">
        <v>8.404505025318883E-6</v>
      </c>
      <c r="F597">
        <v>8.4234741448604967E-6</v>
      </c>
      <c r="G597">
        <v>-1.8969119541613669E-8</v>
      </c>
      <c r="H597" t="b">
        <v>1</v>
      </c>
    </row>
    <row r="598" spans="1:8" x14ac:dyDescent="0.15">
      <c r="A598">
        <v>26</v>
      </c>
      <c r="B598">
        <v>14</v>
      </c>
      <c r="C598">
        <v>1293114.74609375</v>
      </c>
      <c r="D598">
        <v>1030335.504028935</v>
      </c>
      <c r="E598">
        <v>8.4421192677058509E-6</v>
      </c>
      <c r="F598">
        <v>8.4234741448604967E-6</v>
      </c>
      <c r="G598">
        <v>1.8645122845354245E-8</v>
      </c>
      <c r="H598" t="b">
        <v>0</v>
      </c>
    </row>
    <row r="599" spans="1:8" x14ac:dyDescent="0.15">
      <c r="A599">
        <v>26</v>
      </c>
      <c r="B599">
        <v>15</v>
      </c>
      <c r="C599">
        <v>1293714.74609375</v>
      </c>
      <c r="D599">
        <v>3588741.76629776</v>
      </c>
      <c r="E599">
        <v>8.4874581668586836E-6</v>
      </c>
      <c r="F599">
        <v>8.4234741448604967E-6</v>
      </c>
      <c r="G599">
        <v>6.3984021998186925E-8</v>
      </c>
      <c r="H599" t="b">
        <v>0</v>
      </c>
    </row>
    <row r="600" spans="1:8" x14ac:dyDescent="0.15">
      <c r="A600">
        <v>26</v>
      </c>
      <c r="B600">
        <v>16</v>
      </c>
      <c r="C600">
        <v>1293414.74609375</v>
      </c>
      <c r="D600">
        <v>2298629.4971874673</v>
      </c>
      <c r="E600">
        <v>8.4647616677046177E-6</v>
      </c>
      <c r="F600">
        <v>8.4234741448604967E-6</v>
      </c>
      <c r="G600">
        <v>4.1287522844121039E-8</v>
      </c>
      <c r="H600" t="b">
        <v>0</v>
      </c>
    </row>
    <row r="601" spans="1:8" x14ac:dyDescent="0.15">
      <c r="A601">
        <v>26</v>
      </c>
      <c r="B601">
        <v>17</v>
      </c>
      <c r="C601">
        <v>1293054.74609375</v>
      </c>
      <c r="D601">
        <v>779329.71912992757</v>
      </c>
      <c r="E601">
        <v>8.4375981219579212E-6</v>
      </c>
      <c r="F601">
        <v>8.4234741448604967E-6</v>
      </c>
      <c r="G601">
        <v>1.4123977097424509E-8</v>
      </c>
      <c r="H601" t="b">
        <v>0</v>
      </c>
    </row>
    <row r="602" spans="1:8" x14ac:dyDescent="0.15">
      <c r="A602">
        <v>26</v>
      </c>
      <c r="B602">
        <v>18</v>
      </c>
      <c r="C602">
        <v>1293234.74609375</v>
      </c>
      <c r="D602">
        <v>1535025.1101938663</v>
      </c>
      <c r="E602">
        <v>8.4511694062344196E-6</v>
      </c>
      <c r="F602">
        <v>8.4234741448604967E-6</v>
      </c>
      <c r="G602">
        <v>2.7695261373922937E-8</v>
      </c>
      <c r="H602" t="b">
        <v>0</v>
      </c>
    </row>
    <row r="603" spans="1:8" x14ac:dyDescent="0.15">
      <c r="A603">
        <v>26</v>
      </c>
      <c r="B603">
        <v>19</v>
      </c>
      <c r="C603">
        <v>1293144.74609375</v>
      </c>
      <c r="D603">
        <v>1156217.8051123985</v>
      </c>
      <c r="E603">
        <v>8.4443816277796239E-6</v>
      </c>
      <c r="F603">
        <v>8.4234741448604967E-6</v>
      </c>
      <c r="G603">
        <v>2.0907482919127222E-8</v>
      </c>
      <c r="H603" t="b">
        <v>0</v>
      </c>
    </row>
    <row r="604" spans="1:8" x14ac:dyDescent="0.15">
      <c r="A604">
        <v>26</v>
      </c>
      <c r="B604">
        <v>20</v>
      </c>
      <c r="C604">
        <v>1293189.74609375</v>
      </c>
      <c r="D604">
        <v>1345394.8624890221</v>
      </c>
      <c r="E604">
        <v>8.447775224964179E-6</v>
      </c>
      <c r="F604">
        <v>8.4234741448604967E-6</v>
      </c>
      <c r="G604">
        <v>2.4301080103682364E-8</v>
      </c>
      <c r="H604" t="b">
        <v>0</v>
      </c>
    </row>
    <row r="605" spans="1:8" x14ac:dyDescent="0.15">
      <c r="A605">
        <v>26</v>
      </c>
      <c r="B605">
        <v>21</v>
      </c>
      <c r="C605">
        <v>1293167.24609375</v>
      </c>
      <c r="D605">
        <v>1250745.1992572921</v>
      </c>
      <c r="E605">
        <v>8.4460782726454894E-6</v>
      </c>
      <c r="F605">
        <v>8.4234741448604967E-6</v>
      </c>
      <c r="G605">
        <v>2.26041277849927E-8</v>
      </c>
      <c r="H605" t="b">
        <v>0</v>
      </c>
    </row>
    <row r="606" spans="1:8" x14ac:dyDescent="0.15">
      <c r="A606">
        <v>26</v>
      </c>
      <c r="B606">
        <v>22</v>
      </c>
      <c r="C606">
        <v>1293178.49609375</v>
      </c>
      <c r="D606">
        <v>1298018.7385118625</v>
      </c>
      <c r="E606">
        <v>8.4469260648453051E-6</v>
      </c>
      <c r="F606">
        <v>8.4234741448604967E-6</v>
      </c>
      <c r="G606">
        <v>2.3451919984808403E-8</v>
      </c>
      <c r="H606" t="b">
        <v>0</v>
      </c>
    </row>
    <row r="607" spans="1:8" x14ac:dyDescent="0.15">
      <c r="A607">
        <v>27</v>
      </c>
      <c r="B607">
        <v>1</v>
      </c>
      <c r="C607">
        <v>6050000</v>
      </c>
      <c r="D607">
        <v>3.8367849841394714E+18</v>
      </c>
      <c r="E607">
        <v>536.87092200000006</v>
      </c>
      <c r="F607">
        <v>1.1385607990632707E-5</v>
      </c>
      <c r="G607">
        <v>536.87091061439207</v>
      </c>
      <c r="H607" t="b">
        <v>0</v>
      </c>
    </row>
    <row r="608" spans="1:8" x14ac:dyDescent="0.15">
      <c r="A608">
        <v>27</v>
      </c>
      <c r="B608">
        <v>2</v>
      </c>
      <c r="C608">
        <v>3075000</v>
      </c>
      <c r="D608">
        <v>4683640434749664</v>
      </c>
      <c r="E608">
        <v>1.5594415640223598</v>
      </c>
      <c r="F608">
        <v>1.1385607960656685E-5</v>
      </c>
      <c r="G608">
        <v>1.5594301784143991</v>
      </c>
      <c r="H608" t="b">
        <v>0</v>
      </c>
    </row>
    <row r="609" spans="1:8" x14ac:dyDescent="0.15">
      <c r="A609">
        <v>27</v>
      </c>
      <c r="B609">
        <v>3</v>
      </c>
      <c r="C609">
        <v>1587500</v>
      </c>
      <c r="D609">
        <v>2606305587.5411887</v>
      </c>
      <c r="E609">
        <v>2.8715775529919315E-5</v>
      </c>
      <c r="F609">
        <v>1.1385607960680792E-5</v>
      </c>
      <c r="G609">
        <v>1.7330167569238523E-5</v>
      </c>
      <c r="H609" t="b">
        <v>0</v>
      </c>
    </row>
    <row r="610" spans="1:8" x14ac:dyDescent="0.15">
      <c r="A610">
        <v>27</v>
      </c>
      <c r="B610">
        <v>4</v>
      </c>
      <c r="C610">
        <v>843750</v>
      </c>
      <c r="D610">
        <v>-36333.785834928807</v>
      </c>
      <c r="E610">
        <v>-5.5807013160976763E-6</v>
      </c>
      <c r="F610">
        <v>1.1385607960680793E-5</v>
      </c>
      <c r="G610">
        <v>-1.696630927677847E-5</v>
      </c>
      <c r="H610" t="b">
        <v>1</v>
      </c>
    </row>
    <row r="611" spans="1:8" x14ac:dyDescent="0.15">
      <c r="A611">
        <v>27</v>
      </c>
      <c r="B611">
        <v>5</v>
      </c>
      <c r="C611">
        <v>1215625</v>
      </c>
      <c r="D611">
        <v>-391930.80483131873</v>
      </c>
      <c r="E611">
        <v>1.8837421284594315E-6</v>
      </c>
      <c r="F611">
        <v>1.1385607960680792E-5</v>
      </c>
      <c r="G611">
        <v>-9.5018658322213604E-6</v>
      </c>
      <c r="H611" t="b">
        <v>1</v>
      </c>
    </row>
    <row r="612" spans="1:8" x14ac:dyDescent="0.15">
      <c r="A612">
        <v>27</v>
      </c>
      <c r="B612">
        <v>6</v>
      </c>
      <c r="C612">
        <v>1401562.5</v>
      </c>
      <c r="D612">
        <v>-11154680.038224708</v>
      </c>
      <c r="E612">
        <v>6.2874579725559771E-6</v>
      </c>
      <c r="F612">
        <v>1.1385607960680792E-5</v>
      </c>
      <c r="G612">
        <v>-5.0981499881248146E-6</v>
      </c>
      <c r="H612" t="b">
        <v>1</v>
      </c>
    </row>
    <row r="613" spans="1:8" x14ac:dyDescent="0.15">
      <c r="A613">
        <v>27</v>
      </c>
      <c r="B613">
        <v>7</v>
      </c>
      <c r="C613">
        <v>1494531.25</v>
      </c>
      <c r="D613">
        <v>-7764598.4814359481</v>
      </c>
      <c r="E613">
        <v>1.120318530288243E-5</v>
      </c>
      <c r="F613">
        <v>1.1385607960680792E-5</v>
      </c>
      <c r="G613">
        <v>-1.8242265779836208E-7</v>
      </c>
      <c r="H613" t="b">
        <v>1</v>
      </c>
    </row>
    <row r="614" spans="1:8" x14ac:dyDescent="0.15">
      <c r="A614">
        <v>27</v>
      </c>
      <c r="B614">
        <v>8</v>
      </c>
      <c r="C614">
        <v>1541015.625</v>
      </c>
      <c r="D614">
        <v>482500307.23571366</v>
      </c>
      <c r="E614">
        <v>1.6533203446762186E-5</v>
      </c>
      <c r="F614">
        <v>1.1385607960680792E-5</v>
      </c>
      <c r="G614">
        <v>5.1475954860813944E-6</v>
      </c>
      <c r="H614" t="b">
        <v>0</v>
      </c>
    </row>
    <row r="615" spans="1:8" x14ac:dyDescent="0.15">
      <c r="A615">
        <v>27</v>
      </c>
      <c r="B615">
        <v>9</v>
      </c>
      <c r="C615">
        <v>1517773.4375</v>
      </c>
      <c r="D615">
        <v>87891919.373433232</v>
      </c>
      <c r="E615">
        <v>1.2870004038967759E-5</v>
      </c>
      <c r="F615">
        <v>1.1385607960680792E-5</v>
      </c>
      <c r="G615">
        <v>1.4843960782869672E-6</v>
      </c>
      <c r="H615" t="b">
        <v>0</v>
      </c>
    </row>
    <row r="616" spans="1:8" x14ac:dyDescent="0.15">
      <c r="A616">
        <v>27</v>
      </c>
      <c r="B616">
        <v>10</v>
      </c>
      <c r="C616">
        <v>1506152.34375</v>
      </c>
      <c r="D616">
        <v>31746086.595482796</v>
      </c>
      <c r="E616">
        <v>1.2011792590722328E-5</v>
      </c>
      <c r="F616">
        <v>1.1385607960680792E-5</v>
      </c>
      <c r="G616">
        <v>6.2618463004153635E-7</v>
      </c>
      <c r="H616" t="b">
        <v>0</v>
      </c>
    </row>
    <row r="617" spans="1:8" x14ac:dyDescent="0.15">
      <c r="A617">
        <v>27</v>
      </c>
      <c r="B617">
        <v>11</v>
      </c>
      <c r="C617">
        <v>1500341.796875</v>
      </c>
      <c r="D617">
        <v>10044669.042434856</v>
      </c>
      <c r="E617">
        <v>1.160125422284264E-5</v>
      </c>
      <c r="F617">
        <v>1.1385607960680792E-5</v>
      </c>
      <c r="G617">
        <v>2.1564626216184809E-7</v>
      </c>
      <c r="H617" t="b">
        <v>0</v>
      </c>
    </row>
    <row r="618" spans="1:8" x14ac:dyDescent="0.15">
      <c r="A618">
        <v>27</v>
      </c>
      <c r="B618">
        <v>12</v>
      </c>
      <c r="C618">
        <v>1497436.5234375</v>
      </c>
      <c r="D618">
        <v>671585.08450053481</v>
      </c>
      <c r="E618">
        <v>1.1400679962931825E-5</v>
      </c>
      <c r="F618">
        <v>1.1385607960680792E-5</v>
      </c>
      <c r="G618">
        <v>1.5072002251033406E-8</v>
      </c>
      <c r="H618" t="b">
        <v>0</v>
      </c>
    </row>
    <row r="619" spans="1:8" x14ac:dyDescent="0.15">
      <c r="A619">
        <v>27</v>
      </c>
      <c r="B619">
        <v>13</v>
      </c>
      <c r="C619">
        <v>1498889.16015625</v>
      </c>
      <c r="D619">
        <v>5238803.4569052691</v>
      </c>
      <c r="E619">
        <v>1.1500580535544048E-5</v>
      </c>
      <c r="F619">
        <v>1.1385607960680792E-5</v>
      </c>
      <c r="G619">
        <v>1.1497257486325659E-7</v>
      </c>
      <c r="H619" t="b">
        <v>0</v>
      </c>
    </row>
    <row r="620" spans="1:8" x14ac:dyDescent="0.15">
      <c r="A620">
        <v>27</v>
      </c>
      <c r="B620">
        <v>14</v>
      </c>
      <c r="C620">
        <v>1498389.16015625</v>
      </c>
      <c r="D620">
        <v>3640055.6693382626</v>
      </c>
      <c r="E620">
        <v>1.1466107652013197E-5</v>
      </c>
      <c r="F620">
        <v>1.1385607960680792E-5</v>
      </c>
      <c r="G620">
        <v>8.0499691332405537E-8</v>
      </c>
      <c r="H620" t="b">
        <v>0</v>
      </c>
    </row>
    <row r="621" spans="1:8" x14ac:dyDescent="0.15">
      <c r="A621">
        <v>27</v>
      </c>
      <c r="B621">
        <v>15</v>
      </c>
      <c r="C621">
        <v>1497789.16015625</v>
      </c>
      <c r="D621">
        <v>1758630.6925326716</v>
      </c>
      <c r="E621">
        <v>1.1424861035780808E-5</v>
      </c>
      <c r="F621">
        <v>1.1385607960680792E-5</v>
      </c>
      <c r="G621">
        <v>3.9253075100015872E-8</v>
      </c>
      <c r="H621" t="b">
        <v>0</v>
      </c>
    </row>
    <row r="622" spans="1:8" x14ac:dyDescent="0.15">
      <c r="A622">
        <v>27</v>
      </c>
      <c r="B622">
        <v>16</v>
      </c>
      <c r="C622">
        <v>1497069.16015625</v>
      </c>
      <c r="D622">
        <v>-446147.36648725584</v>
      </c>
      <c r="E622">
        <v>1.1375537997891444E-5</v>
      </c>
      <c r="F622">
        <v>1.1385607960680792E-5</v>
      </c>
      <c r="G622">
        <v>-1.0069962789347679E-8</v>
      </c>
      <c r="H622" t="b">
        <v>1</v>
      </c>
    </row>
    <row r="623" spans="1:8" x14ac:dyDescent="0.15">
      <c r="A623">
        <v>27</v>
      </c>
      <c r="B623">
        <v>17</v>
      </c>
      <c r="C623">
        <v>1497429.16015625</v>
      </c>
      <c r="D623">
        <v>649034.84002142772</v>
      </c>
      <c r="E623">
        <v>1.1400175544325161E-5</v>
      </c>
      <c r="F623">
        <v>1.1385607960680792E-5</v>
      </c>
      <c r="G623">
        <v>1.4567583644368957E-8</v>
      </c>
      <c r="H623" t="b">
        <v>0</v>
      </c>
    </row>
    <row r="624" spans="1:8" x14ac:dyDescent="0.15">
      <c r="A624">
        <v>27</v>
      </c>
      <c r="B624">
        <v>18</v>
      </c>
      <c r="C624">
        <v>1497861.16015625</v>
      </c>
      <c r="D624">
        <v>1982275.8785906206</v>
      </c>
      <c r="E624">
        <v>1.1429803679184497E-5</v>
      </c>
      <c r="F624">
        <v>1.1385607960680792E-5</v>
      </c>
      <c r="G624">
        <v>4.4195718503705364E-8</v>
      </c>
      <c r="H624" t="b">
        <v>0</v>
      </c>
    </row>
    <row r="625" spans="1:8" x14ac:dyDescent="0.15">
      <c r="A625">
        <v>27</v>
      </c>
      <c r="B625">
        <v>19</v>
      </c>
      <c r="C625">
        <v>1497645.16015625</v>
      </c>
      <c r="D625">
        <v>1313073.9665439033</v>
      </c>
      <c r="E625">
        <v>1.14149814298247E-5</v>
      </c>
      <c r="F625">
        <v>1.1385607960680792E-5</v>
      </c>
      <c r="G625">
        <v>2.9373469143908663E-8</v>
      </c>
      <c r="H625" t="b">
        <v>0</v>
      </c>
    </row>
    <row r="626" spans="1:8" x14ac:dyDescent="0.15">
      <c r="A626">
        <v>27</v>
      </c>
      <c r="B626">
        <v>20</v>
      </c>
      <c r="C626">
        <v>1497753.16015625</v>
      </c>
      <c r="D626">
        <v>1646994.5854766986</v>
      </c>
      <c r="E626">
        <v>1.1422389752678987E-5</v>
      </c>
      <c r="F626">
        <v>1.1385607960680792E-5</v>
      </c>
      <c r="G626">
        <v>3.6781791998195216E-8</v>
      </c>
      <c r="H626" t="b">
        <v>0</v>
      </c>
    </row>
    <row r="627" spans="1:8" x14ac:dyDescent="0.15">
      <c r="A627">
        <v>27</v>
      </c>
      <c r="B627">
        <v>21</v>
      </c>
      <c r="C627">
        <v>1497699.16015625</v>
      </c>
      <c r="D627">
        <v>1479856.7884497652</v>
      </c>
      <c r="E627">
        <v>1.1418684723274275E-5</v>
      </c>
      <c r="F627">
        <v>1.1385607960680792E-5</v>
      </c>
      <c r="G627">
        <v>3.3076762593483729E-8</v>
      </c>
      <c r="H627" t="b">
        <v>0</v>
      </c>
    </row>
    <row r="628" spans="1:8" x14ac:dyDescent="0.15">
      <c r="A628">
        <v>27</v>
      </c>
      <c r="B628">
        <v>22</v>
      </c>
      <c r="C628">
        <v>1497726.16015625</v>
      </c>
      <c r="D628">
        <v>1563415.3668231249</v>
      </c>
      <c r="E628">
        <v>1.1420537776337605E-5</v>
      </c>
      <c r="F628">
        <v>1.1385607960680792E-5</v>
      </c>
      <c r="G628">
        <v>3.492981565681362E-8</v>
      </c>
      <c r="H628" t="b">
        <v>0</v>
      </c>
    </row>
    <row r="629" spans="1:8" x14ac:dyDescent="0.15">
      <c r="A629">
        <v>27</v>
      </c>
      <c r="B629">
        <v>23</v>
      </c>
      <c r="C629">
        <v>1497712.66015625</v>
      </c>
      <c r="D629">
        <v>1521610.7808954907</v>
      </c>
      <c r="E629">
        <v>1.141961088078529E-5</v>
      </c>
      <c r="F629">
        <v>1.1385607960680792E-5</v>
      </c>
      <c r="G629">
        <v>3.4002920104498049E-8</v>
      </c>
      <c r="H629" t="b">
        <v>0</v>
      </c>
    </row>
    <row r="630" spans="1:8" x14ac:dyDescent="0.15">
      <c r="A630">
        <v>27</v>
      </c>
      <c r="B630">
        <v>24</v>
      </c>
      <c r="C630">
        <v>1497696.46015625</v>
      </c>
      <c r="D630">
        <v>1471538.6832087555</v>
      </c>
      <c r="E630">
        <v>1.1418500171099462E-5</v>
      </c>
      <c r="F630">
        <v>1.1385607960680792E-5</v>
      </c>
      <c r="G630">
        <v>3.2892210418670223E-8</v>
      </c>
      <c r="H630" t="b">
        <v>0</v>
      </c>
    </row>
    <row r="631" spans="1:8" x14ac:dyDescent="0.15">
      <c r="A631">
        <v>27</v>
      </c>
      <c r="B631">
        <v>25</v>
      </c>
      <c r="C631">
        <v>1497704.5601562501</v>
      </c>
      <c r="D631">
        <v>1496586.2159831477</v>
      </c>
      <c r="E631">
        <v>1.1419055849671611E-5</v>
      </c>
      <c r="F631">
        <v>1.1385607960680792E-5</v>
      </c>
      <c r="G631">
        <v>3.3447888990819795E-8</v>
      </c>
      <c r="H631" t="b">
        <v>0</v>
      </c>
    </row>
    <row r="632" spans="1:8" x14ac:dyDescent="0.15">
      <c r="A632">
        <v>28</v>
      </c>
      <c r="B632">
        <v>1</v>
      </c>
      <c r="C632">
        <v>6050000</v>
      </c>
      <c r="D632">
        <v>2.3172942357250068E+18</v>
      </c>
      <c r="E632">
        <v>536.87092200000006</v>
      </c>
      <c r="F632">
        <v>1.7797705027078337E-5</v>
      </c>
      <c r="G632">
        <v>536.87090420229504</v>
      </c>
      <c r="H632" t="b">
        <v>0</v>
      </c>
    </row>
    <row r="633" spans="1:8" x14ac:dyDescent="0.15">
      <c r="A633">
        <v>28</v>
      </c>
      <c r="B633">
        <v>2</v>
      </c>
      <c r="C633">
        <v>3075000</v>
      </c>
      <c r="D633">
        <v>2.3172942357250068E+18</v>
      </c>
      <c r="E633">
        <v>536.87092200000006</v>
      </c>
      <c r="F633">
        <v>1.7797705027078337E-5</v>
      </c>
      <c r="G633">
        <v>536.87090420229504</v>
      </c>
      <c r="H633" t="b">
        <v>0</v>
      </c>
    </row>
    <row r="634" spans="1:8" x14ac:dyDescent="0.15">
      <c r="A634">
        <v>28</v>
      </c>
      <c r="B634">
        <v>3</v>
      </c>
      <c r="C634">
        <v>1587500</v>
      </c>
      <c r="D634">
        <v>18037385980349.859</v>
      </c>
      <c r="E634">
        <v>2.2774857812016783E-2</v>
      </c>
      <c r="F634">
        <v>1.7797704991568547E-5</v>
      </c>
      <c r="G634">
        <v>2.2757060107025214E-2</v>
      </c>
      <c r="H634" t="b">
        <v>0</v>
      </c>
    </row>
    <row r="635" spans="1:8" x14ac:dyDescent="0.15">
      <c r="A635">
        <v>28</v>
      </c>
      <c r="B635">
        <v>4</v>
      </c>
      <c r="C635">
        <v>843750</v>
      </c>
      <c r="D635">
        <v>-79162.902046800402</v>
      </c>
      <c r="E635">
        <v>-1.2951019183497705E-6</v>
      </c>
      <c r="F635">
        <v>1.7797704991570021E-5</v>
      </c>
      <c r="G635">
        <v>-1.9092806909919791E-5</v>
      </c>
      <c r="H635" t="b">
        <v>1</v>
      </c>
    </row>
    <row r="636" spans="1:8" x14ac:dyDescent="0.15">
      <c r="A636">
        <v>28</v>
      </c>
      <c r="B636">
        <v>5</v>
      </c>
      <c r="C636">
        <v>1215625</v>
      </c>
      <c r="D636">
        <v>8616785432.1979561</v>
      </c>
      <c r="E636">
        <v>7.7138258122660323E-5</v>
      </c>
      <c r="F636">
        <v>1.7797704991570024E-5</v>
      </c>
      <c r="G636">
        <v>5.9340553131090299E-5</v>
      </c>
      <c r="H636" t="b">
        <v>0</v>
      </c>
    </row>
    <row r="637" spans="1:8" x14ac:dyDescent="0.15">
      <c r="A637">
        <v>28</v>
      </c>
      <c r="B637">
        <v>6</v>
      </c>
      <c r="C637">
        <v>1029687.5</v>
      </c>
      <c r="D637">
        <v>-614661.88760141726</v>
      </c>
      <c r="E637">
        <v>4.8513212744620619E-6</v>
      </c>
      <c r="F637">
        <v>1.7797704991570021E-5</v>
      </c>
      <c r="G637">
        <v>-1.2946383717107958E-5</v>
      </c>
      <c r="H637" t="b">
        <v>1</v>
      </c>
    </row>
    <row r="638" spans="1:8" x14ac:dyDescent="0.15">
      <c r="A638">
        <v>28</v>
      </c>
      <c r="B638">
        <v>7</v>
      </c>
      <c r="C638">
        <v>1122656.25</v>
      </c>
      <c r="D638">
        <v>-87081533.99082531</v>
      </c>
      <c r="E638">
        <v>1.3137846666762522E-5</v>
      </c>
      <c r="F638">
        <v>1.7797704991570021E-5</v>
      </c>
      <c r="G638">
        <v>-4.6598583248074986E-6</v>
      </c>
      <c r="H638" t="b">
        <v>1</v>
      </c>
    </row>
    <row r="639" spans="1:8" x14ac:dyDescent="0.15">
      <c r="A639">
        <v>28</v>
      </c>
      <c r="B639">
        <v>8</v>
      </c>
      <c r="C639">
        <v>1169140.625</v>
      </c>
      <c r="D639">
        <v>1313616868.05705</v>
      </c>
      <c r="E639">
        <v>3.1969912537072299E-5</v>
      </c>
      <c r="F639">
        <v>1.7797704991570021E-5</v>
      </c>
      <c r="G639">
        <v>1.4172207545502278E-5</v>
      </c>
      <c r="H639" t="b">
        <v>0</v>
      </c>
    </row>
    <row r="640" spans="1:8" x14ac:dyDescent="0.15">
      <c r="A640">
        <v>28</v>
      </c>
      <c r="B640">
        <v>9</v>
      </c>
      <c r="C640">
        <v>1145898.4375</v>
      </c>
      <c r="D640">
        <v>139416980.46503961</v>
      </c>
      <c r="E640">
        <v>2.0145797218896242E-5</v>
      </c>
      <c r="F640">
        <v>1.7797704991570021E-5</v>
      </c>
      <c r="G640">
        <v>2.3480922273262215E-6</v>
      </c>
      <c r="H640" t="b">
        <v>0</v>
      </c>
    </row>
    <row r="641" spans="1:8" x14ac:dyDescent="0.15">
      <c r="A641">
        <v>28</v>
      </c>
      <c r="B641">
        <v>10</v>
      </c>
      <c r="C641">
        <v>1134277.34375</v>
      </c>
      <c r="D641">
        <v>-67271459.678960323</v>
      </c>
      <c r="E641">
        <v>1.5898703479790875E-5</v>
      </c>
      <c r="F641">
        <v>1.7797704991570021E-5</v>
      </c>
      <c r="G641">
        <v>-1.8990015117791458E-6</v>
      </c>
      <c r="H641" t="b">
        <v>1</v>
      </c>
    </row>
    <row r="642" spans="1:8" x14ac:dyDescent="0.15">
      <c r="A642">
        <v>28</v>
      </c>
      <c r="B642">
        <v>11</v>
      </c>
      <c r="C642">
        <v>1140087.890625</v>
      </c>
      <c r="D642">
        <v>5181462.5374042066</v>
      </c>
      <c r="E642">
        <v>1.7907787723455556E-5</v>
      </c>
      <c r="F642">
        <v>1.7797704991570021E-5</v>
      </c>
      <c r="G642">
        <v>1.1008273188553499E-7</v>
      </c>
      <c r="H642" t="b">
        <v>0</v>
      </c>
    </row>
    <row r="643" spans="1:8" x14ac:dyDescent="0.15">
      <c r="A643">
        <v>28</v>
      </c>
      <c r="B643">
        <v>12</v>
      </c>
      <c r="C643">
        <v>1137182.6171875</v>
      </c>
      <c r="D643">
        <v>-37957121.981697328</v>
      </c>
      <c r="E643">
        <v>1.6875410792156141E-5</v>
      </c>
      <c r="F643">
        <v>1.7797704991570021E-5</v>
      </c>
      <c r="G643">
        <v>-9.2229419941388006E-7</v>
      </c>
      <c r="H643" t="b">
        <v>1</v>
      </c>
    </row>
    <row r="644" spans="1:8" x14ac:dyDescent="0.15">
      <c r="A644">
        <v>28</v>
      </c>
      <c r="B644">
        <v>13</v>
      </c>
      <c r="C644">
        <v>1138635.25390625</v>
      </c>
      <c r="D644">
        <v>-18219894.070913624</v>
      </c>
      <c r="E644">
        <v>1.7384460244540573E-5</v>
      </c>
      <c r="F644">
        <v>1.7797704991570021E-5</v>
      </c>
      <c r="G644">
        <v>-4.1324474702944745E-7</v>
      </c>
      <c r="H644" t="b">
        <v>1</v>
      </c>
    </row>
    <row r="645" spans="1:8" x14ac:dyDescent="0.15">
      <c r="A645">
        <v>28</v>
      </c>
      <c r="B645">
        <v>14</v>
      </c>
      <c r="C645">
        <v>1139135.25390625</v>
      </c>
      <c r="D645">
        <v>-10589409.065785261</v>
      </c>
      <c r="E645">
        <v>1.7562960050686721E-5</v>
      </c>
      <c r="F645">
        <v>1.7797704991570021E-5</v>
      </c>
      <c r="G645">
        <v>-2.3474494088329996E-7</v>
      </c>
      <c r="H645" t="b">
        <v>1</v>
      </c>
    </row>
    <row r="646" spans="1:8" x14ac:dyDescent="0.15">
      <c r="A646">
        <v>28</v>
      </c>
      <c r="B646">
        <v>15</v>
      </c>
      <c r="C646">
        <v>1139635.25390625</v>
      </c>
      <c r="D646">
        <v>-2516205.7494189427</v>
      </c>
      <c r="E646">
        <v>1.7743165990577514E-5</v>
      </c>
      <c r="F646">
        <v>1.7797704991570021E-5</v>
      </c>
      <c r="G646">
        <v>-5.453900099250671E-8</v>
      </c>
      <c r="H646" t="b">
        <v>1</v>
      </c>
    </row>
    <row r="647" spans="1:8" x14ac:dyDescent="0.15">
      <c r="A647">
        <v>28</v>
      </c>
      <c r="B647">
        <v>16</v>
      </c>
      <c r="C647">
        <v>1140135.25390625</v>
      </c>
      <c r="D647">
        <v>6008575.781980562</v>
      </c>
      <c r="E647">
        <v>1.7925095301750258E-5</v>
      </c>
      <c r="F647">
        <v>1.7797704991570021E-5</v>
      </c>
      <c r="G647">
        <v>1.2739031018023722E-7</v>
      </c>
      <c r="H647" t="b">
        <v>0</v>
      </c>
    </row>
    <row r="648" spans="1:8" x14ac:dyDescent="0.15">
      <c r="A648">
        <v>28</v>
      </c>
      <c r="B648">
        <v>17</v>
      </c>
      <c r="C648">
        <v>1139885.25390625</v>
      </c>
      <c r="D648">
        <v>1689153.1786642524</v>
      </c>
      <c r="E648">
        <v>1.7833913569228063E-5</v>
      </c>
      <c r="F648">
        <v>1.7797704991570021E-5</v>
      </c>
      <c r="G648">
        <v>3.6208577658041955E-8</v>
      </c>
      <c r="H648" t="b">
        <v>0</v>
      </c>
    </row>
    <row r="649" spans="1:8" x14ac:dyDescent="0.15">
      <c r="A649">
        <v>28</v>
      </c>
      <c r="B649">
        <v>18</v>
      </c>
      <c r="C649">
        <v>1139585.25390625</v>
      </c>
      <c r="D649">
        <v>-3343611.6048725252</v>
      </c>
      <c r="E649">
        <v>1.7725070070597223E-5</v>
      </c>
      <c r="F649">
        <v>1.7797704991570021E-5</v>
      </c>
      <c r="G649">
        <v>-7.2634920972797424E-8</v>
      </c>
      <c r="H649" t="b">
        <v>1</v>
      </c>
    </row>
    <row r="650" spans="1:8" x14ac:dyDescent="0.15">
      <c r="A650">
        <v>28</v>
      </c>
      <c r="B650">
        <v>19</v>
      </c>
      <c r="C650">
        <v>1139735.25390625</v>
      </c>
      <c r="D650">
        <v>-847668.11311157164</v>
      </c>
      <c r="E650">
        <v>1.7779413275352081E-5</v>
      </c>
      <c r="F650">
        <v>1.7797704991570021E-5</v>
      </c>
      <c r="G650">
        <v>-1.8291716217939372E-8</v>
      </c>
      <c r="H650" t="b">
        <v>1</v>
      </c>
    </row>
    <row r="651" spans="1:8" x14ac:dyDescent="0.15">
      <c r="A651">
        <v>28</v>
      </c>
      <c r="B651">
        <v>20</v>
      </c>
      <c r="C651">
        <v>1139885.25390625</v>
      </c>
      <c r="D651">
        <v>1689153.1786642524</v>
      </c>
      <c r="E651">
        <v>1.7833913569228063E-5</v>
      </c>
      <c r="F651">
        <v>1.7797704991570021E-5</v>
      </c>
      <c r="G651">
        <v>3.6208577658041955E-8</v>
      </c>
      <c r="H651" t="b">
        <v>0</v>
      </c>
    </row>
    <row r="652" spans="1:8" x14ac:dyDescent="0.15">
      <c r="A652">
        <v>28</v>
      </c>
      <c r="B652">
        <v>21</v>
      </c>
      <c r="C652">
        <v>1139810.25390625</v>
      </c>
      <c r="D652">
        <v>415628.7286143651</v>
      </c>
      <c r="E652">
        <v>1.7806643997350627E-5</v>
      </c>
      <c r="F652">
        <v>1.7797704991570021E-5</v>
      </c>
      <c r="G652">
        <v>8.9390057806060458E-9</v>
      </c>
      <c r="H652" t="b">
        <v>0</v>
      </c>
    </row>
    <row r="653" spans="1:8" x14ac:dyDescent="0.15">
      <c r="A653">
        <v>28</v>
      </c>
      <c r="B653">
        <v>22</v>
      </c>
      <c r="C653">
        <v>1139847.75390625</v>
      </c>
      <c r="D653">
        <v>1051110.6397966889</v>
      </c>
      <c r="E653">
        <v>1.7820273923847477E-5</v>
      </c>
      <c r="F653">
        <v>1.7797704991570021E-5</v>
      </c>
      <c r="G653">
        <v>2.2568932277456614E-8</v>
      </c>
      <c r="H653" t="b">
        <v>0</v>
      </c>
    </row>
    <row r="654" spans="1:8" x14ac:dyDescent="0.15">
      <c r="A654">
        <v>28</v>
      </c>
      <c r="B654">
        <v>23</v>
      </c>
      <c r="C654">
        <v>1139892.75390625</v>
      </c>
      <c r="D654">
        <v>1817158.7251665038</v>
      </c>
      <c r="E654">
        <v>1.7836644572611774E-5</v>
      </c>
      <c r="F654">
        <v>1.7797704991570021E-5</v>
      </c>
      <c r="G654">
        <v>3.8939581041752867E-8</v>
      </c>
      <c r="H654" t="b">
        <v>0</v>
      </c>
    </row>
    <row r="655" spans="1:8" x14ac:dyDescent="0.15">
      <c r="A655">
        <v>28</v>
      </c>
      <c r="B655">
        <v>24</v>
      </c>
      <c r="C655">
        <v>1139870.25390625</v>
      </c>
      <c r="D655">
        <v>1433717.8634393967</v>
      </c>
      <c r="E655">
        <v>1.7828458450931412E-5</v>
      </c>
      <c r="F655">
        <v>1.7797704991570021E-5</v>
      </c>
      <c r="G655">
        <v>3.07534593613913E-8</v>
      </c>
      <c r="H655" t="b">
        <v>0</v>
      </c>
    </row>
    <row r="656" spans="1:8" x14ac:dyDescent="0.15">
      <c r="A656">
        <v>28</v>
      </c>
      <c r="B656">
        <v>25</v>
      </c>
      <c r="C656">
        <v>1139843.25390625</v>
      </c>
      <c r="D656">
        <v>974717.68280426285</v>
      </c>
      <c r="E656">
        <v>1.7818637819637571E-5</v>
      </c>
      <c r="F656">
        <v>1.7797704991570021E-5</v>
      </c>
      <c r="G656">
        <v>2.0932828067550194E-8</v>
      </c>
      <c r="H656" t="b">
        <v>0</v>
      </c>
    </row>
    <row r="657" spans="1:8" x14ac:dyDescent="0.15">
      <c r="A657">
        <v>28</v>
      </c>
      <c r="B657">
        <v>26</v>
      </c>
      <c r="C657">
        <v>1139856.75390625</v>
      </c>
      <c r="D657">
        <v>1204007.1793122392</v>
      </c>
      <c r="E657">
        <v>1.7823546552133774E-5</v>
      </c>
      <c r="F657">
        <v>1.7797704991570021E-5</v>
      </c>
      <c r="G657">
        <v>2.584156056375275E-8</v>
      </c>
      <c r="H657" t="b">
        <v>0</v>
      </c>
    </row>
    <row r="658" spans="1:8" x14ac:dyDescent="0.15">
      <c r="A658">
        <v>28</v>
      </c>
      <c r="B658">
        <v>27</v>
      </c>
      <c r="C658">
        <v>1139850.00390625</v>
      </c>
      <c r="D658">
        <v>1089320.9453046175</v>
      </c>
      <c r="E658">
        <v>1.7821092028434265E-5</v>
      </c>
      <c r="F658">
        <v>1.7797704991570021E-5</v>
      </c>
      <c r="G658">
        <v>2.3387036864244281E-8</v>
      </c>
      <c r="H658" t="b">
        <v>0</v>
      </c>
    </row>
    <row r="659" spans="1:8" x14ac:dyDescent="0.15">
      <c r="A659">
        <v>28</v>
      </c>
      <c r="B659">
        <v>28</v>
      </c>
      <c r="C659">
        <v>1139853.37890625</v>
      </c>
      <c r="D659">
        <v>1146653.6895582648</v>
      </c>
      <c r="E659">
        <v>1.7822319250919835E-5</v>
      </c>
      <c r="F659">
        <v>1.7797704991570021E-5</v>
      </c>
      <c r="G659">
        <v>2.4614259349814335E-8</v>
      </c>
      <c r="H659" t="b">
        <v>0</v>
      </c>
    </row>
    <row r="660" spans="1:8" x14ac:dyDescent="0.15">
      <c r="A660">
        <v>29</v>
      </c>
      <c r="B660">
        <v>1</v>
      </c>
      <c r="C660">
        <v>6050000</v>
      </c>
      <c r="D660">
        <v>1.3416122969941366E+18</v>
      </c>
      <c r="E660">
        <v>212.16268336299265</v>
      </c>
      <c r="F660">
        <v>1.1324400702505955E-5</v>
      </c>
      <c r="G660">
        <v>212.16267203859195</v>
      </c>
      <c r="H660" t="b">
        <v>0</v>
      </c>
    </row>
    <row r="661" spans="1:8" x14ac:dyDescent="0.15">
      <c r="A661">
        <v>29</v>
      </c>
      <c r="B661">
        <v>2</v>
      </c>
      <c r="C661">
        <v>3075000</v>
      </c>
      <c r="D661">
        <v>52666766156171.656</v>
      </c>
      <c r="E661">
        <v>3.6295369148270577E-2</v>
      </c>
      <c r="F661">
        <v>1.1324400695233994E-5</v>
      </c>
      <c r="G661">
        <v>3.6284044747575343E-2</v>
      </c>
      <c r="H661" t="b">
        <v>0</v>
      </c>
    </row>
    <row r="662" spans="1:8" x14ac:dyDescent="0.15">
      <c r="A662">
        <v>29</v>
      </c>
      <c r="B662">
        <v>3</v>
      </c>
      <c r="C662">
        <v>1587500</v>
      </c>
      <c r="D662">
        <v>-1786634.612708142</v>
      </c>
      <c r="E662">
        <v>4.158194277676098E-6</v>
      </c>
      <c r="F662">
        <v>1.1324400695231637E-5</v>
      </c>
      <c r="G662">
        <v>-7.1662064175555392E-6</v>
      </c>
      <c r="H662" t="b">
        <v>1</v>
      </c>
    </row>
    <row r="663" spans="1:8" x14ac:dyDescent="0.15">
      <c r="A663">
        <v>29</v>
      </c>
      <c r="B663">
        <v>4</v>
      </c>
      <c r="C663">
        <v>2331250</v>
      </c>
      <c r="D663">
        <v>368460615075.10071</v>
      </c>
      <c r="E663">
        <v>7.0870614549771351E-4</v>
      </c>
      <c r="F663">
        <v>1.1324400695231608E-5</v>
      </c>
      <c r="G663">
        <v>6.9738174480248191E-4</v>
      </c>
      <c r="H663" t="b">
        <v>0</v>
      </c>
    </row>
    <row r="664" spans="1:8" x14ac:dyDescent="0.15">
      <c r="A664">
        <v>29</v>
      </c>
      <c r="B664">
        <v>5</v>
      </c>
      <c r="C664">
        <v>1959375</v>
      </c>
      <c r="D664">
        <v>6678775897.5081673</v>
      </c>
      <c r="E664">
        <v>4.6144895742430923E-5</v>
      </c>
      <c r="F664">
        <v>1.1324400695231636E-5</v>
      </c>
      <c r="G664">
        <v>3.4820495047199287E-5</v>
      </c>
      <c r="H664" t="b">
        <v>0</v>
      </c>
    </row>
    <row r="665" spans="1:8" x14ac:dyDescent="0.15">
      <c r="A665">
        <v>29</v>
      </c>
      <c r="B665">
        <v>6</v>
      </c>
      <c r="C665">
        <v>1773437.5</v>
      </c>
      <c r="D665">
        <v>-26775151.580603272</v>
      </c>
      <c r="E665">
        <v>1.0588759759171467E-5</v>
      </c>
      <c r="F665">
        <v>1.1324400695231637E-5</v>
      </c>
      <c r="G665">
        <v>-7.356409360601703E-7</v>
      </c>
      <c r="H665" t="b">
        <v>1</v>
      </c>
    </row>
    <row r="666" spans="1:8" x14ac:dyDescent="0.15">
      <c r="A666">
        <v>29</v>
      </c>
      <c r="B666">
        <v>7</v>
      </c>
      <c r="C666">
        <v>1866406.25</v>
      </c>
      <c r="D666">
        <v>1069635402.6206148</v>
      </c>
      <c r="E666">
        <v>2.0165706942118967E-5</v>
      </c>
      <c r="F666">
        <v>1.1324400695231637E-5</v>
      </c>
      <c r="G666">
        <v>8.8413062468873301E-6</v>
      </c>
      <c r="H666" t="b">
        <v>0</v>
      </c>
    </row>
    <row r="667" spans="1:8" x14ac:dyDescent="0.15">
      <c r="A667">
        <v>29</v>
      </c>
      <c r="B667">
        <v>8</v>
      </c>
      <c r="C667">
        <v>1819921.875</v>
      </c>
      <c r="D667">
        <v>114285148.80211353</v>
      </c>
      <c r="E667">
        <v>1.3166031917115944E-5</v>
      </c>
      <c r="F667">
        <v>1.1324400695231637E-5</v>
      </c>
      <c r="G667">
        <v>1.8416312218843066E-6</v>
      </c>
      <c r="H667" t="b">
        <v>0</v>
      </c>
    </row>
    <row r="668" spans="1:8" x14ac:dyDescent="0.15">
      <c r="A668">
        <v>29</v>
      </c>
      <c r="B668">
        <v>9</v>
      </c>
      <c r="C668">
        <v>1796679.6875</v>
      </c>
      <c r="D668">
        <v>24062917.791565884</v>
      </c>
      <c r="E668">
        <v>1.1817909419489229E-5</v>
      </c>
      <c r="F668">
        <v>1.1324400695231637E-5</v>
      </c>
      <c r="G668">
        <v>4.9350872425759151E-7</v>
      </c>
      <c r="H668" t="b">
        <v>0</v>
      </c>
    </row>
    <row r="669" spans="1:8" x14ac:dyDescent="0.15">
      <c r="A669">
        <v>29</v>
      </c>
      <c r="B669">
        <v>10</v>
      </c>
      <c r="C669">
        <v>1785058.59375</v>
      </c>
      <c r="D669">
        <v>-5740745.3120856434</v>
      </c>
      <c r="E669">
        <v>1.1189177120466937E-5</v>
      </c>
      <c r="F669">
        <v>1.1324400695231637E-5</v>
      </c>
      <c r="G669">
        <v>-1.3522357476470067E-7</v>
      </c>
      <c r="H669" t="b">
        <v>1</v>
      </c>
    </row>
    <row r="670" spans="1:8" x14ac:dyDescent="0.15">
      <c r="A670">
        <v>29</v>
      </c>
      <c r="B670">
        <v>11</v>
      </c>
      <c r="C670">
        <v>1790869.140625</v>
      </c>
      <c r="D670">
        <v>7997247.9400298921</v>
      </c>
      <c r="E670">
        <v>1.1499871859169349E-5</v>
      </c>
      <c r="F670">
        <v>1.1324400695231637E-5</v>
      </c>
      <c r="G670">
        <v>1.7547116393771201E-7</v>
      </c>
      <c r="H670" t="b">
        <v>0</v>
      </c>
    </row>
    <row r="671" spans="1:8" x14ac:dyDescent="0.15">
      <c r="A671">
        <v>29</v>
      </c>
      <c r="B671">
        <v>12</v>
      </c>
      <c r="C671">
        <v>1787963.8671875</v>
      </c>
      <c r="D671">
        <v>845545.80442937871</v>
      </c>
      <c r="E671">
        <v>1.1343614575800776E-5</v>
      </c>
      <c r="F671">
        <v>1.1324400695231637E-5</v>
      </c>
      <c r="G671">
        <v>1.9213880569138501E-8</v>
      </c>
      <c r="H671" t="b">
        <v>0</v>
      </c>
    </row>
    <row r="672" spans="1:8" x14ac:dyDescent="0.15">
      <c r="A672">
        <v>29</v>
      </c>
      <c r="B672">
        <v>13</v>
      </c>
      <c r="C672">
        <v>1789416.50390625</v>
      </c>
      <c r="D672">
        <v>4349692.3255171096</v>
      </c>
      <c r="E672">
        <v>1.1421514758977695E-5</v>
      </c>
      <c r="F672">
        <v>1.1324400695231637E-5</v>
      </c>
      <c r="G672">
        <v>9.7114063746057483E-8</v>
      </c>
      <c r="H672" t="b">
        <v>0</v>
      </c>
    </row>
    <row r="673" spans="1:8" x14ac:dyDescent="0.15">
      <c r="A673">
        <v>29</v>
      </c>
      <c r="B673">
        <v>14</v>
      </c>
      <c r="C673">
        <v>1788916.50390625</v>
      </c>
      <c r="D673">
        <v>3127477.7041738811</v>
      </c>
      <c r="E673">
        <v>1.1394649915059283E-5</v>
      </c>
      <c r="F673">
        <v>1.1324400695231637E-5</v>
      </c>
      <c r="G673">
        <v>7.0249219827645749E-8</v>
      </c>
      <c r="H673" t="b">
        <v>0</v>
      </c>
    </row>
    <row r="674" spans="1:8" x14ac:dyDescent="0.15">
      <c r="A674">
        <v>29</v>
      </c>
      <c r="B674">
        <v>15</v>
      </c>
      <c r="C674">
        <v>1788316.50390625</v>
      </c>
      <c r="D674">
        <v>1683129.1669764938</v>
      </c>
      <c r="E674">
        <v>1.1362483445364272E-5</v>
      </c>
      <c r="F674">
        <v>1.1324400695231637E-5</v>
      </c>
      <c r="G674">
        <v>3.8082750132635199E-8</v>
      </c>
      <c r="H674" t="b">
        <v>0</v>
      </c>
    </row>
    <row r="675" spans="1:8" x14ac:dyDescent="0.15">
      <c r="A675">
        <v>29</v>
      </c>
      <c r="B675">
        <v>16</v>
      </c>
      <c r="C675">
        <v>1788616.50390625</v>
      </c>
      <c r="D675">
        <v>2402269.3540416392</v>
      </c>
      <c r="E675">
        <v>1.1378556959299298E-5</v>
      </c>
      <c r="F675">
        <v>1.1324400695231637E-5</v>
      </c>
      <c r="G675">
        <v>5.4156264067660995E-8</v>
      </c>
      <c r="H675" t="b">
        <v>0</v>
      </c>
    </row>
    <row r="676" spans="1:8" x14ac:dyDescent="0.15">
      <c r="A676">
        <v>29</v>
      </c>
      <c r="B676">
        <v>17</v>
      </c>
      <c r="C676">
        <v>1788466.50390625</v>
      </c>
      <c r="D676">
        <v>2041941.8725742742</v>
      </c>
      <c r="E676">
        <v>1.137051777318312E-5</v>
      </c>
      <c r="F676">
        <v>1.1324400695231637E-5</v>
      </c>
      <c r="G676">
        <v>4.6117077951482569E-8</v>
      </c>
      <c r="H676" t="b">
        <v>0</v>
      </c>
    </row>
    <row r="677" spans="1:8" x14ac:dyDescent="0.15">
      <c r="A677">
        <v>29</v>
      </c>
      <c r="B677">
        <v>18</v>
      </c>
      <c r="C677">
        <v>1788286.50390625</v>
      </c>
      <c r="D677">
        <v>1611548.1996941869</v>
      </c>
      <c r="E677">
        <v>1.1360877162606138E-5</v>
      </c>
      <c r="F677">
        <v>1.1324400695231637E-5</v>
      </c>
      <c r="G677">
        <v>3.6476467374501074E-8</v>
      </c>
      <c r="H677" t="b">
        <v>0</v>
      </c>
    </row>
    <row r="678" spans="1:8" x14ac:dyDescent="0.15">
      <c r="A678">
        <v>29</v>
      </c>
      <c r="B678">
        <v>19</v>
      </c>
      <c r="C678">
        <v>1788376.50390625</v>
      </c>
      <c r="D678">
        <v>1826498.7910355967</v>
      </c>
      <c r="E678">
        <v>1.1365697179829808E-5</v>
      </c>
      <c r="F678">
        <v>1.1324400695231637E-5</v>
      </c>
      <c r="G678">
        <v>4.1296484598170733E-8</v>
      </c>
      <c r="H678" t="b">
        <v>0</v>
      </c>
    </row>
    <row r="679" spans="1:8" x14ac:dyDescent="0.15">
      <c r="A679">
        <v>29</v>
      </c>
      <c r="B679">
        <v>20</v>
      </c>
      <c r="C679">
        <v>1788331.50390625</v>
      </c>
      <c r="D679">
        <v>1718942.3371548876</v>
      </c>
      <c r="E679">
        <v>1.1363286659584243E-5</v>
      </c>
      <c r="F679">
        <v>1.1324400695231637E-5</v>
      </c>
      <c r="G679">
        <v>3.8885964352605493E-8</v>
      </c>
      <c r="H679" t="b">
        <v>0</v>
      </c>
    </row>
    <row r="680" spans="1:8" x14ac:dyDescent="0.15">
      <c r="A680">
        <v>29</v>
      </c>
      <c r="B680">
        <v>21</v>
      </c>
      <c r="C680">
        <v>1788354.00390625</v>
      </c>
      <c r="D680">
        <v>1772690.4569745613</v>
      </c>
      <c r="E680">
        <v>1.1364491571971689E-5</v>
      </c>
      <c r="F680">
        <v>1.1324400695231637E-5</v>
      </c>
      <c r="G680">
        <v>4.0090876740052036E-8</v>
      </c>
      <c r="H680" t="b">
        <v>0</v>
      </c>
    </row>
    <row r="681" spans="1:8" x14ac:dyDescent="0.15">
      <c r="A681">
        <v>30</v>
      </c>
      <c r="B681">
        <v>1</v>
      </c>
      <c r="C681">
        <v>6050000</v>
      </c>
      <c r="D681">
        <v>1.6137163503017925E+18</v>
      </c>
      <c r="E681">
        <v>164.5430975001656</v>
      </c>
      <c r="F681">
        <v>8.3666154466754961E-6</v>
      </c>
      <c r="G681">
        <v>164.54308913355015</v>
      </c>
      <c r="H681" t="b">
        <v>0</v>
      </c>
    </row>
    <row r="682" spans="1:8" x14ac:dyDescent="0.15">
      <c r="A682">
        <v>30</v>
      </c>
      <c r="B682">
        <v>2</v>
      </c>
      <c r="C682">
        <v>3075000</v>
      </c>
      <c r="D682">
        <v>310059262763067.31</v>
      </c>
      <c r="E682">
        <v>0.10545425642782739</v>
      </c>
      <c r="F682">
        <v>8.3666154533923454E-6</v>
      </c>
      <c r="G682">
        <v>0.105445889812374</v>
      </c>
      <c r="H682" t="b">
        <v>0</v>
      </c>
    </row>
    <row r="683" spans="1:8" x14ac:dyDescent="0.15">
      <c r="A683">
        <v>30</v>
      </c>
      <c r="B683">
        <v>3</v>
      </c>
      <c r="C683">
        <v>1587500</v>
      </c>
      <c r="D683">
        <v>-5049901.2081892341</v>
      </c>
      <c r="E683">
        <v>4.0149789430770267E-6</v>
      </c>
      <c r="F683">
        <v>8.3666154533925182E-6</v>
      </c>
      <c r="G683">
        <v>-4.3516365103154915E-6</v>
      </c>
      <c r="H683" t="b">
        <v>1</v>
      </c>
    </row>
    <row r="684" spans="1:8" x14ac:dyDescent="0.15">
      <c r="A684">
        <v>30</v>
      </c>
      <c r="B684">
        <v>4</v>
      </c>
      <c r="C684">
        <v>2331250</v>
      </c>
      <c r="D684">
        <v>1039142767058.8353</v>
      </c>
      <c r="E684">
        <v>1.0711064912528943E-3</v>
      </c>
      <c r="F684">
        <v>8.3666154533925622E-6</v>
      </c>
      <c r="G684">
        <v>1.0627398757995018E-3</v>
      </c>
      <c r="H684" t="b">
        <v>0</v>
      </c>
    </row>
    <row r="685" spans="1:8" x14ac:dyDescent="0.15">
      <c r="A685">
        <v>30</v>
      </c>
      <c r="B685">
        <v>5</v>
      </c>
      <c r="C685">
        <v>1959375</v>
      </c>
      <c r="D685">
        <v>17749479497.37561</v>
      </c>
      <c r="E685">
        <v>5.8130759227693498E-5</v>
      </c>
      <c r="F685">
        <v>8.3666154533925148E-6</v>
      </c>
      <c r="G685">
        <v>4.9764143774300984E-5</v>
      </c>
      <c r="H685" t="b">
        <v>0</v>
      </c>
    </row>
    <row r="686" spans="1:8" x14ac:dyDescent="0.15">
      <c r="A686">
        <v>30</v>
      </c>
      <c r="B686">
        <v>6</v>
      </c>
      <c r="C686">
        <v>1773437.5</v>
      </c>
      <c r="D686">
        <v>209154435.85478917</v>
      </c>
      <c r="E686">
        <v>1.0586948909987949E-5</v>
      </c>
      <c r="F686">
        <v>8.3666154533925182E-6</v>
      </c>
      <c r="G686">
        <v>2.2203334565954311E-6</v>
      </c>
      <c r="H686" t="b">
        <v>0</v>
      </c>
    </row>
    <row r="687" spans="1:8" x14ac:dyDescent="0.15">
      <c r="A687">
        <v>30</v>
      </c>
      <c r="B687">
        <v>7</v>
      </c>
      <c r="C687">
        <v>1680468.75</v>
      </c>
      <c r="D687">
        <v>-40267594.967568375</v>
      </c>
      <c r="E687">
        <v>6.5938441297883952E-6</v>
      </c>
      <c r="F687">
        <v>8.3666154533925182E-6</v>
      </c>
      <c r="G687">
        <v>-1.772771323604123E-6</v>
      </c>
      <c r="H687" t="b">
        <v>1</v>
      </c>
    </row>
    <row r="688" spans="1:8" x14ac:dyDescent="0.15">
      <c r="A688">
        <v>30</v>
      </c>
      <c r="B688">
        <v>8</v>
      </c>
      <c r="C688">
        <v>1726953.125</v>
      </c>
      <c r="D688">
        <v>894251.14246179943</v>
      </c>
      <c r="E688">
        <v>8.3830303999972024E-6</v>
      </c>
      <c r="F688">
        <v>8.3666154533925182E-6</v>
      </c>
      <c r="G688">
        <v>1.6414946604684295E-8</v>
      </c>
      <c r="H688" t="b">
        <v>0</v>
      </c>
    </row>
    <row r="689" spans="1:8" x14ac:dyDescent="0.15">
      <c r="A689">
        <v>30</v>
      </c>
      <c r="B689">
        <v>9</v>
      </c>
      <c r="C689">
        <v>1750195.3125</v>
      </c>
      <c r="D689">
        <v>78063162.158125132</v>
      </c>
      <c r="E689">
        <v>9.4288447390337009E-6</v>
      </c>
      <c r="F689">
        <v>8.3666154533925182E-6</v>
      </c>
      <c r="G689">
        <v>1.0622292856411828E-6</v>
      </c>
      <c r="H689" t="b">
        <v>0</v>
      </c>
    </row>
    <row r="690" spans="1:8" x14ac:dyDescent="0.15">
      <c r="A690">
        <v>30</v>
      </c>
      <c r="B690">
        <v>10</v>
      </c>
      <c r="C690">
        <v>1738574.21875</v>
      </c>
      <c r="D690">
        <v>33514429.806304421</v>
      </c>
      <c r="E690">
        <v>8.89229019254402E-6</v>
      </c>
      <c r="F690">
        <v>8.3666154533925182E-6</v>
      </c>
      <c r="G690">
        <v>5.2567473915150185E-7</v>
      </c>
      <c r="H690" t="b">
        <v>0</v>
      </c>
    </row>
    <row r="691" spans="1:8" x14ac:dyDescent="0.15">
      <c r="A691">
        <v>30</v>
      </c>
      <c r="B691">
        <v>11</v>
      </c>
      <c r="C691">
        <v>1732763.671875</v>
      </c>
      <c r="D691">
        <v>15809805.966158766</v>
      </c>
      <c r="E691">
        <v>8.6343183542295501E-6</v>
      </c>
      <c r="F691">
        <v>8.3666154533925182E-6</v>
      </c>
      <c r="G691">
        <v>2.6770290083703196E-7</v>
      </c>
      <c r="H691" t="b">
        <v>0</v>
      </c>
    </row>
    <row r="692" spans="1:8" x14ac:dyDescent="0.15">
      <c r="A692">
        <v>30</v>
      </c>
      <c r="B692">
        <v>12</v>
      </c>
      <c r="C692">
        <v>1729858.3984375</v>
      </c>
      <c r="D692">
        <v>8015253.2988210805</v>
      </c>
      <c r="E692">
        <v>8.5078471764865384E-6</v>
      </c>
      <c r="F692">
        <v>8.3666154533925182E-6</v>
      </c>
      <c r="G692">
        <v>1.4123172309402024E-7</v>
      </c>
      <c r="H692" t="b">
        <v>0</v>
      </c>
    </row>
    <row r="693" spans="1:8" x14ac:dyDescent="0.15">
      <c r="A693">
        <v>30</v>
      </c>
      <c r="B693">
        <v>13</v>
      </c>
      <c r="C693">
        <v>1728405.76171875</v>
      </c>
      <c r="D693">
        <v>4372036.6840955187</v>
      </c>
      <c r="E693">
        <v>8.4452331196194382E-6</v>
      </c>
      <c r="F693">
        <v>8.3666154533925182E-6</v>
      </c>
      <c r="G693">
        <v>7.8617666226920023E-8</v>
      </c>
      <c r="H693" t="b">
        <v>0</v>
      </c>
    </row>
    <row r="694" spans="1:8" x14ac:dyDescent="0.15">
      <c r="A694">
        <v>30</v>
      </c>
      <c r="B694">
        <v>14</v>
      </c>
      <c r="C694">
        <v>1727205.76171875</v>
      </c>
      <c r="D694">
        <v>1487364.7389349437</v>
      </c>
      <c r="E694">
        <v>8.393819469216379E-6</v>
      </c>
      <c r="F694">
        <v>8.3666154533925182E-6</v>
      </c>
      <c r="G694">
        <v>2.7204015823860864E-8</v>
      </c>
      <c r="H694" t="b">
        <v>0</v>
      </c>
    </row>
    <row r="695" spans="1:8" x14ac:dyDescent="0.15">
      <c r="A695">
        <v>30</v>
      </c>
      <c r="B695">
        <v>15</v>
      </c>
      <c r="C695">
        <v>1727805.76171875</v>
      </c>
      <c r="D695">
        <v>2915706.4433777821</v>
      </c>
      <c r="E695">
        <v>8.419491522557656E-6</v>
      </c>
      <c r="F695">
        <v>8.3666154533925182E-6</v>
      </c>
      <c r="G695">
        <v>5.2876069165137823E-8</v>
      </c>
      <c r="H695" t="b">
        <v>0</v>
      </c>
    </row>
    <row r="696" spans="1:8" x14ac:dyDescent="0.15">
      <c r="A696">
        <v>30</v>
      </c>
      <c r="B696">
        <v>16</v>
      </c>
      <c r="C696">
        <v>1727505.76171875</v>
      </c>
      <c r="D696">
        <v>2198019.8533014576</v>
      </c>
      <c r="E696">
        <v>8.4066462728765269E-6</v>
      </c>
      <c r="F696">
        <v>8.3666154533925182E-6</v>
      </c>
      <c r="G696">
        <v>4.0030819484008736E-8</v>
      </c>
      <c r="H696" t="b">
        <v>0</v>
      </c>
    </row>
    <row r="697" spans="1:8" x14ac:dyDescent="0.15">
      <c r="A697">
        <v>30</v>
      </c>
      <c r="B697">
        <v>17</v>
      </c>
      <c r="C697">
        <v>1727145.76171875</v>
      </c>
      <c r="D697">
        <v>1346063.4894722367</v>
      </c>
      <c r="E697">
        <v>8.3912561095206317E-6</v>
      </c>
      <c r="F697">
        <v>8.3666154533925182E-6</v>
      </c>
      <c r="G697">
        <v>2.464065612811356E-8</v>
      </c>
      <c r="H697" t="b">
        <v>0</v>
      </c>
    </row>
    <row r="698" spans="1:8" x14ac:dyDescent="0.15">
      <c r="A698">
        <v>30</v>
      </c>
      <c r="B698">
        <v>18</v>
      </c>
      <c r="C698">
        <v>1727325.76171875</v>
      </c>
      <c r="D698">
        <v>1770801.7236417271</v>
      </c>
      <c r="E698">
        <v>8.3989482850314875E-6</v>
      </c>
      <c r="F698">
        <v>8.3666154533925182E-6</v>
      </c>
      <c r="G698">
        <v>3.2332831638969334E-8</v>
      </c>
      <c r="H698" t="b">
        <v>0</v>
      </c>
    </row>
    <row r="699" spans="1:8" x14ac:dyDescent="0.15">
      <c r="A699">
        <v>30</v>
      </c>
      <c r="B699">
        <v>19</v>
      </c>
      <c r="C699">
        <v>1727235.76171875</v>
      </c>
      <c r="D699">
        <v>1558119.635675739</v>
      </c>
      <c r="E699">
        <v>8.3951014110893989E-6</v>
      </c>
      <c r="F699">
        <v>8.3666154533925182E-6</v>
      </c>
      <c r="G699">
        <v>2.8485957696880698E-8</v>
      </c>
      <c r="H699" t="b">
        <v>0</v>
      </c>
    </row>
    <row r="700" spans="1:8" x14ac:dyDescent="0.15">
      <c r="A700">
        <v>30</v>
      </c>
      <c r="B700">
        <v>20</v>
      </c>
      <c r="C700">
        <v>1727280.76171875</v>
      </c>
      <c r="D700">
        <v>1664355.9376888014</v>
      </c>
      <c r="E700">
        <v>8.3970241729666283E-6</v>
      </c>
      <c r="F700">
        <v>8.3666154533925182E-6</v>
      </c>
      <c r="G700">
        <v>3.0408719574110174E-8</v>
      </c>
      <c r="H700" t="b">
        <v>0</v>
      </c>
    </row>
    <row r="701" spans="1:8" x14ac:dyDescent="0.15">
      <c r="A701">
        <v>30</v>
      </c>
      <c r="B701">
        <v>21</v>
      </c>
      <c r="C701">
        <v>1727334.76171875</v>
      </c>
      <c r="D701">
        <v>1792077.8813054732</v>
      </c>
      <c r="E701">
        <v>8.3993325802505932E-6</v>
      </c>
      <c r="F701">
        <v>8.3666154533925182E-6</v>
      </c>
      <c r="G701">
        <v>3.2717126858075075E-8</v>
      </c>
      <c r="H701" t="b">
        <v>0</v>
      </c>
    </row>
    <row r="702" spans="1:8" x14ac:dyDescent="0.15">
      <c r="A702">
        <v>30</v>
      </c>
      <c r="B702">
        <v>22</v>
      </c>
      <c r="C702">
        <v>1727307.76171875</v>
      </c>
      <c r="D702">
        <v>1728188.717025348</v>
      </c>
      <c r="E702">
        <v>8.3981783058336328E-6</v>
      </c>
      <c r="F702">
        <v>8.3666154533925182E-6</v>
      </c>
      <c r="G702">
        <v>3.1562852441114611E-8</v>
      </c>
      <c r="H702" t="b">
        <v>0</v>
      </c>
    </row>
    <row r="703" spans="1:8" x14ac:dyDescent="0.15">
      <c r="A703">
        <v>31</v>
      </c>
      <c r="B703">
        <v>1</v>
      </c>
      <c r="C703">
        <v>6050000</v>
      </c>
      <c r="D703">
        <v>3.5224417470647813E+18</v>
      </c>
      <c r="E703">
        <v>536.87092200000018</v>
      </c>
      <c r="F703">
        <v>1.3605242315861688E-5</v>
      </c>
      <c r="G703">
        <v>536.87090839475786</v>
      </c>
      <c r="H703" t="b">
        <v>0</v>
      </c>
    </row>
    <row r="704" spans="1:8" x14ac:dyDescent="0.15">
      <c r="A704">
        <v>31</v>
      </c>
      <c r="B704">
        <v>2</v>
      </c>
      <c r="C704">
        <v>3075000</v>
      </c>
      <c r="D704">
        <v>3.5224417470647808E+18</v>
      </c>
      <c r="E704">
        <v>536.87092200000006</v>
      </c>
      <c r="F704">
        <v>1.3605242315861688E-5</v>
      </c>
      <c r="G704">
        <v>536.87090839475775</v>
      </c>
      <c r="H704" t="b">
        <v>0</v>
      </c>
    </row>
    <row r="705" spans="1:8" x14ac:dyDescent="0.15">
      <c r="A705">
        <v>31</v>
      </c>
      <c r="B705">
        <v>3</v>
      </c>
      <c r="C705">
        <v>1587500</v>
      </c>
      <c r="D705">
        <v>12844368468692.605</v>
      </c>
      <c r="E705">
        <v>1.2192750201627063E-2</v>
      </c>
      <c r="F705">
        <v>1.3605242318012745E-5</v>
      </c>
      <c r="G705">
        <v>1.217914495930905E-2</v>
      </c>
      <c r="H705" t="b">
        <v>0</v>
      </c>
    </row>
    <row r="706" spans="1:8" x14ac:dyDescent="0.15">
      <c r="A706">
        <v>31</v>
      </c>
      <c r="B706">
        <v>4</v>
      </c>
      <c r="C706">
        <v>843750</v>
      </c>
      <c r="D706">
        <v>-66170.231430648317</v>
      </c>
      <c r="E706">
        <v>-2.0865298537452361E-6</v>
      </c>
      <c r="F706">
        <v>1.3605242318012633E-5</v>
      </c>
      <c r="G706">
        <v>-1.5691772171757869E-5</v>
      </c>
      <c r="H706" t="b">
        <v>1</v>
      </c>
    </row>
    <row r="707" spans="1:8" x14ac:dyDescent="0.15">
      <c r="A707">
        <v>31</v>
      </c>
      <c r="B707">
        <v>5</v>
      </c>
      <c r="C707">
        <v>1215625</v>
      </c>
      <c r="D707">
        <v>2895976692.4323249</v>
      </c>
      <c r="E707">
        <v>3.2662713398342502E-5</v>
      </c>
      <c r="F707">
        <v>1.3605242318012636E-5</v>
      </c>
      <c r="G707">
        <v>1.9057471080329866E-5</v>
      </c>
      <c r="H707" t="b">
        <v>0</v>
      </c>
    </row>
    <row r="708" spans="1:8" x14ac:dyDescent="0.15">
      <c r="A708">
        <v>31</v>
      </c>
      <c r="B708">
        <v>6</v>
      </c>
      <c r="C708">
        <v>1029687.5</v>
      </c>
      <c r="D708">
        <v>-402898.42678450153</v>
      </c>
      <c r="E708">
        <v>2.827726392745439E-6</v>
      </c>
      <c r="F708">
        <v>1.3605242318012633E-5</v>
      </c>
      <c r="G708">
        <v>-1.0777515925267195E-5</v>
      </c>
      <c r="H708" t="b">
        <v>1</v>
      </c>
    </row>
    <row r="709" spans="1:8" x14ac:dyDescent="0.15">
      <c r="A709">
        <v>31</v>
      </c>
      <c r="B709">
        <v>7</v>
      </c>
      <c r="C709">
        <v>1122656.25</v>
      </c>
      <c r="D709">
        <v>-21709536.621310875</v>
      </c>
      <c r="E709">
        <v>7.794050991423227E-6</v>
      </c>
      <c r="F709">
        <v>1.3605242318012635E-5</v>
      </c>
      <c r="G709">
        <v>-5.8111913265894075E-6</v>
      </c>
      <c r="H709" t="b">
        <v>1</v>
      </c>
    </row>
    <row r="710" spans="1:8" x14ac:dyDescent="0.15">
      <c r="A710">
        <v>31</v>
      </c>
      <c r="B710">
        <v>8</v>
      </c>
      <c r="C710">
        <v>1169140.625</v>
      </c>
      <c r="D710">
        <v>-29627953.227423649</v>
      </c>
      <c r="E710">
        <v>1.3040259917644821E-5</v>
      </c>
      <c r="F710">
        <v>1.3605242318012635E-5</v>
      </c>
      <c r="G710">
        <v>-5.6498240036781325E-7</v>
      </c>
      <c r="H710" t="b">
        <v>1</v>
      </c>
    </row>
    <row r="711" spans="1:8" x14ac:dyDescent="0.15">
      <c r="A711">
        <v>31</v>
      </c>
      <c r="B711">
        <v>9</v>
      </c>
      <c r="C711">
        <v>1192382.8125</v>
      </c>
      <c r="D711">
        <v>825608234.36490023</v>
      </c>
      <c r="E711">
        <v>2.078245818766545E-5</v>
      </c>
      <c r="F711">
        <v>1.3605242318012635E-5</v>
      </c>
      <c r="G711">
        <v>7.1772158696528154E-6</v>
      </c>
      <c r="H711" t="b">
        <v>0</v>
      </c>
    </row>
    <row r="712" spans="1:8" x14ac:dyDescent="0.15">
      <c r="A712">
        <v>31</v>
      </c>
      <c r="B712">
        <v>10</v>
      </c>
      <c r="C712">
        <v>1180761.71875</v>
      </c>
      <c r="D712">
        <v>246865257.62659627</v>
      </c>
      <c r="E712">
        <v>1.6494785000585871E-5</v>
      </c>
      <c r="F712">
        <v>1.3605242318012635E-5</v>
      </c>
      <c r="G712">
        <v>2.8895426825732368E-6</v>
      </c>
      <c r="H712" t="b">
        <v>0</v>
      </c>
    </row>
    <row r="713" spans="1:8" x14ac:dyDescent="0.15">
      <c r="A713">
        <v>31</v>
      </c>
      <c r="B713">
        <v>11</v>
      </c>
      <c r="C713">
        <v>1174951.171875</v>
      </c>
      <c r="D713">
        <v>73238281.451208919</v>
      </c>
      <c r="E713">
        <v>1.4675269842645469E-5</v>
      </c>
      <c r="F713">
        <v>1.3605242318012635E-5</v>
      </c>
      <c r="G713">
        <v>1.0700275246328346E-6</v>
      </c>
      <c r="H713" t="b">
        <v>0</v>
      </c>
    </row>
    <row r="714" spans="1:8" x14ac:dyDescent="0.15">
      <c r="A714">
        <v>31</v>
      </c>
      <c r="B714">
        <v>12</v>
      </c>
      <c r="C714">
        <v>1172045.8984375</v>
      </c>
      <c r="D714">
        <v>13867946.356843643</v>
      </c>
      <c r="E714">
        <v>1.3835196874753879E-5</v>
      </c>
      <c r="F714">
        <v>1.3605242318012635E-5</v>
      </c>
      <c r="G714">
        <v>2.299545567412447E-7</v>
      </c>
      <c r="H714" t="b">
        <v>0</v>
      </c>
    </row>
    <row r="715" spans="1:8" x14ac:dyDescent="0.15">
      <c r="A715">
        <v>31</v>
      </c>
      <c r="B715">
        <v>13</v>
      </c>
      <c r="C715">
        <v>1170593.26171875</v>
      </c>
      <c r="D715">
        <v>-9747334.6615174543</v>
      </c>
      <c r="E715">
        <v>1.3432230253383132E-5</v>
      </c>
      <c r="F715">
        <v>1.3605242318012635E-5</v>
      </c>
      <c r="G715">
        <v>-1.7301206462950261E-7</v>
      </c>
      <c r="H715" t="b">
        <v>1</v>
      </c>
    </row>
    <row r="716" spans="1:8" x14ac:dyDescent="0.15">
      <c r="A716">
        <v>31</v>
      </c>
      <c r="B716">
        <v>14</v>
      </c>
      <c r="C716">
        <v>1171093.26171875</v>
      </c>
      <c r="D716">
        <v>-2052127.5422317684</v>
      </c>
      <c r="E716">
        <v>1.3569675100024398E-5</v>
      </c>
      <c r="F716">
        <v>1.3605242318012635E-5</v>
      </c>
      <c r="G716">
        <v>-3.5567217988236843E-8</v>
      </c>
      <c r="H716" t="b">
        <v>1</v>
      </c>
    </row>
    <row r="717" spans="1:8" x14ac:dyDescent="0.15">
      <c r="A717">
        <v>31</v>
      </c>
      <c r="B717">
        <v>15</v>
      </c>
      <c r="C717">
        <v>1171593.26171875</v>
      </c>
      <c r="D717">
        <v>6094960.2608684199</v>
      </c>
      <c r="E717">
        <v>1.3708435728060046E-5</v>
      </c>
      <c r="F717">
        <v>1.3605242318012635E-5</v>
      </c>
      <c r="G717">
        <v>1.0319341004741155E-7</v>
      </c>
      <c r="H717" t="b">
        <v>0</v>
      </c>
    </row>
    <row r="718" spans="1:8" x14ac:dyDescent="0.15">
      <c r="A718">
        <v>31</v>
      </c>
      <c r="B718">
        <v>16</v>
      </c>
      <c r="C718">
        <v>1171343.26171875</v>
      </c>
      <c r="D718">
        <v>1964349.7168254221</v>
      </c>
      <c r="E718">
        <v>1.36388903718327E-5</v>
      </c>
      <c r="F718">
        <v>1.3605242318012635E-5</v>
      </c>
      <c r="G718">
        <v>3.364805382006566E-8</v>
      </c>
      <c r="H718" t="b">
        <v>0</v>
      </c>
    </row>
    <row r="719" spans="1:8" x14ac:dyDescent="0.15">
      <c r="A719">
        <v>31</v>
      </c>
      <c r="B719">
        <v>17</v>
      </c>
      <c r="C719">
        <v>1171043.26171875</v>
      </c>
      <c r="D719">
        <v>-2841745.7240450941</v>
      </c>
      <c r="E719">
        <v>1.3555873023170481E-5</v>
      </c>
      <c r="F719">
        <v>1.3605242318012635E-5</v>
      </c>
      <c r="G719">
        <v>-4.9369294842153724E-8</v>
      </c>
      <c r="H719" t="b">
        <v>1</v>
      </c>
    </row>
    <row r="720" spans="1:8" x14ac:dyDescent="0.15">
      <c r="A720">
        <v>31</v>
      </c>
      <c r="B720">
        <v>18</v>
      </c>
      <c r="C720">
        <v>1171193.26171875</v>
      </c>
      <c r="D720">
        <v>-459158.17641092819</v>
      </c>
      <c r="E720">
        <v>1.359732166958694E-5</v>
      </c>
      <c r="F720">
        <v>1.3605242318012635E-5</v>
      </c>
      <c r="G720">
        <v>-7.9206484256949387E-9</v>
      </c>
      <c r="H720" t="b">
        <v>1</v>
      </c>
    </row>
    <row r="721" spans="1:8" x14ac:dyDescent="0.15">
      <c r="A721">
        <v>31</v>
      </c>
      <c r="B721">
        <v>19</v>
      </c>
      <c r="C721">
        <v>1171343.26171875</v>
      </c>
      <c r="D721">
        <v>1964349.7168254221</v>
      </c>
      <c r="E721">
        <v>1.36388903718327E-5</v>
      </c>
      <c r="F721">
        <v>1.3605242318012635E-5</v>
      </c>
      <c r="G721">
        <v>3.364805382006566E-8</v>
      </c>
      <c r="H721" t="b">
        <v>0</v>
      </c>
    </row>
    <row r="722" spans="1:8" x14ac:dyDescent="0.15">
      <c r="A722">
        <v>31</v>
      </c>
      <c r="B722">
        <v>20</v>
      </c>
      <c r="C722">
        <v>1171268.26171875</v>
      </c>
      <c r="D722">
        <v>747565.59610208462</v>
      </c>
      <c r="E722">
        <v>1.3618092727429209E-5</v>
      </c>
      <c r="F722">
        <v>1.3605242318012635E-5</v>
      </c>
      <c r="G722">
        <v>1.2850409416574523E-8</v>
      </c>
      <c r="H722" t="b">
        <v>0</v>
      </c>
    </row>
    <row r="723" spans="1:8" x14ac:dyDescent="0.15">
      <c r="A723">
        <v>31</v>
      </c>
      <c r="B723">
        <v>21</v>
      </c>
      <c r="C723">
        <v>1171305.76171875</v>
      </c>
      <c r="D723">
        <v>1354720.9323047986</v>
      </c>
      <c r="E723">
        <v>1.3628488609779165E-5</v>
      </c>
      <c r="F723">
        <v>1.3605242318012635E-5</v>
      </c>
      <c r="G723">
        <v>2.3246291766530452E-8</v>
      </c>
      <c r="H723" t="b">
        <v>0</v>
      </c>
    </row>
    <row r="724" spans="1:8" x14ac:dyDescent="0.15">
      <c r="A724">
        <v>31</v>
      </c>
      <c r="B724">
        <v>22</v>
      </c>
      <c r="C724">
        <v>1171287.01171875</v>
      </c>
      <c r="D724">
        <v>1050823.0221722238</v>
      </c>
      <c r="E724">
        <v>1.3623289741298951E-5</v>
      </c>
      <c r="F724">
        <v>1.3605242318012635E-5</v>
      </c>
      <c r="G724">
        <v>1.8047423286316885E-8</v>
      </c>
      <c r="H724" t="b">
        <v>0</v>
      </c>
    </row>
    <row r="725" spans="1:8" x14ac:dyDescent="0.15">
      <c r="A725">
        <v>31</v>
      </c>
      <c r="B725">
        <v>23</v>
      </c>
      <c r="C725">
        <v>1171296.38671875</v>
      </c>
      <c r="D725">
        <v>1202691.8855502682</v>
      </c>
      <c r="E725">
        <v>1.3625888943674534E-5</v>
      </c>
      <c r="F725">
        <v>1.3605242318012635E-5</v>
      </c>
      <c r="G725">
        <v>2.0646625661899817E-8</v>
      </c>
      <c r="H725" t="b">
        <v>0</v>
      </c>
    </row>
    <row r="726" spans="1:8" x14ac:dyDescent="0.15">
      <c r="A726">
        <v>31</v>
      </c>
      <c r="B726">
        <v>24</v>
      </c>
      <c r="C726">
        <v>1171291.69921875</v>
      </c>
      <c r="D726">
        <v>1126647.4853464272</v>
      </c>
      <c r="E726">
        <v>1.3624587745059108E-5</v>
      </c>
      <c r="F726">
        <v>1.3605242318012635E-5</v>
      </c>
      <c r="G726">
        <v>1.9345427046472998E-8</v>
      </c>
      <c r="H726" t="b">
        <v>0</v>
      </c>
    </row>
    <row r="727" spans="1:8" x14ac:dyDescent="0.15">
      <c r="A727">
        <v>31</v>
      </c>
      <c r="B727">
        <v>25</v>
      </c>
      <c r="C727">
        <v>1171294.04296875</v>
      </c>
      <c r="D727">
        <v>1164619.6810814335</v>
      </c>
      <c r="E727">
        <v>1.3625237560062736E-5</v>
      </c>
      <c r="F727">
        <v>1.3605242318012635E-5</v>
      </c>
      <c r="G727">
        <v>1.9995242050101277E-8</v>
      </c>
      <c r="H727" t="b">
        <v>0</v>
      </c>
    </row>
    <row r="728" spans="1:8" x14ac:dyDescent="0.15">
      <c r="A728">
        <v>32</v>
      </c>
      <c r="B728">
        <v>1</v>
      </c>
      <c r="C728">
        <v>6050000</v>
      </c>
      <c r="D728">
        <v>3.582001911110912E+18</v>
      </c>
      <c r="E728">
        <v>536.87092200000006</v>
      </c>
      <c r="F728">
        <v>1.3459715091812541E-5</v>
      </c>
      <c r="G728">
        <v>536.87090854028497</v>
      </c>
      <c r="H728" t="b">
        <v>0</v>
      </c>
    </row>
    <row r="729" spans="1:8" x14ac:dyDescent="0.15">
      <c r="A729">
        <v>32</v>
      </c>
      <c r="B729">
        <v>2</v>
      </c>
      <c r="C729">
        <v>3075000</v>
      </c>
      <c r="D729">
        <v>2.6391785765731075E+17</v>
      </c>
      <c r="E729">
        <v>53.948145832687153</v>
      </c>
      <c r="F729">
        <v>1.3459715098917968E-5</v>
      </c>
      <c r="G729">
        <v>53.948132372972054</v>
      </c>
      <c r="H729" t="b">
        <v>0</v>
      </c>
    </row>
    <row r="730" spans="1:8" x14ac:dyDescent="0.15">
      <c r="A730">
        <v>32</v>
      </c>
      <c r="B730">
        <v>3</v>
      </c>
      <c r="C730">
        <v>1587500</v>
      </c>
      <c r="D730">
        <v>45488063200.519897</v>
      </c>
      <c r="E730">
        <v>1.6049507212466781E-4</v>
      </c>
      <c r="F730">
        <v>1.3459715100159325E-5</v>
      </c>
      <c r="G730">
        <v>1.4703535702450849E-4</v>
      </c>
      <c r="H730" t="b">
        <v>0</v>
      </c>
    </row>
    <row r="731" spans="1:8" x14ac:dyDescent="0.15">
      <c r="A731">
        <v>32</v>
      </c>
      <c r="B731">
        <v>4</v>
      </c>
      <c r="C731">
        <v>843750</v>
      </c>
      <c r="D731">
        <v>-24891.292721923579</v>
      </c>
      <c r="E731">
        <v>-6.7706640064177307E-6</v>
      </c>
      <c r="F731">
        <v>1.345971510015932E-5</v>
      </c>
      <c r="G731">
        <v>-2.0230379106577051E-5</v>
      </c>
      <c r="H731" t="b">
        <v>1</v>
      </c>
    </row>
    <row r="732" spans="1:8" x14ac:dyDescent="0.15">
      <c r="A732">
        <v>32</v>
      </c>
      <c r="B732">
        <v>5</v>
      </c>
      <c r="C732">
        <v>1215625</v>
      </c>
      <c r="D732">
        <v>-324017.6249085688</v>
      </c>
      <c r="E732">
        <v>2.3669452687486111E-6</v>
      </c>
      <c r="F732">
        <v>1.3459715100159322E-5</v>
      </c>
      <c r="G732">
        <v>-1.109276983141071E-5</v>
      </c>
      <c r="H732" t="b">
        <v>1</v>
      </c>
    </row>
    <row r="733" spans="1:8" x14ac:dyDescent="0.15">
      <c r="A733">
        <v>32</v>
      </c>
      <c r="B733">
        <v>6</v>
      </c>
      <c r="C733">
        <v>1401562.5</v>
      </c>
      <c r="D733">
        <v>-76089265.158794016</v>
      </c>
      <c r="E733">
        <v>1.1449018353110806E-5</v>
      </c>
      <c r="F733">
        <v>1.3459715100159322E-5</v>
      </c>
      <c r="G733">
        <v>-2.0106967470485157E-6</v>
      </c>
      <c r="H733" t="b">
        <v>1</v>
      </c>
    </row>
    <row r="734" spans="1:8" x14ac:dyDescent="0.15">
      <c r="A734">
        <v>32</v>
      </c>
      <c r="B734">
        <v>7</v>
      </c>
      <c r="C734">
        <v>1494531.25</v>
      </c>
      <c r="D734">
        <v>5717915678.6613455</v>
      </c>
      <c r="E734">
        <v>4.4833632557554069E-5</v>
      </c>
      <c r="F734">
        <v>1.3459715100159319E-5</v>
      </c>
      <c r="G734">
        <v>3.137391745739475E-5</v>
      </c>
      <c r="H734" t="b">
        <v>0</v>
      </c>
    </row>
    <row r="735" spans="1:8" x14ac:dyDescent="0.15">
      <c r="A735">
        <v>32</v>
      </c>
      <c r="B735">
        <v>8</v>
      </c>
      <c r="C735">
        <v>1448046.875</v>
      </c>
      <c r="D735">
        <v>1127333340.1849709</v>
      </c>
      <c r="E735">
        <v>2.2545712498811444E-5</v>
      </c>
      <c r="F735">
        <v>1.3459715100159322E-5</v>
      </c>
      <c r="G735">
        <v>9.0859973986521222E-6</v>
      </c>
      <c r="H735" t="b">
        <v>0</v>
      </c>
    </row>
    <row r="736" spans="1:8" x14ac:dyDescent="0.15">
      <c r="A736">
        <v>32</v>
      </c>
      <c r="B736">
        <v>9</v>
      </c>
      <c r="C736">
        <v>1424804.6875</v>
      </c>
      <c r="D736">
        <v>187150647.53615251</v>
      </c>
      <c r="E736">
        <v>1.5767507629663029E-5</v>
      </c>
      <c r="F736">
        <v>1.3459715100159322E-5</v>
      </c>
      <c r="G736">
        <v>2.3077925295037073E-6</v>
      </c>
      <c r="H736" t="b">
        <v>0</v>
      </c>
    </row>
    <row r="737" spans="1:8" x14ac:dyDescent="0.15">
      <c r="A737">
        <v>32</v>
      </c>
      <c r="B737">
        <v>10</v>
      </c>
      <c r="C737">
        <v>1413183.59375</v>
      </c>
      <c r="D737">
        <v>-18016267.159546316</v>
      </c>
      <c r="E737">
        <v>1.3133684336687269E-5</v>
      </c>
      <c r="F737">
        <v>1.3459715100159322E-5</v>
      </c>
      <c r="G737">
        <v>-3.2603076347205297E-7</v>
      </c>
      <c r="H737" t="b">
        <v>1</v>
      </c>
    </row>
    <row r="738" spans="1:8" x14ac:dyDescent="0.15">
      <c r="A738">
        <v>32</v>
      </c>
      <c r="B738">
        <v>11</v>
      </c>
      <c r="C738">
        <v>1418994.140625</v>
      </c>
      <c r="D738">
        <v>63464597.693014815</v>
      </c>
      <c r="E738">
        <v>1.4394896731561166E-5</v>
      </c>
      <c r="F738">
        <v>1.3459715100159322E-5</v>
      </c>
      <c r="G738">
        <v>9.3518163140184421E-7</v>
      </c>
      <c r="H738" t="b">
        <v>0</v>
      </c>
    </row>
    <row r="739" spans="1:8" x14ac:dyDescent="0.15">
      <c r="A739">
        <v>32</v>
      </c>
      <c r="B739">
        <v>12</v>
      </c>
      <c r="C739">
        <v>1416088.8671875</v>
      </c>
      <c r="D739">
        <v>17902191.738004517</v>
      </c>
      <c r="E739">
        <v>1.3750902941745994E-5</v>
      </c>
      <c r="F739">
        <v>1.3459715100159322E-5</v>
      </c>
      <c r="G739">
        <v>2.9118784158667207E-7</v>
      </c>
      <c r="H739" t="b">
        <v>0</v>
      </c>
    </row>
    <row r="740" spans="1:8" x14ac:dyDescent="0.15">
      <c r="A740">
        <v>32</v>
      </c>
      <c r="B740">
        <v>13</v>
      </c>
      <c r="C740">
        <v>1414636.23046875</v>
      </c>
      <c r="D740">
        <v>-1207985.9503174776</v>
      </c>
      <c r="E740">
        <v>1.3439012258175707E-5</v>
      </c>
      <c r="F740">
        <v>1.3459715100159322E-5</v>
      </c>
      <c r="G740">
        <v>-2.0702841983614577E-8</v>
      </c>
      <c r="H740" t="b">
        <v>1</v>
      </c>
    </row>
    <row r="741" spans="1:8" x14ac:dyDescent="0.15">
      <c r="A741">
        <v>32</v>
      </c>
      <c r="B741">
        <v>14</v>
      </c>
      <c r="C741">
        <v>1415136.23046875</v>
      </c>
      <c r="D741">
        <v>5104523.0476368349</v>
      </c>
      <c r="E741">
        <v>1.3545618211912584E-5</v>
      </c>
      <c r="F741">
        <v>1.3459715100159322E-5</v>
      </c>
      <c r="G741">
        <v>8.5903111753261586E-8</v>
      </c>
      <c r="H741" t="b">
        <v>0</v>
      </c>
    </row>
    <row r="742" spans="1:8" x14ac:dyDescent="0.15">
      <c r="A742">
        <v>32</v>
      </c>
      <c r="B742">
        <v>15</v>
      </c>
      <c r="C742">
        <v>1414886.23046875</v>
      </c>
      <c r="D742">
        <v>1913825.7613421041</v>
      </c>
      <c r="E742">
        <v>1.3492216338556126E-5</v>
      </c>
      <c r="F742">
        <v>1.3459715100159322E-5</v>
      </c>
      <c r="G742">
        <v>3.2501238396804175E-8</v>
      </c>
      <c r="H742" t="b">
        <v>0</v>
      </c>
    </row>
    <row r="743" spans="1:8" x14ac:dyDescent="0.15">
      <c r="A743">
        <v>32</v>
      </c>
      <c r="B743">
        <v>16</v>
      </c>
      <c r="C743">
        <v>1414586.23046875</v>
      </c>
      <c r="D743">
        <v>-1824244.2726311809</v>
      </c>
      <c r="E743">
        <v>1.3428393165209346E-5</v>
      </c>
      <c r="F743">
        <v>1.3459715100159322E-5</v>
      </c>
      <c r="G743">
        <v>-3.1321934949976428E-8</v>
      </c>
      <c r="H743" t="b">
        <v>1</v>
      </c>
    </row>
    <row r="744" spans="1:8" x14ac:dyDescent="0.15">
      <c r="A744">
        <v>32</v>
      </c>
      <c r="B744">
        <v>17</v>
      </c>
      <c r="C744">
        <v>1414736.23046875</v>
      </c>
      <c r="D744">
        <v>32479.637037134758</v>
      </c>
      <c r="E744">
        <v>1.3460269710320004E-5</v>
      </c>
      <c r="F744">
        <v>1.3459715100159322E-5</v>
      </c>
      <c r="G744">
        <v>5.5461016068207938E-10</v>
      </c>
      <c r="H744" t="b">
        <v>0</v>
      </c>
    </row>
    <row r="745" spans="1:8" x14ac:dyDescent="0.15">
      <c r="A745">
        <v>32</v>
      </c>
      <c r="B745">
        <v>18</v>
      </c>
      <c r="C745">
        <v>1414916.23046875</v>
      </c>
      <c r="D745">
        <v>2293140.9402797366</v>
      </c>
      <c r="E745">
        <v>1.3498615449382625E-5</v>
      </c>
      <c r="F745">
        <v>1.3459715100159322E-5</v>
      </c>
      <c r="G745">
        <v>3.8900349223302508E-8</v>
      </c>
      <c r="H745" t="b">
        <v>0</v>
      </c>
    </row>
    <row r="746" spans="1:8" x14ac:dyDescent="0.15">
      <c r="A746">
        <v>32</v>
      </c>
      <c r="B746">
        <v>19</v>
      </c>
      <c r="C746">
        <v>1414826.23046875</v>
      </c>
      <c r="D746">
        <v>1158405.2843172557</v>
      </c>
      <c r="E746">
        <v>1.3479430628869319E-5</v>
      </c>
      <c r="F746">
        <v>1.3459715100159322E-5</v>
      </c>
      <c r="G746">
        <v>1.971552870999699E-8</v>
      </c>
      <c r="H746" t="b">
        <v>0</v>
      </c>
    </row>
    <row r="747" spans="1:8" x14ac:dyDescent="0.15">
      <c r="A747">
        <v>32</v>
      </c>
      <c r="B747">
        <v>20</v>
      </c>
      <c r="C747">
        <v>1414871.23046875</v>
      </c>
      <c r="D747">
        <v>1724579.7744434071</v>
      </c>
      <c r="E747">
        <v>1.3489018517958179E-5</v>
      </c>
      <c r="F747">
        <v>1.3459715100159322E-5</v>
      </c>
      <c r="G747">
        <v>2.9303417798856981E-8</v>
      </c>
      <c r="H747" t="b">
        <v>0</v>
      </c>
    </row>
    <row r="748" spans="1:8" x14ac:dyDescent="0.15">
      <c r="A748">
        <v>32</v>
      </c>
      <c r="B748">
        <v>21</v>
      </c>
      <c r="C748">
        <v>1414848.73046875</v>
      </c>
      <c r="D748">
        <v>1441174.4222651697</v>
      </c>
      <c r="E748">
        <v>1.3484223103462991E-5</v>
      </c>
      <c r="F748">
        <v>1.3459715100159322E-5</v>
      </c>
      <c r="G748">
        <v>2.4508003303668784E-8</v>
      </c>
      <c r="H748" t="b">
        <v>0</v>
      </c>
    </row>
    <row r="749" spans="1:8" x14ac:dyDescent="0.15">
      <c r="A749">
        <v>32</v>
      </c>
      <c r="B749">
        <v>22</v>
      </c>
      <c r="C749">
        <v>1414821.73046875</v>
      </c>
      <c r="D749">
        <v>1101821.8822105788</v>
      </c>
      <c r="E749">
        <v>1.3478470690649836E-5</v>
      </c>
      <c r="F749">
        <v>1.3459715100159322E-5</v>
      </c>
      <c r="G749">
        <v>1.8755590490514008E-8</v>
      </c>
      <c r="H749" t="b">
        <v>0</v>
      </c>
    </row>
    <row r="750" spans="1:8" x14ac:dyDescent="0.15">
      <c r="A750">
        <v>32</v>
      </c>
      <c r="B750">
        <v>23</v>
      </c>
      <c r="C750">
        <v>1414835.23046875</v>
      </c>
      <c r="D750">
        <v>1271478.3965825215</v>
      </c>
      <c r="E750">
        <v>1.3481347973692795E-5</v>
      </c>
      <c r="F750">
        <v>1.3459715100159322E-5</v>
      </c>
      <c r="G750">
        <v>2.163287353347327E-8</v>
      </c>
      <c r="H750" t="b">
        <v>0</v>
      </c>
    </row>
    <row r="751" spans="1:8" x14ac:dyDescent="0.15">
      <c r="A751">
        <v>32</v>
      </c>
      <c r="B751">
        <v>24</v>
      </c>
      <c r="C751">
        <v>1414851.43046875</v>
      </c>
      <c r="D751">
        <v>1475153.6999137599</v>
      </c>
      <c r="E751">
        <v>1.3484798469807794E-5</v>
      </c>
      <c r="F751">
        <v>1.3459715100159322E-5</v>
      </c>
      <c r="G751">
        <v>2.5083369648472439E-8</v>
      </c>
      <c r="H751" t="b">
        <v>0</v>
      </c>
    </row>
    <row r="752" spans="1:8" x14ac:dyDescent="0.15">
      <c r="A752">
        <v>32</v>
      </c>
      <c r="B752">
        <v>25</v>
      </c>
      <c r="C752">
        <v>1414843.3304687499</v>
      </c>
      <c r="D752">
        <v>1373320.224687634</v>
      </c>
      <c r="E752">
        <v>1.3483073800037385E-5</v>
      </c>
      <c r="F752">
        <v>1.3459715100159322E-5</v>
      </c>
      <c r="G752">
        <v>2.3358699878063004E-8</v>
      </c>
      <c r="H752" t="b">
        <v>0</v>
      </c>
    </row>
    <row r="753" spans="1:8" x14ac:dyDescent="0.15">
      <c r="A753">
        <v>32</v>
      </c>
      <c r="B753">
        <v>26</v>
      </c>
      <c r="C753">
        <v>1414847.3804687499</v>
      </c>
      <c r="D753">
        <v>1424268.1544034772</v>
      </c>
      <c r="E753">
        <v>1.3483936789954287E-5</v>
      </c>
      <c r="F753">
        <v>1.3459715100159322E-5</v>
      </c>
      <c r="G753">
        <v>2.4221689794964906E-8</v>
      </c>
      <c r="H753" t="b">
        <v>0</v>
      </c>
    </row>
    <row r="754" spans="1:8" x14ac:dyDescent="0.15">
      <c r="A754">
        <v>33</v>
      </c>
      <c r="B754">
        <v>1</v>
      </c>
      <c r="C754">
        <v>6050000</v>
      </c>
      <c r="D754">
        <v>2.341350357985193E+18</v>
      </c>
      <c r="E754">
        <v>536.87092200000006</v>
      </c>
      <c r="F754">
        <v>1.7680171254141896E-5</v>
      </c>
      <c r="G754">
        <v>536.87090431982881</v>
      </c>
      <c r="H754" t="b">
        <v>0</v>
      </c>
    </row>
    <row r="755" spans="1:8" x14ac:dyDescent="0.15">
      <c r="A755">
        <v>33</v>
      </c>
      <c r="B755">
        <v>2</v>
      </c>
      <c r="C755">
        <v>3075000</v>
      </c>
      <c r="D755">
        <v>1.9084119921770909E+17</v>
      </c>
      <c r="E755">
        <v>59.014349665491196</v>
      </c>
      <c r="F755">
        <v>1.7680171211509332E-5</v>
      </c>
      <c r="G755">
        <v>59.014331985319984</v>
      </c>
      <c r="H755" t="b">
        <v>0</v>
      </c>
    </row>
    <row r="756" spans="1:8" x14ac:dyDescent="0.15">
      <c r="A756">
        <v>33</v>
      </c>
      <c r="B756">
        <v>3</v>
      </c>
      <c r="C756">
        <v>1587500</v>
      </c>
      <c r="D756">
        <v>20304560992.986763</v>
      </c>
      <c r="E756">
        <v>1.294598414620541E-4</v>
      </c>
      <c r="F756">
        <v>1.7680171212762467E-5</v>
      </c>
      <c r="G756">
        <v>1.1177967024929163E-4</v>
      </c>
      <c r="H756" t="b">
        <v>0</v>
      </c>
    </row>
    <row r="757" spans="1:8" x14ac:dyDescent="0.15">
      <c r="A757">
        <v>33</v>
      </c>
      <c r="B757">
        <v>4</v>
      </c>
      <c r="C757">
        <v>843750</v>
      </c>
      <c r="D757">
        <v>-24834.628172841502</v>
      </c>
      <c r="E757">
        <v>-7.9101868056380669E-6</v>
      </c>
      <c r="F757">
        <v>1.7680171212762467E-5</v>
      </c>
      <c r="G757">
        <v>-2.5590358018400534E-5</v>
      </c>
      <c r="H757" t="b">
        <v>1</v>
      </c>
    </row>
    <row r="758" spans="1:8" x14ac:dyDescent="0.15">
      <c r="A758">
        <v>33</v>
      </c>
      <c r="B758">
        <v>5</v>
      </c>
      <c r="C758">
        <v>1215625</v>
      </c>
      <c r="D758">
        <v>-228950.16632614221</v>
      </c>
      <c r="E758">
        <v>2.4579439234228109E-6</v>
      </c>
      <c r="F758">
        <v>1.7680171212762467E-5</v>
      </c>
      <c r="G758">
        <v>-1.5222227289339657E-5</v>
      </c>
      <c r="H758" t="b">
        <v>1</v>
      </c>
    </row>
    <row r="759" spans="1:8" x14ac:dyDescent="0.15">
      <c r="A759">
        <v>33</v>
      </c>
      <c r="B759">
        <v>6</v>
      </c>
      <c r="C759">
        <v>1401562.5</v>
      </c>
      <c r="D759">
        <v>-56466725.320339583</v>
      </c>
      <c r="E759">
        <v>1.1439285078273042E-5</v>
      </c>
      <c r="F759">
        <v>1.7680171212762467E-5</v>
      </c>
      <c r="G759">
        <v>-6.2408861344894247E-6</v>
      </c>
      <c r="H759" t="b">
        <v>1</v>
      </c>
    </row>
    <row r="760" spans="1:8" x14ac:dyDescent="0.15">
      <c r="A760">
        <v>33</v>
      </c>
      <c r="B760">
        <v>7</v>
      </c>
      <c r="C760">
        <v>1494531.25</v>
      </c>
      <c r="D760">
        <v>2042661623.9258742</v>
      </c>
      <c r="E760">
        <v>3.7504602113016257E-5</v>
      </c>
      <c r="F760">
        <v>1.7680171212762467E-5</v>
      </c>
      <c r="G760">
        <v>1.9824430900253791E-5</v>
      </c>
      <c r="H760" t="b">
        <v>0</v>
      </c>
    </row>
    <row r="761" spans="1:8" x14ac:dyDescent="0.15">
      <c r="A761">
        <v>33</v>
      </c>
      <c r="B761">
        <v>8</v>
      </c>
      <c r="C761">
        <v>1448046.875</v>
      </c>
      <c r="D761">
        <v>82455852.166954011</v>
      </c>
      <c r="E761">
        <v>1.9175481054523312E-5</v>
      </c>
      <c r="F761">
        <v>1.7680171212762467E-5</v>
      </c>
      <c r="G761">
        <v>1.4953098417608451E-6</v>
      </c>
      <c r="H761" t="b">
        <v>0</v>
      </c>
    </row>
    <row r="762" spans="1:8" x14ac:dyDescent="0.15">
      <c r="A762">
        <v>33</v>
      </c>
      <c r="B762">
        <v>9</v>
      </c>
      <c r="C762">
        <v>1424804.6875</v>
      </c>
      <c r="D762">
        <v>-90520386.737561211</v>
      </c>
      <c r="E762">
        <v>1.3625369497096058E-5</v>
      </c>
      <c r="F762">
        <v>1.7680171212762467E-5</v>
      </c>
      <c r="G762">
        <v>-4.0548017156664092E-6</v>
      </c>
      <c r="H762" t="b">
        <v>1</v>
      </c>
    </row>
    <row r="763" spans="1:8" x14ac:dyDescent="0.15">
      <c r="A763">
        <v>33</v>
      </c>
      <c r="B763">
        <v>10</v>
      </c>
      <c r="C763">
        <v>1436425.78125</v>
      </c>
      <c r="D763">
        <v>-58672019.64481581</v>
      </c>
      <c r="E763">
        <v>1.6117645310817194E-5</v>
      </c>
      <c r="F763">
        <v>1.7680171212762467E-5</v>
      </c>
      <c r="G763">
        <v>-1.5625259019452724E-6</v>
      </c>
      <c r="H763" t="b">
        <v>1</v>
      </c>
    </row>
    <row r="764" spans="1:8" x14ac:dyDescent="0.15">
      <c r="A764">
        <v>33</v>
      </c>
      <c r="B764">
        <v>11</v>
      </c>
      <c r="C764">
        <v>1442236.328125</v>
      </c>
      <c r="D764">
        <v>-4345587.5152034415</v>
      </c>
      <c r="E764">
        <v>1.7586038719345995E-5</v>
      </c>
      <c r="F764">
        <v>1.7680171212762467E-5</v>
      </c>
      <c r="G764">
        <v>-9.413249341647223E-8</v>
      </c>
      <c r="H764" t="b">
        <v>1</v>
      </c>
    </row>
    <row r="765" spans="1:8" x14ac:dyDescent="0.15">
      <c r="A765">
        <v>33</v>
      </c>
      <c r="B765">
        <v>12</v>
      </c>
      <c r="C765">
        <v>1445141.6015625</v>
      </c>
      <c r="D765">
        <v>34678912.416544065</v>
      </c>
      <c r="E765">
        <v>1.836536345575486E-5</v>
      </c>
      <c r="F765">
        <v>1.7680171212762467E-5</v>
      </c>
      <c r="G765">
        <v>6.8519224299239337E-7</v>
      </c>
      <c r="H765" t="b">
        <v>0</v>
      </c>
    </row>
    <row r="766" spans="1:8" x14ac:dyDescent="0.15">
      <c r="A766">
        <v>33</v>
      </c>
      <c r="B766">
        <v>13</v>
      </c>
      <c r="C766">
        <v>1443688.96484375</v>
      </c>
      <c r="D766">
        <v>14111785.820692699</v>
      </c>
      <c r="E766">
        <v>1.7971873652660007E-5</v>
      </c>
      <c r="F766">
        <v>1.7680171212762467E-5</v>
      </c>
      <c r="G766">
        <v>2.9170243989753999E-7</v>
      </c>
      <c r="H766" t="b">
        <v>0</v>
      </c>
    </row>
    <row r="767" spans="1:8" x14ac:dyDescent="0.15">
      <c r="A767">
        <v>33</v>
      </c>
      <c r="B767">
        <v>14</v>
      </c>
      <c r="C767">
        <v>1442488.96484375</v>
      </c>
      <c r="D767">
        <v>-1283933.1247373389</v>
      </c>
      <c r="E767">
        <v>1.7652588084717035E-5</v>
      </c>
      <c r="F767">
        <v>1.7680171212762467E-5</v>
      </c>
      <c r="G767">
        <v>-2.7583128045431622E-8</v>
      </c>
      <c r="H767" t="b">
        <v>1</v>
      </c>
    </row>
    <row r="768" spans="1:8" x14ac:dyDescent="0.15">
      <c r="A768">
        <v>33</v>
      </c>
      <c r="B768">
        <v>15</v>
      </c>
      <c r="C768">
        <v>1443088.96484375</v>
      </c>
      <c r="D768">
        <v>6236399.9079798879</v>
      </c>
      <c r="E768">
        <v>1.7811572799583948E-5</v>
      </c>
      <c r="F768">
        <v>1.7680171212762467E-5</v>
      </c>
      <c r="G768">
        <v>1.3140158682148109E-7</v>
      </c>
      <c r="H768" t="b">
        <v>0</v>
      </c>
    </row>
    <row r="769" spans="1:8" x14ac:dyDescent="0.15">
      <c r="A769">
        <v>33</v>
      </c>
      <c r="B769">
        <v>16</v>
      </c>
      <c r="C769">
        <v>1442788.96484375</v>
      </c>
      <c r="D769">
        <v>2432299.1220271816</v>
      </c>
      <c r="E769">
        <v>1.7731918167900864E-5</v>
      </c>
      <c r="F769">
        <v>1.7680171212762467E-5</v>
      </c>
      <c r="G769">
        <v>5.1746955138397602E-8</v>
      </c>
      <c r="H769" t="b">
        <v>0</v>
      </c>
    </row>
    <row r="770" spans="1:8" x14ac:dyDescent="0.15">
      <c r="A770">
        <v>33</v>
      </c>
      <c r="B770">
        <v>17</v>
      </c>
      <c r="C770">
        <v>1442428.96484375</v>
      </c>
      <c r="D770">
        <v>-2016590.7498359631</v>
      </c>
      <c r="E770">
        <v>1.7636763258888552E-5</v>
      </c>
      <c r="F770">
        <v>1.7680171212762467E-5</v>
      </c>
      <c r="G770">
        <v>-4.3407953873915049E-8</v>
      </c>
      <c r="H770" t="b">
        <v>1</v>
      </c>
    </row>
    <row r="771" spans="1:8" x14ac:dyDescent="0.15">
      <c r="A771">
        <v>33</v>
      </c>
      <c r="B771">
        <v>18</v>
      </c>
      <c r="C771">
        <v>1442608.96484375</v>
      </c>
      <c r="D771">
        <v>192087.43347548225</v>
      </c>
      <c r="E771">
        <v>1.7684281790174398E-5</v>
      </c>
      <c r="F771">
        <v>1.7680171212762467E-5</v>
      </c>
      <c r="G771">
        <v>4.1105774119309989E-9</v>
      </c>
      <c r="H771" t="b">
        <v>0</v>
      </c>
    </row>
    <row r="772" spans="1:8" x14ac:dyDescent="0.15">
      <c r="A772">
        <v>33</v>
      </c>
      <c r="B772">
        <v>19</v>
      </c>
      <c r="C772">
        <v>1442824.96484375</v>
      </c>
      <c r="D772">
        <v>2884138.8580753133</v>
      </c>
      <c r="E772">
        <v>1.7741459594619047E-5</v>
      </c>
      <c r="F772">
        <v>1.7680171212762467E-5</v>
      </c>
      <c r="G772">
        <v>6.1288381856580536E-8</v>
      </c>
      <c r="H772" t="b">
        <v>0</v>
      </c>
    </row>
    <row r="773" spans="1:8" x14ac:dyDescent="0.15">
      <c r="A773">
        <v>33</v>
      </c>
      <c r="B773">
        <v>20</v>
      </c>
      <c r="C773">
        <v>1442716.96484375</v>
      </c>
      <c r="D773">
        <v>1532420.8738960132</v>
      </c>
      <c r="E773">
        <v>1.7712849472014712E-5</v>
      </c>
      <c r="F773">
        <v>1.7680171212762467E-5</v>
      </c>
      <c r="G773">
        <v>3.2678259252245283E-8</v>
      </c>
      <c r="H773" t="b">
        <v>0</v>
      </c>
    </row>
    <row r="774" spans="1:8" x14ac:dyDescent="0.15">
      <c r="A774">
        <v>33</v>
      </c>
      <c r="B774">
        <v>21</v>
      </c>
      <c r="C774">
        <v>1442587.3648437499</v>
      </c>
      <c r="D774">
        <v>-74616.137242987228</v>
      </c>
      <c r="E774">
        <v>1.7678573341649086E-5</v>
      </c>
      <c r="F774">
        <v>1.7680171212762467E-5</v>
      </c>
      <c r="G774">
        <v>-1.5978711133809922E-9</v>
      </c>
      <c r="H774" t="b">
        <v>1</v>
      </c>
    </row>
    <row r="775" spans="1:8" x14ac:dyDescent="0.15">
      <c r="A775">
        <v>33</v>
      </c>
      <c r="B775">
        <v>22</v>
      </c>
      <c r="C775">
        <v>1442652.16484375</v>
      </c>
      <c r="D775">
        <v>726856.86693124194</v>
      </c>
      <c r="E775">
        <v>1.769570377369061E-5</v>
      </c>
      <c r="F775">
        <v>1.7680171212762467E-5</v>
      </c>
      <c r="G775">
        <v>1.5532560928142761E-8</v>
      </c>
      <c r="H775" t="b">
        <v>0</v>
      </c>
    </row>
    <row r="776" spans="1:8" x14ac:dyDescent="0.15">
      <c r="A776">
        <v>33</v>
      </c>
      <c r="B776">
        <v>23</v>
      </c>
      <c r="C776">
        <v>1442729.92484375</v>
      </c>
      <c r="D776">
        <v>1693946.5985566922</v>
      </c>
      <c r="E776">
        <v>1.7716278775606946E-5</v>
      </c>
      <c r="F776">
        <v>1.7680171212762467E-5</v>
      </c>
      <c r="G776">
        <v>3.610756284447964E-8</v>
      </c>
      <c r="H776" t="b">
        <v>0</v>
      </c>
    </row>
    <row r="777" spans="1:8" x14ac:dyDescent="0.15">
      <c r="A777">
        <v>33</v>
      </c>
      <c r="B777">
        <v>24</v>
      </c>
      <c r="C777">
        <v>1442691.0448437501</v>
      </c>
      <c r="D777">
        <v>1209703.875265094</v>
      </c>
      <c r="E777">
        <v>1.7705989359938177E-5</v>
      </c>
      <c r="F777">
        <v>1.7680171212762467E-5</v>
      </c>
      <c r="G777">
        <v>2.5818147175709895E-8</v>
      </c>
      <c r="H777" t="b">
        <v>0</v>
      </c>
    </row>
    <row r="778" spans="1:8" x14ac:dyDescent="0.15">
      <c r="A778">
        <v>33</v>
      </c>
      <c r="B778">
        <v>25</v>
      </c>
      <c r="C778">
        <v>1442710.48484375</v>
      </c>
      <c r="D778">
        <v>1451601.6389527679</v>
      </c>
      <c r="E778">
        <v>1.7711132546260257E-5</v>
      </c>
      <c r="F778">
        <v>1.7680171212762467E-5</v>
      </c>
      <c r="G778">
        <v>3.0961333497789853E-8</v>
      </c>
      <c r="H778" t="b">
        <v>0</v>
      </c>
    </row>
    <row r="779" spans="1:8" x14ac:dyDescent="0.15">
      <c r="A779">
        <v>34</v>
      </c>
      <c r="B779">
        <v>1</v>
      </c>
      <c r="C779">
        <v>6050000</v>
      </c>
      <c r="D779">
        <v>1.3478401753834017E+18</v>
      </c>
      <c r="E779">
        <v>536.87092200000006</v>
      </c>
      <c r="F779">
        <v>2.5199273295584135E-5</v>
      </c>
      <c r="G779">
        <v>536.87089680072677</v>
      </c>
      <c r="H779" t="b">
        <v>0</v>
      </c>
    </row>
    <row r="780" spans="1:8" x14ac:dyDescent="0.15">
      <c r="A780">
        <v>34</v>
      </c>
      <c r="B780">
        <v>2</v>
      </c>
      <c r="C780">
        <v>3075000</v>
      </c>
      <c r="D780">
        <v>4.3603582642034291E+17</v>
      </c>
      <c r="E780">
        <v>198.21468431578447</v>
      </c>
      <c r="F780">
        <v>2.5199273324005844E-5</v>
      </c>
      <c r="G780">
        <v>198.21465911651114</v>
      </c>
      <c r="H780" t="b">
        <v>0</v>
      </c>
    </row>
    <row r="781" spans="1:8" x14ac:dyDescent="0.15">
      <c r="A781">
        <v>34</v>
      </c>
      <c r="B781">
        <v>3</v>
      </c>
      <c r="C781">
        <v>1587500</v>
      </c>
      <c r="D781">
        <v>84331698158.283005</v>
      </c>
      <c r="E781">
        <v>5.3083439463356367E-4</v>
      </c>
      <c r="F781">
        <v>2.5199273325269482E-5</v>
      </c>
      <c r="G781">
        <v>5.0563512130829419E-4</v>
      </c>
      <c r="H781" t="b">
        <v>0</v>
      </c>
    </row>
    <row r="782" spans="1:8" x14ac:dyDescent="0.15">
      <c r="A782">
        <v>34</v>
      </c>
      <c r="B782">
        <v>4</v>
      </c>
      <c r="C782">
        <v>843750</v>
      </c>
      <c r="D782">
        <v>-33117.570404445425</v>
      </c>
      <c r="E782">
        <v>-6.9606820049891656E-6</v>
      </c>
      <c r="F782">
        <v>2.5199273325269434E-5</v>
      </c>
      <c r="G782">
        <v>-3.2159955330258601E-5</v>
      </c>
      <c r="H782" t="b">
        <v>1</v>
      </c>
    </row>
    <row r="783" spans="1:8" x14ac:dyDescent="0.15">
      <c r="A783">
        <v>34</v>
      </c>
      <c r="B783">
        <v>5</v>
      </c>
      <c r="C783">
        <v>1215625</v>
      </c>
      <c r="D783">
        <v>-391633.53585737123</v>
      </c>
      <c r="E783">
        <v>5.9027501912689955E-6</v>
      </c>
      <c r="F783">
        <v>2.5199273325269434E-5</v>
      </c>
      <c r="G783">
        <v>-1.929652313400044E-5</v>
      </c>
      <c r="H783" t="b">
        <v>1</v>
      </c>
    </row>
    <row r="784" spans="1:8" x14ac:dyDescent="0.15">
      <c r="A784">
        <v>34</v>
      </c>
      <c r="B784">
        <v>6</v>
      </c>
      <c r="C784">
        <v>1401562.5</v>
      </c>
      <c r="D784">
        <v>1178747745.6704781</v>
      </c>
      <c r="E784">
        <v>4.4695463423374766E-5</v>
      </c>
      <c r="F784">
        <v>2.5199273325269434E-5</v>
      </c>
      <c r="G784">
        <v>1.9496190098105332E-5</v>
      </c>
      <c r="H784" t="b">
        <v>0</v>
      </c>
    </row>
    <row r="785" spans="1:8" x14ac:dyDescent="0.15">
      <c r="A785">
        <v>34</v>
      </c>
      <c r="B785">
        <v>7</v>
      </c>
      <c r="C785">
        <v>1308593.75</v>
      </c>
      <c r="D785">
        <v>-13537558.078014722</v>
      </c>
      <c r="E785">
        <v>1.3072551516239505E-5</v>
      </c>
      <c r="F785">
        <v>2.5199273325269434E-5</v>
      </c>
      <c r="G785">
        <v>-1.2126721809029929E-5</v>
      </c>
      <c r="H785" t="b">
        <v>1</v>
      </c>
    </row>
    <row r="786" spans="1:8" x14ac:dyDescent="0.15">
      <c r="A786">
        <v>34</v>
      </c>
      <c r="B786">
        <v>8</v>
      </c>
      <c r="C786">
        <v>1355078.125</v>
      </c>
      <c r="D786">
        <v>-81868214.714734972</v>
      </c>
      <c r="E786">
        <v>2.1933811767085915E-5</v>
      </c>
      <c r="F786">
        <v>2.5199273325269434E-5</v>
      </c>
      <c r="G786">
        <v>-3.265461558183519E-6</v>
      </c>
      <c r="H786" t="b">
        <v>1</v>
      </c>
    </row>
    <row r="787" spans="1:8" x14ac:dyDescent="0.15">
      <c r="A787">
        <v>34</v>
      </c>
      <c r="B787">
        <v>9</v>
      </c>
      <c r="C787">
        <v>1378320.3125</v>
      </c>
      <c r="D787">
        <v>300299158.96737385</v>
      </c>
      <c r="E787">
        <v>3.1480443980855427E-5</v>
      </c>
      <c r="F787">
        <v>2.5199273325269434E-5</v>
      </c>
      <c r="G787">
        <v>6.2811706555859927E-6</v>
      </c>
      <c r="H787" t="b">
        <v>0</v>
      </c>
    </row>
    <row r="788" spans="1:8" x14ac:dyDescent="0.15">
      <c r="A788">
        <v>34</v>
      </c>
      <c r="B788">
        <v>10</v>
      </c>
      <c r="C788">
        <v>1366699.21875</v>
      </c>
      <c r="D788">
        <v>41657730.747616298</v>
      </c>
      <c r="E788">
        <v>2.6313000238750409E-5</v>
      </c>
      <c r="F788">
        <v>2.5199273325269434E-5</v>
      </c>
      <c r="G788">
        <v>1.1137269134809747E-6</v>
      </c>
      <c r="H788" t="b">
        <v>0</v>
      </c>
    </row>
    <row r="789" spans="1:8" x14ac:dyDescent="0.15">
      <c r="A789">
        <v>34</v>
      </c>
      <c r="B789">
        <v>11</v>
      </c>
      <c r="C789">
        <v>1360888.671875</v>
      </c>
      <c r="D789">
        <v>-36332342.679025233</v>
      </c>
      <c r="E789">
        <v>2.4032133381089925E-5</v>
      </c>
      <c r="F789">
        <v>2.5199273325269434E-5</v>
      </c>
      <c r="G789">
        <v>-1.1671399441795094E-6</v>
      </c>
      <c r="H789" t="b">
        <v>1</v>
      </c>
    </row>
    <row r="790" spans="1:8" x14ac:dyDescent="0.15">
      <c r="A790">
        <v>34</v>
      </c>
      <c r="B790">
        <v>12</v>
      </c>
      <c r="C790">
        <v>1363793.9453125</v>
      </c>
      <c r="D790">
        <v>-1725492.23913786</v>
      </c>
      <c r="E790">
        <v>2.5148880564039871E-5</v>
      </c>
      <c r="F790">
        <v>2.5199273325269434E-5</v>
      </c>
      <c r="G790">
        <v>-5.0392761229563584E-8</v>
      </c>
      <c r="H790" t="b">
        <v>1</v>
      </c>
    </row>
    <row r="791" spans="1:8" x14ac:dyDescent="0.15">
      <c r="A791">
        <v>34</v>
      </c>
      <c r="B791">
        <v>13</v>
      </c>
      <c r="C791">
        <v>1365246.58203125</v>
      </c>
      <c r="D791">
        <v>18826114.183480062</v>
      </c>
      <c r="E791">
        <v>2.5724906592908743E-5</v>
      </c>
      <c r="F791">
        <v>2.5199273325269434E-5</v>
      </c>
      <c r="G791">
        <v>5.2563326763930846E-7</v>
      </c>
      <c r="H791" t="b">
        <v>0</v>
      </c>
    </row>
    <row r="792" spans="1:8" x14ac:dyDescent="0.15">
      <c r="A792">
        <v>34</v>
      </c>
      <c r="B792">
        <v>14</v>
      </c>
      <c r="C792">
        <v>1364046.58203125</v>
      </c>
      <c r="D792">
        <v>1688783.8841892623</v>
      </c>
      <c r="E792">
        <v>2.5248203857816525E-5</v>
      </c>
      <c r="F792">
        <v>2.5199273325269434E-5</v>
      </c>
      <c r="G792">
        <v>4.8930532547090825E-8</v>
      </c>
      <c r="H792" t="b">
        <v>0</v>
      </c>
    </row>
    <row r="793" spans="1:8" x14ac:dyDescent="0.15">
      <c r="A793">
        <v>34</v>
      </c>
      <c r="B793">
        <v>15</v>
      </c>
      <c r="C793">
        <v>1362606.58203125</v>
      </c>
      <c r="D793">
        <v>-16890892.46581272</v>
      </c>
      <c r="E793">
        <v>2.4686851886936719E-5</v>
      </c>
      <c r="F793">
        <v>2.5199273325269434E-5</v>
      </c>
      <c r="G793">
        <v>-5.1242143833271582E-7</v>
      </c>
      <c r="H793" t="b">
        <v>1</v>
      </c>
    </row>
    <row r="794" spans="1:8" x14ac:dyDescent="0.15">
      <c r="A794">
        <v>34</v>
      </c>
      <c r="B794">
        <v>16</v>
      </c>
      <c r="C794">
        <v>1363326.58203125</v>
      </c>
      <c r="D794">
        <v>-7867135.3096036371</v>
      </c>
      <c r="E794">
        <v>2.4966081874223999E-5</v>
      </c>
      <c r="F794">
        <v>2.5199273325269434E-5</v>
      </c>
      <c r="G794">
        <v>-2.3319145104543586E-7</v>
      </c>
      <c r="H794" t="b">
        <v>1</v>
      </c>
    </row>
    <row r="795" spans="1:8" x14ac:dyDescent="0.15">
      <c r="A795">
        <v>34</v>
      </c>
      <c r="B795">
        <v>17</v>
      </c>
      <c r="C795">
        <v>1364046.58203125</v>
      </c>
      <c r="D795">
        <v>1688783.8841892623</v>
      </c>
      <c r="E795">
        <v>2.5248203857816525E-5</v>
      </c>
      <c r="F795">
        <v>2.5199273325269434E-5</v>
      </c>
      <c r="G795">
        <v>4.8930532547090825E-8</v>
      </c>
      <c r="H795" t="b">
        <v>0</v>
      </c>
    </row>
    <row r="796" spans="1:8" x14ac:dyDescent="0.15">
      <c r="A796">
        <v>34</v>
      </c>
      <c r="B796">
        <v>18</v>
      </c>
      <c r="C796">
        <v>1363686.58203125</v>
      </c>
      <c r="D796">
        <v>-3156417.2157591511</v>
      </c>
      <c r="E796">
        <v>2.5106777463572315E-5</v>
      </c>
      <c r="F796">
        <v>2.5199273325269434E-5</v>
      </c>
      <c r="G796">
        <v>-9.2495861697119638E-8</v>
      </c>
      <c r="H796" t="b">
        <v>1</v>
      </c>
    </row>
    <row r="797" spans="1:8" x14ac:dyDescent="0.15">
      <c r="A797">
        <v>34</v>
      </c>
      <c r="B797">
        <v>19</v>
      </c>
      <c r="C797">
        <v>1363866.58203125</v>
      </c>
      <c r="D797">
        <v>-750651.79133335466</v>
      </c>
      <c r="E797">
        <v>2.5177400763777886E-5</v>
      </c>
      <c r="F797">
        <v>2.5199273325269434E-5</v>
      </c>
      <c r="G797">
        <v>-2.1872561491548091E-8</v>
      </c>
      <c r="H797" t="b">
        <v>1</v>
      </c>
    </row>
    <row r="798" spans="1:8" x14ac:dyDescent="0.15">
      <c r="A798">
        <v>34</v>
      </c>
      <c r="B798">
        <v>20</v>
      </c>
      <c r="C798">
        <v>1364046.58203125</v>
      </c>
      <c r="D798">
        <v>1688783.8841892623</v>
      </c>
      <c r="E798">
        <v>2.5248203857816525E-5</v>
      </c>
      <c r="F798">
        <v>2.5199273325269434E-5</v>
      </c>
      <c r="G798">
        <v>4.8930532547090825E-8</v>
      </c>
      <c r="H798" t="b">
        <v>0</v>
      </c>
    </row>
    <row r="799" spans="1:8" x14ac:dyDescent="0.15">
      <c r="A799">
        <v>34</v>
      </c>
      <c r="B799">
        <v>21</v>
      </c>
      <c r="C799">
        <v>1363956.58203125</v>
      </c>
      <c r="D799">
        <v>464837.62725754536</v>
      </c>
      <c r="E799">
        <v>2.5212779530527319E-5</v>
      </c>
      <c r="F799">
        <v>2.5199273325269434E-5</v>
      </c>
      <c r="G799">
        <v>1.3506205257884598E-8</v>
      </c>
      <c r="H799" t="b">
        <v>0</v>
      </c>
    </row>
    <row r="800" spans="1:8" x14ac:dyDescent="0.15">
      <c r="A800">
        <v>34</v>
      </c>
      <c r="B800">
        <v>22</v>
      </c>
      <c r="C800">
        <v>1364001.58203125</v>
      </c>
      <c r="D800">
        <v>1075748.9848242525</v>
      </c>
      <c r="E800">
        <v>2.5230485897575553E-5</v>
      </c>
      <c r="F800">
        <v>2.5199273325269434E-5</v>
      </c>
      <c r="G800">
        <v>3.1212572306118646E-8</v>
      </c>
      <c r="H800" t="b">
        <v>0</v>
      </c>
    </row>
    <row r="801" spans="1:8" x14ac:dyDescent="0.15">
      <c r="A801">
        <v>34</v>
      </c>
      <c r="B801">
        <v>23</v>
      </c>
      <c r="C801">
        <v>1364055.58203125</v>
      </c>
      <c r="D801">
        <v>1811645.1051784107</v>
      </c>
      <c r="E801">
        <v>2.525174881817738E-5</v>
      </c>
      <c r="F801">
        <v>2.5199273325269434E-5</v>
      </c>
      <c r="G801">
        <v>5.2475492907945161E-8</v>
      </c>
      <c r="H801" t="b">
        <v>0</v>
      </c>
    </row>
    <row r="802" spans="1:8" x14ac:dyDescent="0.15">
      <c r="A802">
        <v>34</v>
      </c>
      <c r="B802">
        <v>24</v>
      </c>
      <c r="C802">
        <v>1364028.58203125</v>
      </c>
      <c r="D802">
        <v>1443315.7445129447</v>
      </c>
      <c r="E802">
        <v>2.5241115305567511E-5</v>
      </c>
      <c r="F802">
        <v>2.5199273325269434E-5</v>
      </c>
      <c r="G802">
        <v>4.1841980298076392E-8</v>
      </c>
      <c r="H802" t="b">
        <v>0</v>
      </c>
    </row>
    <row r="803" spans="1:8" x14ac:dyDescent="0.15">
      <c r="A803">
        <v>34</v>
      </c>
      <c r="B803">
        <v>25</v>
      </c>
      <c r="C803">
        <v>1363996.1820312501</v>
      </c>
      <c r="D803">
        <v>1002327.0965469291</v>
      </c>
      <c r="E803">
        <v>2.5228360508404379E-5</v>
      </c>
      <c r="F803">
        <v>2.5199273325269434E-5</v>
      </c>
      <c r="G803">
        <v>2.9087183134944263E-8</v>
      </c>
      <c r="H803" t="b">
        <v>0</v>
      </c>
    </row>
    <row r="804" spans="1:8" x14ac:dyDescent="0.15">
      <c r="A804">
        <v>34</v>
      </c>
      <c r="B804">
        <v>26</v>
      </c>
      <c r="C804">
        <v>1364012.38203125</v>
      </c>
      <c r="D804">
        <v>1222684.2118734263</v>
      </c>
      <c r="E804">
        <v>2.5234737168311876E-5</v>
      </c>
      <c r="F804">
        <v>2.5199273325269434E-5</v>
      </c>
      <c r="G804">
        <v>3.5463843042441584E-8</v>
      </c>
      <c r="H804" t="b">
        <v>0</v>
      </c>
    </row>
    <row r="805" spans="1:8" x14ac:dyDescent="0.15">
      <c r="A805">
        <v>34</v>
      </c>
      <c r="B805">
        <v>27</v>
      </c>
      <c r="C805">
        <v>1364031.82203125</v>
      </c>
      <c r="D805">
        <v>1487474.991621101</v>
      </c>
      <c r="E805">
        <v>2.5242391110328887E-5</v>
      </c>
      <c r="F805">
        <v>2.5199273325269434E-5</v>
      </c>
      <c r="G805">
        <v>4.3117785059452492E-8</v>
      </c>
      <c r="H805" t="b">
        <v>0</v>
      </c>
    </row>
    <row r="806" spans="1:8" x14ac:dyDescent="0.15">
      <c r="A806">
        <v>34</v>
      </c>
      <c r="B806">
        <v>28</v>
      </c>
      <c r="C806">
        <v>1364022.10203125</v>
      </c>
      <c r="D806">
        <v>1355030.1937619823</v>
      </c>
      <c r="E806">
        <v>2.5238563873363364E-5</v>
      </c>
      <c r="F806">
        <v>2.5199273325269434E-5</v>
      </c>
      <c r="G806">
        <v>3.9290548093929819E-8</v>
      </c>
      <c r="H806" t="b">
        <v>0</v>
      </c>
    </row>
    <row r="807" spans="1:8" x14ac:dyDescent="0.15">
      <c r="A807">
        <v>35</v>
      </c>
      <c r="B807">
        <v>1</v>
      </c>
      <c r="C807">
        <v>6050000</v>
      </c>
      <c r="D807">
        <v>2.2767553324628488E+18</v>
      </c>
      <c r="E807">
        <v>536.87092200000006</v>
      </c>
      <c r="F807">
        <v>1.800037262000842E-5</v>
      </c>
      <c r="G807">
        <v>536.87090399962744</v>
      </c>
      <c r="H807" t="b">
        <v>0</v>
      </c>
    </row>
    <row r="808" spans="1:8" x14ac:dyDescent="0.15">
      <c r="A808">
        <v>35</v>
      </c>
      <c r="B808">
        <v>2</v>
      </c>
      <c r="C808">
        <v>3075000</v>
      </c>
      <c r="D808">
        <v>4451435499190753</v>
      </c>
      <c r="E808">
        <v>2.331940625003873</v>
      </c>
      <c r="F808">
        <v>1.8000372639104256E-5</v>
      </c>
      <c r="G808">
        <v>2.3319226246312339</v>
      </c>
      <c r="H808" t="b">
        <v>0</v>
      </c>
    </row>
    <row r="809" spans="1:8" x14ac:dyDescent="0.15">
      <c r="A809">
        <v>35</v>
      </c>
      <c r="B809">
        <v>3</v>
      </c>
      <c r="C809">
        <v>1587500</v>
      </c>
      <c r="D809">
        <v>-29096171.074564375</v>
      </c>
      <c r="E809">
        <v>1.7309988637675028E-5</v>
      </c>
      <c r="F809">
        <v>1.8000372639109338E-5</v>
      </c>
      <c r="G809">
        <v>-6.9038400143431029E-7</v>
      </c>
      <c r="H809" t="b">
        <v>1</v>
      </c>
    </row>
    <row r="810" spans="1:8" x14ac:dyDescent="0.15">
      <c r="A810">
        <v>35</v>
      </c>
      <c r="B810">
        <v>4</v>
      </c>
      <c r="C810">
        <v>2331250</v>
      </c>
      <c r="D810">
        <v>15869593470574.795</v>
      </c>
      <c r="E810">
        <v>2.0822113721271868E-2</v>
      </c>
      <c r="F810">
        <v>1.8000372639107726E-5</v>
      </c>
      <c r="G810">
        <v>2.0804113348632761E-2</v>
      </c>
      <c r="H810" t="b">
        <v>0</v>
      </c>
    </row>
    <row r="811" spans="1:8" x14ac:dyDescent="0.15">
      <c r="A811">
        <v>35</v>
      </c>
      <c r="B811">
        <v>5</v>
      </c>
      <c r="C811">
        <v>1959375</v>
      </c>
      <c r="D811">
        <v>360912279861.87317</v>
      </c>
      <c r="E811">
        <v>1.0394658630711827E-3</v>
      </c>
      <c r="F811">
        <v>1.8000372639109244E-5</v>
      </c>
      <c r="G811">
        <v>1.0214654904320735E-3</v>
      </c>
      <c r="H811" t="b">
        <v>0</v>
      </c>
    </row>
    <row r="812" spans="1:8" x14ac:dyDescent="0.15">
      <c r="A812">
        <v>35</v>
      </c>
      <c r="B812">
        <v>6</v>
      </c>
      <c r="C812">
        <v>1773437.5</v>
      </c>
      <c r="D812">
        <v>27565284460.137245</v>
      </c>
      <c r="E812">
        <v>1.6165562689742299E-4</v>
      </c>
      <c r="F812">
        <v>1.8000372639109352E-5</v>
      </c>
      <c r="G812">
        <v>1.4365525425831364E-4</v>
      </c>
      <c r="H812" t="b">
        <v>0</v>
      </c>
    </row>
    <row r="813" spans="1:8" x14ac:dyDescent="0.15">
      <c r="A813">
        <v>35</v>
      </c>
      <c r="B813">
        <v>7</v>
      </c>
      <c r="C813">
        <v>1680468.75</v>
      </c>
      <c r="D813">
        <v>4655393046.5567732</v>
      </c>
      <c r="E813">
        <v>5.5889521663841647E-5</v>
      </c>
      <c r="F813">
        <v>1.8000372639109338E-5</v>
      </c>
      <c r="G813">
        <v>3.7889149024732309E-5</v>
      </c>
      <c r="H813" t="b">
        <v>0</v>
      </c>
    </row>
    <row r="814" spans="1:8" x14ac:dyDescent="0.15">
      <c r="A814">
        <v>35</v>
      </c>
      <c r="B814">
        <v>8</v>
      </c>
      <c r="C814">
        <v>1633984.375</v>
      </c>
      <c r="D814">
        <v>1222915967.9484301</v>
      </c>
      <c r="E814">
        <v>3.1573685193178438E-5</v>
      </c>
      <c r="F814">
        <v>1.8000372639109338E-5</v>
      </c>
      <c r="G814">
        <v>1.35733125540691E-5</v>
      </c>
      <c r="H814" t="b">
        <v>0</v>
      </c>
    </row>
    <row r="815" spans="1:8" x14ac:dyDescent="0.15">
      <c r="A815">
        <v>35</v>
      </c>
      <c r="B815">
        <v>9</v>
      </c>
      <c r="C815">
        <v>1610742.1875</v>
      </c>
      <c r="D815">
        <v>401849214.66700262</v>
      </c>
      <c r="E815">
        <v>2.3469876763920419E-5</v>
      </c>
      <c r="F815">
        <v>1.8000372639109338E-5</v>
      </c>
      <c r="G815">
        <v>5.4695041248110807E-6</v>
      </c>
      <c r="H815" t="b">
        <v>0</v>
      </c>
    </row>
    <row r="816" spans="1:8" x14ac:dyDescent="0.15">
      <c r="A816">
        <v>35</v>
      </c>
      <c r="B816">
        <v>10</v>
      </c>
      <c r="C816">
        <v>1599121.09375</v>
      </c>
      <c r="D816">
        <v>125587659.51018006</v>
      </c>
      <c r="E816">
        <v>2.0175811482793392E-5</v>
      </c>
      <c r="F816">
        <v>1.8000372639109338E-5</v>
      </c>
      <c r="G816">
        <v>2.1754388436840536E-6</v>
      </c>
      <c r="H816" t="b">
        <v>0</v>
      </c>
    </row>
    <row r="817" spans="1:8" x14ac:dyDescent="0.15">
      <c r="A817">
        <v>35</v>
      </c>
      <c r="B817">
        <v>11</v>
      </c>
      <c r="C817">
        <v>1593310.546875</v>
      </c>
      <c r="D817">
        <v>34480626.185189225</v>
      </c>
      <c r="E817">
        <v>1.8692694598249503E-5</v>
      </c>
      <c r="F817">
        <v>1.8000372639109338E-5</v>
      </c>
      <c r="G817">
        <v>6.9232195914016432E-7</v>
      </c>
      <c r="H817" t="b">
        <v>0</v>
      </c>
    </row>
    <row r="818" spans="1:8" x14ac:dyDescent="0.15">
      <c r="A818">
        <v>35</v>
      </c>
      <c r="B818">
        <v>12</v>
      </c>
      <c r="C818">
        <v>1590405.2734375</v>
      </c>
      <c r="D818">
        <v>-513922.15787984827</v>
      </c>
      <c r="E818">
        <v>1.7989185876112679E-5</v>
      </c>
      <c r="F818">
        <v>1.8000372639109338E-5</v>
      </c>
      <c r="G818">
        <v>-1.1186762996659666E-8</v>
      </c>
      <c r="H818" t="b">
        <v>1</v>
      </c>
    </row>
    <row r="819" spans="1:8" x14ac:dyDescent="0.15">
      <c r="A819">
        <v>35</v>
      </c>
      <c r="B819">
        <v>13</v>
      </c>
      <c r="C819">
        <v>1591857.91015625</v>
      </c>
      <c r="D819">
        <v>16152996.933972364</v>
      </c>
      <c r="E819">
        <v>1.8337850911489511E-5</v>
      </c>
      <c r="F819">
        <v>1.8000372639109338E-5</v>
      </c>
      <c r="G819">
        <v>3.3747827238017264E-7</v>
      </c>
      <c r="H819" t="b">
        <v>0</v>
      </c>
    </row>
    <row r="820" spans="1:8" x14ac:dyDescent="0.15">
      <c r="A820">
        <v>35</v>
      </c>
      <c r="B820">
        <v>14</v>
      </c>
      <c r="C820">
        <v>1590657.91015625</v>
      </c>
      <c r="D820">
        <v>2267983.8161140569</v>
      </c>
      <c r="E820">
        <v>1.8049385197645793E-5</v>
      </c>
      <c r="F820">
        <v>1.8000372639109338E-5</v>
      </c>
      <c r="G820">
        <v>4.901255853645466E-8</v>
      </c>
      <c r="H820" t="b">
        <v>0</v>
      </c>
    </row>
    <row r="821" spans="1:8" x14ac:dyDescent="0.15">
      <c r="A821">
        <v>35</v>
      </c>
      <c r="B821">
        <v>15</v>
      </c>
      <c r="C821">
        <v>1589217.91015625</v>
      </c>
      <c r="D821">
        <v>-12944184.028947355</v>
      </c>
      <c r="E821">
        <v>1.7708709688881013E-5</v>
      </c>
      <c r="F821">
        <v>1.8000372639109338E-5</v>
      </c>
      <c r="G821">
        <v>-2.916629502283251E-7</v>
      </c>
      <c r="H821" t="b">
        <v>1</v>
      </c>
    </row>
    <row r="822" spans="1:8" x14ac:dyDescent="0.15">
      <c r="A822">
        <v>35</v>
      </c>
      <c r="B822">
        <v>16</v>
      </c>
      <c r="C822">
        <v>1589937.91015625</v>
      </c>
      <c r="D822">
        <v>-5532722.204145371</v>
      </c>
      <c r="E822">
        <v>1.7878304718720014E-5</v>
      </c>
      <c r="F822">
        <v>1.8000372639109338E-5</v>
      </c>
      <c r="G822">
        <v>-1.2206792038932404E-7</v>
      </c>
      <c r="H822" t="b">
        <v>1</v>
      </c>
    </row>
    <row r="823" spans="1:8" x14ac:dyDescent="0.15">
      <c r="A823">
        <v>35</v>
      </c>
      <c r="B823">
        <v>17</v>
      </c>
      <c r="C823">
        <v>1590657.91015625</v>
      </c>
      <c r="D823">
        <v>2267983.8161140569</v>
      </c>
      <c r="E823">
        <v>1.8049385197645793E-5</v>
      </c>
      <c r="F823">
        <v>1.8000372639109338E-5</v>
      </c>
      <c r="G823">
        <v>4.901255853645466E-8</v>
      </c>
      <c r="H823" t="b">
        <v>0</v>
      </c>
    </row>
    <row r="824" spans="1:8" x14ac:dyDescent="0.15">
      <c r="A824">
        <v>35</v>
      </c>
      <c r="B824">
        <v>18</v>
      </c>
      <c r="C824">
        <v>1590297.91015625</v>
      </c>
      <c r="D824">
        <v>-1681456.8734713644</v>
      </c>
      <c r="E824">
        <v>1.7963658571010464E-5</v>
      </c>
      <c r="F824">
        <v>1.8000372639109338E-5</v>
      </c>
      <c r="G824">
        <v>-3.6714068098874793E-8</v>
      </c>
      <c r="H824" t="b">
        <v>1</v>
      </c>
    </row>
    <row r="825" spans="1:8" x14ac:dyDescent="0.15">
      <c r="A825">
        <v>35</v>
      </c>
      <c r="B825">
        <v>19</v>
      </c>
      <c r="C825">
        <v>1590477.91015625</v>
      </c>
      <c r="D825">
        <v>280863.142750684</v>
      </c>
      <c r="E825">
        <v>1.8006473588233405E-5</v>
      </c>
      <c r="F825">
        <v>1.8000372639109338E-5</v>
      </c>
      <c r="G825">
        <v>6.1009491240663813E-9</v>
      </c>
      <c r="H825" t="b">
        <v>0</v>
      </c>
    </row>
    <row r="826" spans="1:8" x14ac:dyDescent="0.15">
      <c r="A826">
        <v>35</v>
      </c>
      <c r="B826">
        <v>20</v>
      </c>
      <c r="C826">
        <v>1590693.91015625</v>
      </c>
      <c r="D826">
        <v>2668361.7359304344</v>
      </c>
      <c r="E826">
        <v>1.8057978434584652E-5</v>
      </c>
      <c r="F826">
        <v>1.8000372639109338E-5</v>
      </c>
      <c r="G826">
        <v>5.7605795475313429E-8</v>
      </c>
      <c r="H826" t="b">
        <v>0</v>
      </c>
    </row>
    <row r="827" spans="1:8" x14ac:dyDescent="0.15">
      <c r="A827">
        <v>35</v>
      </c>
      <c r="B827">
        <v>21</v>
      </c>
      <c r="C827">
        <v>1590585.91015625</v>
      </c>
      <c r="D827">
        <v>1470123.651187852</v>
      </c>
      <c r="E827">
        <v>1.8032208335069614E-5</v>
      </c>
      <c r="F827">
        <v>1.8000372639109338E-5</v>
      </c>
      <c r="G827">
        <v>3.1835695960275164E-8</v>
      </c>
      <c r="H827" t="b">
        <v>0</v>
      </c>
    </row>
    <row r="828" spans="1:8" x14ac:dyDescent="0.15">
      <c r="A828">
        <v>35</v>
      </c>
      <c r="B828">
        <v>22</v>
      </c>
      <c r="C828">
        <v>1590639.91015625</v>
      </c>
      <c r="D828">
        <v>2068166.3738707895</v>
      </c>
      <c r="E828">
        <v>1.8045089983532535E-5</v>
      </c>
      <c r="F828">
        <v>1.8000372639109338E-5</v>
      </c>
      <c r="G828">
        <v>4.4717344423196288E-8</v>
      </c>
      <c r="H828" t="b">
        <v>0</v>
      </c>
    </row>
    <row r="829" spans="1:8" x14ac:dyDescent="0.15">
      <c r="A829">
        <v>35</v>
      </c>
      <c r="B829">
        <v>23</v>
      </c>
      <c r="C829">
        <v>1590612.91015625</v>
      </c>
      <c r="D829">
        <v>1768829.011274979</v>
      </c>
      <c r="E829">
        <v>1.8038647295583086E-5</v>
      </c>
      <c r="F829">
        <v>1.8000372639109338E-5</v>
      </c>
      <c r="G829">
        <v>3.8274656473747737E-8</v>
      </c>
      <c r="H829" t="b">
        <v>0</v>
      </c>
    </row>
    <row r="830" spans="1:8" x14ac:dyDescent="0.15">
      <c r="A830">
        <v>35</v>
      </c>
      <c r="B830">
        <v>24</v>
      </c>
      <c r="C830">
        <v>1590580.5101562501</v>
      </c>
      <c r="D830">
        <v>1410449.3349562436</v>
      </c>
      <c r="E830">
        <v>1.8030920795523697E-5</v>
      </c>
      <c r="F830">
        <v>1.8000372639109338E-5</v>
      </c>
      <c r="G830">
        <v>3.0548156414358089E-8</v>
      </c>
      <c r="H830" t="b">
        <v>0</v>
      </c>
    </row>
    <row r="831" spans="1:8" x14ac:dyDescent="0.15">
      <c r="A831">
        <v>35</v>
      </c>
      <c r="B831">
        <v>25</v>
      </c>
      <c r="C831">
        <v>1590596.71015625</v>
      </c>
      <c r="D831">
        <v>1589539.0304738276</v>
      </c>
      <c r="E831">
        <v>1.8034783666700574E-5</v>
      </c>
      <c r="F831">
        <v>1.8000372639109338E-5</v>
      </c>
      <c r="G831">
        <v>3.4411027591235265E-8</v>
      </c>
      <c r="H831" t="b">
        <v>0</v>
      </c>
    </row>
    <row r="832" spans="1:8" x14ac:dyDescent="0.15">
      <c r="A832">
        <v>36</v>
      </c>
      <c r="B832">
        <v>1</v>
      </c>
      <c r="C832">
        <v>6050000</v>
      </c>
      <c r="D832">
        <v>1.3962147919208794E+18</v>
      </c>
      <c r="E832">
        <v>536.87092200000006</v>
      </c>
      <c r="F832">
        <v>2.4635328941258194E-5</v>
      </c>
      <c r="G832">
        <v>536.87089736467112</v>
      </c>
      <c r="H832" t="b">
        <v>0</v>
      </c>
    </row>
    <row r="833" spans="1:8" x14ac:dyDescent="0.15">
      <c r="A833">
        <v>36</v>
      </c>
      <c r="B833">
        <v>2</v>
      </c>
      <c r="C833">
        <v>3075000</v>
      </c>
      <c r="D833">
        <v>1.6460228703682504E+16</v>
      </c>
      <c r="E833">
        <v>10.988804973206381</v>
      </c>
      <c r="F833">
        <v>2.4635328916389199E-5</v>
      </c>
      <c r="G833">
        <v>10.988780337877465</v>
      </c>
      <c r="H833" t="b">
        <v>0</v>
      </c>
    </row>
    <row r="834" spans="1:8" x14ac:dyDescent="0.15">
      <c r="A834">
        <v>36</v>
      </c>
      <c r="B834">
        <v>3</v>
      </c>
      <c r="C834">
        <v>1587500</v>
      </c>
      <c r="D834">
        <v>8444879888.0369253</v>
      </c>
      <c r="E834">
        <v>1.1070811772033082E-4</v>
      </c>
      <c r="F834">
        <v>2.4635328916945327E-5</v>
      </c>
      <c r="G834">
        <v>8.6072788803385496E-5</v>
      </c>
      <c r="H834" t="b">
        <v>0</v>
      </c>
    </row>
    <row r="835" spans="1:8" x14ac:dyDescent="0.15">
      <c r="A835">
        <v>36</v>
      </c>
      <c r="B835">
        <v>4</v>
      </c>
      <c r="C835">
        <v>843750</v>
      </c>
      <c r="D835">
        <v>-23956.438494349386</v>
      </c>
      <c r="E835">
        <v>-9.7826412803588345E-6</v>
      </c>
      <c r="F835">
        <v>2.4635328916945327E-5</v>
      </c>
      <c r="G835">
        <v>-3.4417970197304161E-5</v>
      </c>
      <c r="H835" t="b">
        <v>1</v>
      </c>
    </row>
    <row r="836" spans="1:8" x14ac:dyDescent="0.15">
      <c r="A836">
        <v>36</v>
      </c>
      <c r="B836">
        <v>5</v>
      </c>
      <c r="C836">
        <v>1215625</v>
      </c>
      <c r="D836">
        <v>-160469.97640771378</v>
      </c>
      <c r="E836">
        <v>2.552082672456754E-6</v>
      </c>
      <c r="F836">
        <v>2.4635328916945323E-5</v>
      </c>
      <c r="G836">
        <v>-2.2083246244488571E-5</v>
      </c>
      <c r="H836" t="b">
        <v>1</v>
      </c>
    </row>
    <row r="837" spans="1:8" x14ac:dyDescent="0.15">
      <c r="A837">
        <v>36</v>
      </c>
      <c r="B837">
        <v>6</v>
      </c>
      <c r="C837">
        <v>1401562.5</v>
      </c>
      <c r="D837">
        <v>-6757904.3214782337</v>
      </c>
      <c r="E837">
        <v>1.1683410377186273E-5</v>
      </c>
      <c r="F837">
        <v>2.4635328916945323E-5</v>
      </c>
      <c r="G837">
        <v>-1.295191853975905E-5</v>
      </c>
      <c r="H837" t="b">
        <v>1</v>
      </c>
    </row>
    <row r="838" spans="1:8" x14ac:dyDescent="0.15">
      <c r="A838">
        <v>36</v>
      </c>
      <c r="B838">
        <v>7</v>
      </c>
      <c r="C838">
        <v>1494531.25</v>
      </c>
      <c r="D838">
        <v>403880733.11032724</v>
      </c>
      <c r="E838">
        <v>3.2527191192340635E-5</v>
      </c>
      <c r="F838">
        <v>2.4635328916945323E-5</v>
      </c>
      <c r="G838">
        <v>7.8918622753953114E-6</v>
      </c>
      <c r="H838" t="b">
        <v>0</v>
      </c>
    </row>
    <row r="839" spans="1:8" x14ac:dyDescent="0.15">
      <c r="A839">
        <v>36</v>
      </c>
      <c r="B839">
        <v>8</v>
      </c>
      <c r="C839">
        <v>1448046.875</v>
      </c>
      <c r="D839">
        <v>-81716045.636265963</v>
      </c>
      <c r="E839">
        <v>1.6713112535711189E-5</v>
      </c>
      <c r="F839">
        <v>2.4635328916945323E-5</v>
      </c>
      <c r="G839">
        <v>-7.9222163812341345E-6</v>
      </c>
      <c r="H839" t="b">
        <v>1</v>
      </c>
    </row>
    <row r="840" spans="1:8" x14ac:dyDescent="0.15">
      <c r="A840">
        <v>36</v>
      </c>
      <c r="B840">
        <v>9</v>
      </c>
      <c r="C840">
        <v>1471289.0625</v>
      </c>
      <c r="D840">
        <v>-38073661.284062289</v>
      </c>
      <c r="E840">
        <v>2.3428424996039975E-5</v>
      </c>
      <c r="F840">
        <v>2.4635328916945323E-5</v>
      </c>
      <c r="G840">
        <v>-1.2069039209053487E-6</v>
      </c>
      <c r="H840" t="b">
        <v>1</v>
      </c>
    </row>
    <row r="841" spans="1:8" x14ac:dyDescent="0.15">
      <c r="A841">
        <v>36</v>
      </c>
      <c r="B841">
        <v>10</v>
      </c>
      <c r="C841">
        <v>1482910.15625</v>
      </c>
      <c r="D841">
        <v>130462932.92912976</v>
      </c>
      <c r="E841">
        <v>2.7638037821143063E-5</v>
      </c>
      <c r="F841">
        <v>2.4635328916945323E-5</v>
      </c>
      <c r="G841">
        <v>3.00270890419774E-6</v>
      </c>
      <c r="H841" t="b">
        <v>0</v>
      </c>
    </row>
    <row r="842" spans="1:8" x14ac:dyDescent="0.15">
      <c r="A842">
        <v>36</v>
      </c>
      <c r="B842">
        <v>11</v>
      </c>
      <c r="C842">
        <v>1477099.609375</v>
      </c>
      <c r="D842">
        <v>30618920.892266639</v>
      </c>
      <c r="E842">
        <v>2.545379010589904E-5</v>
      </c>
      <c r="F842">
        <v>2.4635328916945323E-5</v>
      </c>
      <c r="G842">
        <v>8.1846118895371686E-7</v>
      </c>
      <c r="H842" t="b">
        <v>0</v>
      </c>
    </row>
    <row r="843" spans="1:8" x14ac:dyDescent="0.15">
      <c r="A843">
        <v>36</v>
      </c>
      <c r="B843">
        <v>12</v>
      </c>
      <c r="C843">
        <v>1474194.3359375</v>
      </c>
      <c r="D843">
        <v>-7353231.4052014183</v>
      </c>
      <c r="E843">
        <v>2.4421919500552842E-5</v>
      </c>
      <c r="F843">
        <v>2.4635328916945323E-5</v>
      </c>
      <c r="G843">
        <v>-2.1340941639248098E-7</v>
      </c>
      <c r="H843" t="b">
        <v>1</v>
      </c>
    </row>
    <row r="844" spans="1:8" x14ac:dyDescent="0.15">
      <c r="A844">
        <v>36</v>
      </c>
      <c r="B844">
        <v>13</v>
      </c>
      <c r="C844">
        <v>1475646.97265625</v>
      </c>
      <c r="D844">
        <v>10693737.735598521</v>
      </c>
      <c r="E844">
        <v>2.4932975365309408E-5</v>
      </c>
      <c r="F844">
        <v>2.4635328916945323E-5</v>
      </c>
      <c r="G844">
        <v>2.9764644836408467E-7</v>
      </c>
      <c r="H844" t="b">
        <v>0</v>
      </c>
    </row>
    <row r="845" spans="1:8" x14ac:dyDescent="0.15">
      <c r="A845">
        <v>36</v>
      </c>
      <c r="B845">
        <v>14</v>
      </c>
      <c r="C845">
        <v>1474446.97265625</v>
      </c>
      <c r="D845">
        <v>-4346610.609179114</v>
      </c>
      <c r="E845">
        <v>2.45101065268217E-5</v>
      </c>
      <c r="F845">
        <v>2.4635328916945323E-5</v>
      </c>
      <c r="G845">
        <v>-1.2522239012362297E-7</v>
      </c>
      <c r="H845" t="b">
        <v>1</v>
      </c>
    </row>
    <row r="846" spans="1:8" x14ac:dyDescent="0.15">
      <c r="A846">
        <v>36</v>
      </c>
      <c r="B846">
        <v>15</v>
      </c>
      <c r="C846">
        <v>1475046.97265625</v>
      </c>
      <c r="D846">
        <v>3015681.653015478</v>
      </c>
      <c r="E846">
        <v>2.472071438176641E-5</v>
      </c>
      <c r="F846">
        <v>2.4635328916945323E-5</v>
      </c>
      <c r="G846">
        <v>8.5385464821086484E-8</v>
      </c>
      <c r="H846" t="b">
        <v>0</v>
      </c>
    </row>
    <row r="847" spans="1:8" x14ac:dyDescent="0.15">
      <c r="A847">
        <v>36</v>
      </c>
      <c r="B847">
        <v>16</v>
      </c>
      <c r="C847">
        <v>1474746.97265625</v>
      </c>
      <c r="D847">
        <v>-704569.63723460631</v>
      </c>
      <c r="E847">
        <v>2.4615206723683694E-5</v>
      </c>
      <c r="F847">
        <v>2.4635328916945323E-5</v>
      </c>
      <c r="G847">
        <v>-2.0122193261629378E-8</v>
      </c>
      <c r="H847" t="b">
        <v>1</v>
      </c>
    </row>
    <row r="848" spans="1:8" x14ac:dyDescent="0.15">
      <c r="A848">
        <v>36</v>
      </c>
      <c r="B848">
        <v>17</v>
      </c>
      <c r="C848">
        <v>1474896.97265625</v>
      </c>
      <c r="D848">
        <v>1145686.4635177318</v>
      </c>
      <c r="E848">
        <v>2.466790789237617E-5</v>
      </c>
      <c r="F848">
        <v>2.4635328916945323E-5</v>
      </c>
      <c r="G848">
        <v>3.2578975430846676E-8</v>
      </c>
      <c r="H848" t="b">
        <v>0</v>
      </c>
    </row>
    <row r="849" spans="1:8" x14ac:dyDescent="0.15">
      <c r="A849">
        <v>36</v>
      </c>
      <c r="B849">
        <v>18</v>
      </c>
      <c r="C849">
        <v>1475076.97265625</v>
      </c>
      <c r="D849">
        <v>3392046.5824175342</v>
      </c>
      <c r="E849">
        <v>2.4731288072241033E-5</v>
      </c>
      <c r="F849">
        <v>2.4635328916945323E-5</v>
      </c>
      <c r="G849">
        <v>9.5959155295709974E-8</v>
      </c>
      <c r="H849" t="b">
        <v>0</v>
      </c>
    </row>
    <row r="850" spans="1:8" x14ac:dyDescent="0.15">
      <c r="A850">
        <v>36</v>
      </c>
      <c r="B850">
        <v>19</v>
      </c>
      <c r="C850">
        <v>1474986.97265625</v>
      </c>
      <c r="D850">
        <v>2265397.0659302878</v>
      </c>
      <c r="E850">
        <v>2.469958158852098E-5</v>
      </c>
      <c r="F850">
        <v>2.4635328916945323E-5</v>
      </c>
      <c r="G850">
        <v>6.4252671575656625E-8</v>
      </c>
      <c r="H850" t="b">
        <v>0</v>
      </c>
    </row>
    <row r="851" spans="1:8" x14ac:dyDescent="0.15">
      <c r="A851">
        <v>36</v>
      </c>
      <c r="B851">
        <v>20</v>
      </c>
      <c r="C851">
        <v>1474878.97265625</v>
      </c>
      <c r="D851">
        <v>922609.80344160821</v>
      </c>
      <c r="E851">
        <v>2.4661578048121152E-5</v>
      </c>
      <c r="F851">
        <v>2.4635328916945323E-5</v>
      </c>
      <c r="G851">
        <v>2.6249131175829095E-8</v>
      </c>
      <c r="H851" t="b">
        <v>0</v>
      </c>
    </row>
    <row r="852" spans="1:8" x14ac:dyDescent="0.15">
      <c r="A852">
        <v>36</v>
      </c>
      <c r="B852">
        <v>21</v>
      </c>
      <c r="C852">
        <v>1474932.97265625</v>
      </c>
      <c r="D852">
        <v>1592766.6807502944</v>
      </c>
      <c r="E852">
        <v>2.4680574225648538E-5</v>
      </c>
      <c r="F852">
        <v>2.4635328916945323E-5</v>
      </c>
      <c r="G852">
        <v>4.5245308703214837E-8</v>
      </c>
      <c r="H852" t="b">
        <v>0</v>
      </c>
    </row>
    <row r="853" spans="1:8" x14ac:dyDescent="0.15">
      <c r="A853">
        <v>36</v>
      </c>
      <c r="B853">
        <v>22</v>
      </c>
      <c r="C853">
        <v>1474905.97265625</v>
      </c>
      <c r="D853">
        <v>1257408.1523803056</v>
      </c>
      <c r="E853">
        <v>2.4671075559379657E-5</v>
      </c>
      <c r="F853">
        <v>2.4635328916945323E-5</v>
      </c>
      <c r="G853">
        <v>3.5746642434333859E-8</v>
      </c>
      <c r="H853" t="b">
        <v>0</v>
      </c>
    </row>
    <row r="854" spans="1:8" x14ac:dyDescent="0.15">
      <c r="A854">
        <v>36</v>
      </c>
      <c r="B854">
        <v>23</v>
      </c>
      <c r="C854">
        <v>1474919.47265625</v>
      </c>
      <c r="D854">
        <v>1424930.4745757473</v>
      </c>
      <c r="E854">
        <v>2.4675822286278974E-5</v>
      </c>
      <c r="F854">
        <v>2.4635328916945323E-5</v>
      </c>
      <c r="G854">
        <v>4.0493369333651207E-8</v>
      </c>
      <c r="H854" t="b">
        <v>0</v>
      </c>
    </row>
    <row r="855" spans="1:8" x14ac:dyDescent="0.15">
      <c r="A855">
        <v>36</v>
      </c>
      <c r="B855">
        <v>24</v>
      </c>
      <c r="C855">
        <v>1474935.67265625</v>
      </c>
      <c r="D855">
        <v>1626337.5965675872</v>
      </c>
      <c r="E855">
        <v>2.468152427612693E-5</v>
      </c>
      <c r="F855">
        <v>2.4635328916945323E-5</v>
      </c>
      <c r="G855">
        <v>4.6195359181606699E-8</v>
      </c>
      <c r="H855" t="b">
        <v>0</v>
      </c>
    </row>
    <row r="856" spans="1:8" x14ac:dyDescent="0.15">
      <c r="A856">
        <v>36</v>
      </c>
      <c r="B856">
        <v>25</v>
      </c>
      <c r="C856">
        <v>1474927.5726562499</v>
      </c>
      <c r="D856">
        <v>1525643.977699291</v>
      </c>
      <c r="E856">
        <v>2.4678674224981539E-5</v>
      </c>
      <c r="F856">
        <v>2.4635328916945323E-5</v>
      </c>
      <c r="G856">
        <v>4.3345308036216271E-8</v>
      </c>
      <c r="H856" t="b">
        <v>0</v>
      </c>
    </row>
    <row r="857" spans="1:8" x14ac:dyDescent="0.15">
      <c r="A857">
        <v>36</v>
      </c>
      <c r="B857">
        <v>26</v>
      </c>
      <c r="C857">
        <v>1474917.8526562499</v>
      </c>
      <c r="D857">
        <v>1404810.1203983915</v>
      </c>
      <c r="E857">
        <v>2.4675252372377072E-5</v>
      </c>
      <c r="F857">
        <v>2.4635328916945323E-5</v>
      </c>
      <c r="G857">
        <v>3.9923455431749094E-8</v>
      </c>
      <c r="H857" t="b">
        <v>0</v>
      </c>
    </row>
    <row r="858" spans="1:8" x14ac:dyDescent="0.15">
      <c r="A858">
        <v>36</v>
      </c>
      <c r="B858">
        <v>27</v>
      </c>
      <c r="C858">
        <v>1474922.71265625</v>
      </c>
      <c r="D858">
        <v>1465178.0671304977</v>
      </c>
      <c r="E858">
        <v>2.4676962150180358E-5</v>
      </c>
      <c r="F858">
        <v>2.4635328916945323E-5</v>
      </c>
      <c r="G858">
        <v>4.1633233235035031E-8</v>
      </c>
      <c r="H858" t="b">
        <v>0</v>
      </c>
    </row>
    <row r="859" spans="1:8" x14ac:dyDescent="0.15">
      <c r="A859">
        <v>37</v>
      </c>
      <c r="B859">
        <v>1</v>
      </c>
      <c r="C859">
        <v>6050000</v>
      </c>
      <c r="D859">
        <v>2.9812614719222917E+18</v>
      </c>
      <c r="E859">
        <v>425.69427030918541</v>
      </c>
      <c r="F859">
        <v>1.1283359583558195E-5</v>
      </c>
      <c r="G859">
        <v>425.69425902582583</v>
      </c>
      <c r="H859" t="b">
        <v>0</v>
      </c>
    </row>
    <row r="860" spans="1:8" x14ac:dyDescent="0.15">
      <c r="A860">
        <v>37</v>
      </c>
      <c r="B860">
        <v>2</v>
      </c>
      <c r="C860">
        <v>3075000</v>
      </c>
      <c r="D860">
        <v>642868075574759.75</v>
      </c>
      <c r="E860">
        <v>0.28764348513541388</v>
      </c>
      <c r="F860">
        <v>1.1283359577174412E-5</v>
      </c>
      <c r="G860">
        <v>0.2876322017758367</v>
      </c>
      <c r="H860" t="b">
        <v>0</v>
      </c>
    </row>
    <row r="861" spans="1:8" x14ac:dyDescent="0.15">
      <c r="A861">
        <v>37</v>
      </c>
      <c r="B861">
        <v>3</v>
      </c>
      <c r="C861">
        <v>1587500</v>
      </c>
      <c r="D861">
        <v>-41672380.284583911</v>
      </c>
      <c r="E861">
        <v>8.2281648695319466E-6</v>
      </c>
      <c r="F861">
        <v>1.1283359577166686E-5</v>
      </c>
      <c r="G861">
        <v>-3.0551947076347389E-6</v>
      </c>
      <c r="H861" t="b">
        <v>1</v>
      </c>
    </row>
    <row r="862" spans="1:8" x14ac:dyDescent="0.15">
      <c r="A862">
        <v>37</v>
      </c>
      <c r="B862">
        <v>4</v>
      </c>
      <c r="C862">
        <v>2331250</v>
      </c>
      <c r="D862">
        <v>2363890416733.1978</v>
      </c>
      <c r="E862">
        <v>2.9575744888363903E-3</v>
      </c>
      <c r="F862">
        <v>1.1283359577166606E-5</v>
      </c>
      <c r="G862">
        <v>2.9462911292592237E-3</v>
      </c>
      <c r="H862" t="b">
        <v>0</v>
      </c>
    </row>
    <row r="863" spans="1:8" x14ac:dyDescent="0.15">
      <c r="A863">
        <v>37</v>
      </c>
      <c r="B863">
        <v>5</v>
      </c>
      <c r="C863">
        <v>1959375</v>
      </c>
      <c r="D863">
        <v>62866878358.905342</v>
      </c>
      <c r="E863">
        <v>1.9229263419528878E-4</v>
      </c>
      <c r="F863">
        <v>1.1283359577166687E-5</v>
      </c>
      <c r="G863">
        <v>1.8100927461812209E-4</v>
      </c>
      <c r="H863" t="b">
        <v>0</v>
      </c>
    </row>
    <row r="864" spans="1:8" x14ac:dyDescent="0.15">
      <c r="A864">
        <v>37</v>
      </c>
      <c r="B864">
        <v>6</v>
      </c>
      <c r="C864">
        <v>1773437.5</v>
      </c>
      <c r="D864">
        <v>4175599049.1206551</v>
      </c>
      <c r="E864">
        <v>3.5714573875170533E-5</v>
      </c>
      <c r="F864">
        <v>1.1283359577166687E-5</v>
      </c>
      <c r="G864">
        <v>2.4431214298003845E-5</v>
      </c>
      <c r="H864" t="b">
        <v>0</v>
      </c>
    </row>
    <row r="865" spans="1:8" x14ac:dyDescent="0.15">
      <c r="A865">
        <v>37</v>
      </c>
      <c r="B865">
        <v>7</v>
      </c>
      <c r="C865">
        <v>1680468.75</v>
      </c>
      <c r="D865">
        <v>164796474.51803145</v>
      </c>
      <c r="E865">
        <v>1.3692969772768987E-5</v>
      </c>
      <c r="F865">
        <v>1.1283359577166686E-5</v>
      </c>
      <c r="G865">
        <v>2.4096101956023018E-6</v>
      </c>
      <c r="H865" t="b">
        <v>0</v>
      </c>
    </row>
    <row r="866" spans="1:8" x14ac:dyDescent="0.15">
      <c r="A866">
        <v>37</v>
      </c>
      <c r="B866">
        <v>8</v>
      </c>
      <c r="C866">
        <v>1633984.375</v>
      </c>
      <c r="D866">
        <v>-26308365.713290412</v>
      </c>
      <c r="E866">
        <v>1.0573311174142787E-5</v>
      </c>
      <c r="F866">
        <v>1.1283359577166686E-5</v>
      </c>
      <c r="G866">
        <v>-7.1004840302389852E-7</v>
      </c>
      <c r="H866" t="b">
        <v>1</v>
      </c>
    </row>
    <row r="867" spans="1:8" x14ac:dyDescent="0.15">
      <c r="A867">
        <v>37</v>
      </c>
      <c r="B867">
        <v>9</v>
      </c>
      <c r="C867">
        <v>1657226.5625</v>
      </c>
      <c r="D867">
        <v>33989012.676810198</v>
      </c>
      <c r="E867">
        <v>1.1948871068132161E-5</v>
      </c>
      <c r="F867">
        <v>1.1283359577166686E-5</v>
      </c>
      <c r="G867">
        <v>6.6551149096547588E-7</v>
      </c>
      <c r="H867" t="b">
        <v>0</v>
      </c>
    </row>
    <row r="868" spans="1:8" x14ac:dyDescent="0.15">
      <c r="A868">
        <v>37</v>
      </c>
      <c r="B868">
        <v>10</v>
      </c>
      <c r="C868">
        <v>1645605.46875</v>
      </c>
      <c r="D868">
        <v>-1779537.6433642399</v>
      </c>
      <c r="E868">
        <v>1.1242824767808779E-5</v>
      </c>
      <c r="F868">
        <v>1.1283359577166686E-5</v>
      </c>
      <c r="G868">
        <v>-4.0534809357906394E-8</v>
      </c>
      <c r="H868" t="b">
        <v>1</v>
      </c>
    </row>
    <row r="869" spans="1:8" x14ac:dyDescent="0.15">
      <c r="A869">
        <v>37</v>
      </c>
      <c r="B869">
        <v>11</v>
      </c>
      <c r="C869">
        <v>1651416.015625</v>
      </c>
      <c r="D869">
        <v>14606007.764594158</v>
      </c>
      <c r="E869">
        <v>1.1591188853628104E-5</v>
      </c>
      <c r="F869">
        <v>1.1283359577166686E-5</v>
      </c>
      <c r="G869">
        <v>3.0782927646141838E-7</v>
      </c>
      <c r="H869" t="b">
        <v>0</v>
      </c>
    </row>
    <row r="870" spans="1:8" x14ac:dyDescent="0.15">
      <c r="A870">
        <v>37</v>
      </c>
      <c r="B870">
        <v>12</v>
      </c>
      <c r="C870">
        <v>1648510.7421875</v>
      </c>
      <c r="D870">
        <v>6050331.7739946041</v>
      </c>
      <c r="E870">
        <v>1.1415853013408181E-5</v>
      </c>
      <c r="F870">
        <v>1.1283359577166686E-5</v>
      </c>
      <c r="G870">
        <v>1.3249343624149535E-7</v>
      </c>
      <c r="H870" t="b">
        <v>0</v>
      </c>
    </row>
    <row r="871" spans="1:8" x14ac:dyDescent="0.15">
      <c r="A871">
        <v>37</v>
      </c>
      <c r="B871">
        <v>13</v>
      </c>
      <c r="C871">
        <v>1647058.10546875</v>
      </c>
      <c r="D871">
        <v>2046161.077583944</v>
      </c>
      <c r="E871">
        <v>1.1329052361333417E-5</v>
      </c>
      <c r="F871">
        <v>1.1283359577166686E-5</v>
      </c>
      <c r="G871">
        <v>4.5692784166731151E-8</v>
      </c>
      <c r="H871" t="b">
        <v>0</v>
      </c>
    </row>
    <row r="872" spans="1:8" x14ac:dyDescent="0.15">
      <c r="A872">
        <v>37</v>
      </c>
      <c r="B872">
        <v>14</v>
      </c>
      <c r="C872">
        <v>1645858.10546875</v>
      </c>
      <c r="D872">
        <v>-1126882.1554543925</v>
      </c>
      <c r="E872">
        <v>1.1257780039272677E-5</v>
      </c>
      <c r="F872">
        <v>1.1283359577166686E-5</v>
      </c>
      <c r="G872">
        <v>-2.5579537894008557E-8</v>
      </c>
      <c r="H872" t="b">
        <v>1</v>
      </c>
    </row>
    <row r="873" spans="1:8" x14ac:dyDescent="0.15">
      <c r="A873">
        <v>37</v>
      </c>
      <c r="B873">
        <v>15</v>
      </c>
      <c r="C873">
        <v>1646458.10546875</v>
      </c>
      <c r="D873">
        <v>444516.13475009636</v>
      </c>
      <c r="E873">
        <v>1.129336736605342E-5</v>
      </c>
      <c r="F873">
        <v>1.1283359577166686E-5</v>
      </c>
      <c r="G873">
        <v>1.0007788886734855E-8</v>
      </c>
      <c r="H873" t="b">
        <v>0</v>
      </c>
    </row>
    <row r="874" spans="1:8" x14ac:dyDescent="0.15">
      <c r="A874">
        <v>37</v>
      </c>
      <c r="B874">
        <v>16</v>
      </c>
      <c r="C874">
        <v>1647178.10546875</v>
      </c>
      <c r="D874">
        <v>2370137.8084060946</v>
      </c>
      <c r="E874">
        <v>1.1336201098548439E-5</v>
      </c>
      <c r="F874">
        <v>1.1283359577166686E-5</v>
      </c>
      <c r="G874">
        <v>5.2841521381753409E-8</v>
      </c>
      <c r="H874" t="b">
        <v>0</v>
      </c>
    </row>
    <row r="875" spans="1:8" x14ac:dyDescent="0.15">
      <c r="A875">
        <v>37</v>
      </c>
      <c r="B875">
        <v>17</v>
      </c>
      <c r="C875">
        <v>1646818.10546875</v>
      </c>
      <c r="D875">
        <v>1401832.5178174165</v>
      </c>
      <c r="E875">
        <v>1.1314766011762193E-5</v>
      </c>
      <c r="F875">
        <v>1.1283359577166686E-5</v>
      </c>
      <c r="G875">
        <v>3.140643459550786E-8</v>
      </c>
      <c r="H875" t="b">
        <v>0</v>
      </c>
    </row>
    <row r="876" spans="1:8" x14ac:dyDescent="0.15">
      <c r="A876">
        <v>37</v>
      </c>
      <c r="B876">
        <v>18</v>
      </c>
      <c r="C876">
        <v>1646998.10546875</v>
      </c>
      <c r="D876">
        <v>1884629.6083308107</v>
      </c>
      <c r="E876">
        <v>1.1325479460913848E-5</v>
      </c>
      <c r="F876">
        <v>1.1283359577166686E-5</v>
      </c>
      <c r="G876">
        <v>4.2119883747162901E-8</v>
      </c>
      <c r="H876" t="b">
        <v>0</v>
      </c>
    </row>
    <row r="877" spans="1:8" x14ac:dyDescent="0.15">
      <c r="A877">
        <v>37</v>
      </c>
      <c r="B877">
        <v>19</v>
      </c>
      <c r="C877">
        <v>1646908.10546875</v>
      </c>
      <c r="D877">
        <v>1642902.9442623714</v>
      </c>
      <c r="E877">
        <v>1.1320121944945197E-5</v>
      </c>
      <c r="F877">
        <v>1.1283359577166686E-5</v>
      </c>
      <c r="G877">
        <v>3.6762367778511135E-8</v>
      </c>
      <c r="H877" t="b">
        <v>0</v>
      </c>
    </row>
    <row r="878" spans="1:8" x14ac:dyDescent="0.15">
      <c r="A878">
        <v>38</v>
      </c>
      <c r="B878">
        <v>1</v>
      </c>
      <c r="C878">
        <v>6050000</v>
      </c>
      <c r="D878">
        <v>1.3058969240072911E+18</v>
      </c>
      <c r="E878">
        <v>536.87092200000006</v>
      </c>
      <c r="F878">
        <v>2.5754696025614976E-5</v>
      </c>
      <c r="G878">
        <v>536.87089624530404</v>
      </c>
      <c r="H878" t="b">
        <v>0</v>
      </c>
    </row>
    <row r="879" spans="1:8" x14ac:dyDescent="0.15">
      <c r="A879">
        <v>38</v>
      </c>
      <c r="B879">
        <v>2</v>
      </c>
      <c r="C879">
        <v>3075000</v>
      </c>
      <c r="D879">
        <v>1.3058969240072911E+18</v>
      </c>
      <c r="E879">
        <v>536.87092200000006</v>
      </c>
      <c r="F879">
        <v>2.5754696025614976E-5</v>
      </c>
      <c r="G879">
        <v>536.87089624530404</v>
      </c>
      <c r="H879" t="b">
        <v>0</v>
      </c>
    </row>
    <row r="880" spans="1:8" x14ac:dyDescent="0.15">
      <c r="A880">
        <v>38</v>
      </c>
      <c r="B880">
        <v>3</v>
      </c>
      <c r="C880">
        <v>1587500</v>
      </c>
      <c r="D880">
        <v>641539136048737.13</v>
      </c>
      <c r="E880">
        <v>0.7228893532299504</v>
      </c>
      <c r="F880">
        <v>2.5754696008517541E-5</v>
      </c>
      <c r="G880">
        <v>0.72286359853394189</v>
      </c>
      <c r="H880" t="b">
        <v>0</v>
      </c>
    </row>
    <row r="881" spans="1:8" x14ac:dyDescent="0.15">
      <c r="A881">
        <v>38</v>
      </c>
      <c r="B881">
        <v>4</v>
      </c>
      <c r="C881">
        <v>843750</v>
      </c>
      <c r="D881">
        <v>-173122.10451791942</v>
      </c>
      <c r="E881">
        <v>3.0935743084637826E-6</v>
      </c>
      <c r="F881">
        <v>2.575469600855332E-5</v>
      </c>
      <c r="G881">
        <v>-2.2661121700089539E-5</v>
      </c>
      <c r="H881" t="b">
        <v>1</v>
      </c>
    </row>
    <row r="882" spans="1:8" x14ac:dyDescent="0.15">
      <c r="A882">
        <v>38</v>
      </c>
      <c r="B882">
        <v>5</v>
      </c>
      <c r="C882">
        <v>1215625</v>
      </c>
      <c r="D882">
        <v>539661655439.23041</v>
      </c>
      <c r="E882">
        <v>2.2146286225919755E-3</v>
      </c>
      <c r="F882">
        <v>2.5754696008553537E-5</v>
      </c>
      <c r="G882">
        <v>2.188873926583422E-3</v>
      </c>
      <c r="H882" t="b">
        <v>0</v>
      </c>
    </row>
    <row r="883" spans="1:8" x14ac:dyDescent="0.15">
      <c r="A883">
        <v>38</v>
      </c>
      <c r="B883">
        <v>6</v>
      </c>
      <c r="C883">
        <v>1029687.5</v>
      </c>
      <c r="D883">
        <v>2256220943.639225</v>
      </c>
      <c r="E883">
        <v>5.8908006357420848E-5</v>
      </c>
      <c r="F883">
        <v>2.575469600855332E-5</v>
      </c>
      <c r="G883">
        <v>3.3153310348867528E-5</v>
      </c>
      <c r="H883" t="b">
        <v>0</v>
      </c>
    </row>
    <row r="884" spans="1:8" x14ac:dyDescent="0.15">
      <c r="A884">
        <v>38</v>
      </c>
      <c r="B884">
        <v>7</v>
      </c>
      <c r="C884">
        <v>936718.75</v>
      </c>
      <c r="D884">
        <v>-2424765.2958433395</v>
      </c>
      <c r="E884">
        <v>1.0419052056956861E-5</v>
      </c>
      <c r="F884">
        <v>2.575469600855332E-5</v>
      </c>
      <c r="G884">
        <v>-1.5335643951596461E-5</v>
      </c>
      <c r="H884" t="b">
        <v>1</v>
      </c>
    </row>
    <row r="885" spans="1:8" x14ac:dyDescent="0.15">
      <c r="A885">
        <v>38</v>
      </c>
      <c r="B885">
        <v>8</v>
      </c>
      <c r="C885">
        <v>983203.125</v>
      </c>
      <c r="D885">
        <v>-101698584.52180572</v>
      </c>
      <c r="E885">
        <v>2.0237473767109107E-5</v>
      </c>
      <c r="F885">
        <v>2.575469600855332E-5</v>
      </c>
      <c r="G885">
        <v>-5.5172222414442129E-6</v>
      </c>
      <c r="H885" t="b">
        <v>1</v>
      </c>
    </row>
    <row r="886" spans="1:8" x14ac:dyDescent="0.15">
      <c r="A886">
        <v>38</v>
      </c>
      <c r="B886">
        <v>9</v>
      </c>
      <c r="C886">
        <v>1006445.3125</v>
      </c>
      <c r="D886">
        <v>452631223.73017591</v>
      </c>
      <c r="E886">
        <v>3.4877966444473526E-5</v>
      </c>
      <c r="F886">
        <v>2.575469600855332E-5</v>
      </c>
      <c r="G886">
        <v>9.1232704359202064E-6</v>
      </c>
      <c r="H886" t="b">
        <v>0</v>
      </c>
    </row>
    <row r="887" spans="1:8" x14ac:dyDescent="0.15">
      <c r="A887">
        <v>38</v>
      </c>
      <c r="B887">
        <v>10</v>
      </c>
      <c r="C887">
        <v>994824.21875</v>
      </c>
      <c r="D887">
        <v>31860783.12545998</v>
      </c>
      <c r="E887">
        <v>2.6635154006913269E-5</v>
      </c>
      <c r="F887">
        <v>2.575469600855332E-5</v>
      </c>
      <c r="G887">
        <v>8.8045799835994895E-7</v>
      </c>
      <c r="H887" t="b">
        <v>0</v>
      </c>
    </row>
    <row r="888" spans="1:8" x14ac:dyDescent="0.15">
      <c r="A888">
        <v>38</v>
      </c>
      <c r="B888">
        <v>11</v>
      </c>
      <c r="C888">
        <v>989013.671875</v>
      </c>
      <c r="D888">
        <v>-68230913.959194556</v>
      </c>
      <c r="E888">
        <v>2.3232138405298063E-5</v>
      </c>
      <c r="F888">
        <v>2.575469600855332E-5</v>
      </c>
      <c r="G888">
        <v>-2.5225576032552566E-6</v>
      </c>
      <c r="H888" t="b">
        <v>1</v>
      </c>
    </row>
    <row r="889" spans="1:8" x14ac:dyDescent="0.15">
      <c r="A889">
        <v>38</v>
      </c>
      <c r="B889">
        <v>12</v>
      </c>
      <c r="C889">
        <v>991918.9453125</v>
      </c>
      <c r="D889">
        <v>-27619438.178181332</v>
      </c>
      <c r="E889">
        <v>2.4879485182655286E-5</v>
      </c>
      <c r="F889">
        <v>2.575469600855332E-5</v>
      </c>
      <c r="G889">
        <v>-8.7521082589803395E-7</v>
      </c>
      <c r="H889" t="b">
        <v>1</v>
      </c>
    </row>
    <row r="890" spans="1:8" x14ac:dyDescent="0.15">
      <c r="A890">
        <v>38</v>
      </c>
      <c r="B890">
        <v>13</v>
      </c>
      <c r="C890">
        <v>993371.58203125</v>
      </c>
      <c r="D890">
        <v>-383236.55771499081</v>
      </c>
      <c r="E890">
        <v>2.5743376895780458E-5</v>
      </c>
      <c r="F890">
        <v>2.575469600855332E-5</v>
      </c>
      <c r="G890">
        <v>-1.1319112772861746E-8</v>
      </c>
      <c r="H890" t="b">
        <v>1</v>
      </c>
    </row>
    <row r="891" spans="1:8" x14ac:dyDescent="0.15">
      <c r="A891">
        <v>38</v>
      </c>
      <c r="B891">
        <v>14</v>
      </c>
      <c r="C891">
        <v>993871.58203125</v>
      </c>
      <c r="D891">
        <v>10134884.905519787</v>
      </c>
      <c r="E891">
        <v>2.6047139184545257E-5</v>
      </c>
      <c r="F891">
        <v>2.575469600855332E-5</v>
      </c>
      <c r="G891">
        <v>2.9244317599193696E-7</v>
      </c>
      <c r="H891" t="b">
        <v>0</v>
      </c>
    </row>
    <row r="892" spans="1:8" x14ac:dyDescent="0.15">
      <c r="A892">
        <v>38</v>
      </c>
      <c r="B892">
        <v>15</v>
      </c>
      <c r="C892">
        <v>993621.58203125</v>
      </c>
      <c r="D892">
        <v>4800916.327517096</v>
      </c>
      <c r="E892">
        <v>2.5894843118510147E-5</v>
      </c>
      <c r="F892">
        <v>2.575469600855332E-5</v>
      </c>
      <c r="G892">
        <v>1.4014710995682731E-7</v>
      </c>
      <c r="H892" t="b">
        <v>0</v>
      </c>
    </row>
    <row r="893" spans="1:8" x14ac:dyDescent="0.15">
      <c r="A893">
        <v>38</v>
      </c>
      <c r="B893">
        <v>16</v>
      </c>
      <c r="C893">
        <v>993321.58203125</v>
      </c>
      <c r="D893">
        <v>-1402222.4911987304</v>
      </c>
      <c r="E893">
        <v>2.5713182892778622E-5</v>
      </c>
      <c r="F893">
        <v>2.575469600855332E-5</v>
      </c>
      <c r="G893">
        <v>-4.1513115774697792E-8</v>
      </c>
      <c r="H893" t="b">
        <v>1</v>
      </c>
    </row>
    <row r="894" spans="1:8" x14ac:dyDescent="0.15">
      <c r="A894">
        <v>38</v>
      </c>
      <c r="B894">
        <v>17</v>
      </c>
      <c r="C894">
        <v>993471.58203125</v>
      </c>
      <c r="D894">
        <v>1672450.7403519801</v>
      </c>
      <c r="E894">
        <v>2.5803861328627037E-5</v>
      </c>
      <c r="F894">
        <v>2.575469600855332E-5</v>
      </c>
      <c r="G894">
        <v>4.9165320073717145E-8</v>
      </c>
      <c r="H894" t="b">
        <v>0</v>
      </c>
    </row>
    <row r="895" spans="1:8" x14ac:dyDescent="0.15">
      <c r="A895">
        <v>38</v>
      </c>
      <c r="B895">
        <v>18</v>
      </c>
      <c r="C895">
        <v>993396.58203125</v>
      </c>
      <c r="D895">
        <v>128388.27811464117</v>
      </c>
      <c r="E895">
        <v>2.5758483574346632E-5</v>
      </c>
      <c r="F895">
        <v>2.575469600855332E-5</v>
      </c>
      <c r="G895">
        <v>3.7875657933119646E-9</v>
      </c>
      <c r="H895" t="b">
        <v>0</v>
      </c>
    </row>
    <row r="896" spans="1:8" x14ac:dyDescent="0.15">
      <c r="A896">
        <v>38</v>
      </c>
      <c r="B896">
        <v>19</v>
      </c>
      <c r="C896">
        <v>993434.08203125</v>
      </c>
      <c r="D896">
        <v>898746.86267380405</v>
      </c>
      <c r="E896">
        <v>2.5781163148374763E-5</v>
      </c>
      <c r="F896">
        <v>2.575469600855332E-5</v>
      </c>
      <c r="G896">
        <v>2.6467139821443231E-8</v>
      </c>
      <c r="H896" t="b">
        <v>0</v>
      </c>
    </row>
    <row r="897" spans="1:8" x14ac:dyDescent="0.15">
      <c r="A897">
        <v>38</v>
      </c>
      <c r="B897">
        <v>20</v>
      </c>
      <c r="C897">
        <v>993479.08203125</v>
      </c>
      <c r="D897">
        <v>1827593.4030177856</v>
      </c>
      <c r="E897">
        <v>2.5808403198664612E-5</v>
      </c>
      <c r="F897">
        <v>2.575469600855332E-5</v>
      </c>
      <c r="G897">
        <v>5.3707190111291705E-8</v>
      </c>
      <c r="H897" t="b">
        <v>0</v>
      </c>
    </row>
    <row r="898" spans="1:8" x14ac:dyDescent="0.15">
      <c r="A898">
        <v>38</v>
      </c>
      <c r="B898">
        <v>21</v>
      </c>
      <c r="C898">
        <v>993456.58203125</v>
      </c>
      <c r="D898">
        <v>1362567.4255137178</v>
      </c>
      <c r="E898">
        <v>2.5794779822879012E-5</v>
      </c>
      <c r="F898">
        <v>2.575469600855332E-5</v>
      </c>
      <c r="G898">
        <v>4.008381432569157E-8</v>
      </c>
      <c r="H898" t="b">
        <v>0</v>
      </c>
    </row>
    <row r="899" spans="1:8" x14ac:dyDescent="0.15">
      <c r="A899">
        <v>38</v>
      </c>
      <c r="B899">
        <v>22</v>
      </c>
      <c r="C899">
        <v>993429.58203125</v>
      </c>
      <c r="D899">
        <v>806219.53099973092</v>
      </c>
      <c r="E899">
        <v>2.5778443328974628E-5</v>
      </c>
      <c r="F899">
        <v>2.575469600855332E-5</v>
      </c>
      <c r="G899">
        <v>2.3747320421308262E-8</v>
      </c>
      <c r="H899" t="b">
        <v>0</v>
      </c>
    </row>
    <row r="900" spans="1:8" x14ac:dyDescent="0.15">
      <c r="A900">
        <v>38</v>
      </c>
      <c r="B900">
        <v>23</v>
      </c>
      <c r="C900">
        <v>993443.08203125</v>
      </c>
      <c r="D900">
        <v>1084130.5090572219</v>
      </c>
      <c r="E900">
        <v>2.5786609014217417E-5</v>
      </c>
      <c r="F900">
        <v>2.575469600855332E-5</v>
      </c>
      <c r="G900">
        <v>3.1913005664096827E-8</v>
      </c>
      <c r="H900" t="b">
        <v>0</v>
      </c>
    </row>
    <row r="901" spans="1:8" x14ac:dyDescent="0.15">
      <c r="A901">
        <v>38</v>
      </c>
      <c r="B901">
        <v>24</v>
      </c>
      <c r="C901">
        <v>993436.33203125</v>
      </c>
      <c r="D901">
        <v>945074.70691381884</v>
      </c>
      <c r="E901">
        <v>2.5782524514354142E-5</v>
      </c>
      <c r="F901">
        <v>2.575469600855332E-5</v>
      </c>
      <c r="G901">
        <v>2.7828505800821723E-8</v>
      </c>
      <c r="H901" t="b">
        <v>0</v>
      </c>
    </row>
    <row r="902" spans="1:8" x14ac:dyDescent="0.15">
      <c r="A902">
        <v>38</v>
      </c>
      <c r="B902">
        <v>25</v>
      </c>
      <c r="C902">
        <v>993439.70703125</v>
      </c>
      <c r="D902">
        <v>1014589.0564359856</v>
      </c>
      <c r="E902">
        <v>2.5784566688922173E-5</v>
      </c>
      <c r="F902">
        <v>2.575469600855332E-5</v>
      </c>
      <c r="G902">
        <v>2.9870680368853064E-8</v>
      </c>
      <c r="H902" t="b">
        <v>0</v>
      </c>
    </row>
    <row r="903" spans="1:8" x14ac:dyDescent="0.15">
      <c r="A903">
        <v>38</v>
      </c>
      <c r="B903">
        <v>26</v>
      </c>
      <c r="C903">
        <v>993438.01953125</v>
      </c>
      <c r="D903">
        <v>979828.49406307866</v>
      </c>
      <c r="E903">
        <v>2.578354558279912E-5</v>
      </c>
      <c r="F903">
        <v>2.575469600855332E-5</v>
      </c>
      <c r="G903">
        <v>2.8849574245799737E-8</v>
      </c>
      <c r="H903" t="b">
        <v>0</v>
      </c>
    </row>
    <row r="904" spans="1:8" x14ac:dyDescent="0.15">
      <c r="A904">
        <v>38</v>
      </c>
      <c r="B904">
        <v>27</v>
      </c>
      <c r="C904">
        <v>993438.86328125</v>
      </c>
      <c r="D904">
        <v>997300.25901307084</v>
      </c>
      <c r="E904">
        <v>2.5784058843403216E-5</v>
      </c>
      <c r="F904">
        <v>2.575469600855332E-5</v>
      </c>
      <c r="G904">
        <v>2.9362834849895657E-8</v>
      </c>
      <c r="H904" t="b">
        <v>0</v>
      </c>
    </row>
    <row r="905" spans="1:8" x14ac:dyDescent="0.15">
      <c r="A905">
        <v>39</v>
      </c>
      <c r="B905">
        <v>1</v>
      </c>
      <c r="C905">
        <v>6050000</v>
      </c>
      <c r="D905">
        <v>1.2867799504210033E+18</v>
      </c>
      <c r="E905">
        <v>536.87092200000006</v>
      </c>
      <c r="F905">
        <v>2.59209041360009E-5</v>
      </c>
      <c r="G905">
        <v>536.87089607909593</v>
      </c>
      <c r="H905" t="b">
        <v>0</v>
      </c>
    </row>
    <row r="906" spans="1:8" x14ac:dyDescent="0.15">
      <c r="A906">
        <v>39</v>
      </c>
      <c r="B906">
        <v>2</v>
      </c>
      <c r="C906">
        <v>3075000</v>
      </c>
      <c r="D906">
        <v>9.1250757281732634E+17</v>
      </c>
      <c r="E906">
        <v>396.14517138679673</v>
      </c>
      <c r="F906">
        <v>2.59209041360009E-5</v>
      </c>
      <c r="G906">
        <v>396.1451454658926</v>
      </c>
      <c r="H906" t="b">
        <v>0</v>
      </c>
    </row>
    <row r="907" spans="1:8" x14ac:dyDescent="0.15">
      <c r="A907">
        <v>39</v>
      </c>
      <c r="B907">
        <v>3</v>
      </c>
      <c r="C907">
        <v>1587500</v>
      </c>
      <c r="D907">
        <v>15206279063524.381</v>
      </c>
      <c r="E907">
        <v>3.2384787701708759E-2</v>
      </c>
      <c r="F907">
        <v>2.5920904158503733E-5</v>
      </c>
      <c r="G907">
        <v>3.2358866797550255E-2</v>
      </c>
      <c r="H907" t="b">
        <v>0</v>
      </c>
    </row>
    <row r="908" spans="1:8" x14ac:dyDescent="0.15">
      <c r="A908">
        <v>39</v>
      </c>
      <c r="B908">
        <v>4</v>
      </c>
      <c r="C908">
        <v>843750</v>
      </c>
      <c r="D908">
        <v>-195556.24350719756</v>
      </c>
      <c r="E908">
        <v>3.6080981466134307E-6</v>
      </c>
      <c r="F908">
        <v>2.5920904158505433E-5</v>
      </c>
      <c r="G908">
        <v>-2.2312806011892001E-5</v>
      </c>
      <c r="H908" t="b">
        <v>1</v>
      </c>
    </row>
    <row r="909" spans="1:8" x14ac:dyDescent="0.15">
      <c r="A909">
        <v>39</v>
      </c>
      <c r="B909">
        <v>5</v>
      </c>
      <c r="C909">
        <v>1215625</v>
      </c>
      <c r="D909">
        <v>84705569092.611191</v>
      </c>
      <c r="E909">
        <v>5.5240067287274004E-4</v>
      </c>
      <c r="F909">
        <v>2.5920904158505467E-5</v>
      </c>
      <c r="G909">
        <v>5.2647976871423457E-4</v>
      </c>
      <c r="H909" t="b">
        <v>0</v>
      </c>
    </row>
    <row r="910" spans="1:8" x14ac:dyDescent="0.15">
      <c r="A910">
        <v>39</v>
      </c>
      <c r="B910">
        <v>6</v>
      </c>
      <c r="C910">
        <v>1029687.5</v>
      </c>
      <c r="D910">
        <v>294440753.77207714</v>
      </c>
      <c r="E910">
        <v>3.231903670319595E-5</v>
      </c>
      <c r="F910">
        <v>2.5920904158505433E-5</v>
      </c>
      <c r="G910">
        <v>6.3981325446905166E-6</v>
      </c>
      <c r="H910" t="b">
        <v>0</v>
      </c>
    </row>
    <row r="911" spans="1:8" x14ac:dyDescent="0.15">
      <c r="A911">
        <v>39</v>
      </c>
      <c r="B911">
        <v>7</v>
      </c>
      <c r="C911">
        <v>936718.75</v>
      </c>
      <c r="D911">
        <v>-1621505.4904010519</v>
      </c>
      <c r="E911">
        <v>9.6944640960489707E-6</v>
      </c>
      <c r="F911">
        <v>2.5920904158505433E-5</v>
      </c>
      <c r="G911">
        <v>-1.6226440062456463E-5</v>
      </c>
      <c r="H911" t="b">
        <v>1</v>
      </c>
    </row>
    <row r="912" spans="1:8" x14ac:dyDescent="0.15">
      <c r="A912">
        <v>39</v>
      </c>
      <c r="B912">
        <v>8</v>
      </c>
      <c r="C912">
        <v>983203.125</v>
      </c>
      <c r="D912">
        <v>-36081242.653272592</v>
      </c>
      <c r="E912">
        <v>1.5181128351862281E-5</v>
      </c>
      <c r="F912">
        <v>2.5920904158505433E-5</v>
      </c>
      <c r="G912">
        <v>-1.0739775806643152E-5</v>
      </c>
      <c r="H912" t="b">
        <v>1</v>
      </c>
    </row>
    <row r="913" spans="1:8" x14ac:dyDescent="0.15">
      <c r="A913">
        <v>39</v>
      </c>
      <c r="B913">
        <v>9</v>
      </c>
      <c r="C913">
        <v>1006445.3125</v>
      </c>
      <c r="D913">
        <v>-96473953.73727487</v>
      </c>
      <c r="E913">
        <v>2.1267723093120565E-5</v>
      </c>
      <c r="F913">
        <v>2.5920904158505433E-5</v>
      </c>
      <c r="G913">
        <v>-4.6531810653848681E-6</v>
      </c>
      <c r="H913" t="b">
        <v>1</v>
      </c>
    </row>
    <row r="914" spans="1:8" x14ac:dyDescent="0.15">
      <c r="A914">
        <v>39</v>
      </c>
      <c r="B914">
        <v>10</v>
      </c>
      <c r="C914">
        <v>1018066.40625</v>
      </c>
      <c r="D914">
        <v>12106771.381399184</v>
      </c>
      <c r="E914">
        <v>2.6274116229630053E-5</v>
      </c>
      <c r="F914">
        <v>2.5920904158505433E-5</v>
      </c>
      <c r="G914">
        <v>3.5321207112461942E-7</v>
      </c>
      <c r="H914" t="b">
        <v>0</v>
      </c>
    </row>
    <row r="915" spans="1:8" x14ac:dyDescent="0.15">
      <c r="A915">
        <v>39</v>
      </c>
      <c r="B915">
        <v>11</v>
      </c>
      <c r="C915">
        <v>1012255.859375</v>
      </c>
      <c r="D915">
        <v>-62079008.688908532</v>
      </c>
      <c r="E915">
        <v>2.3652539403278737E-5</v>
      </c>
      <c r="F915">
        <v>2.5920904158505433E-5</v>
      </c>
      <c r="G915">
        <v>-2.2683647552266968E-6</v>
      </c>
      <c r="H915" t="b">
        <v>1</v>
      </c>
    </row>
    <row r="916" spans="1:8" x14ac:dyDescent="0.15">
      <c r="A916">
        <v>39</v>
      </c>
      <c r="B916">
        <v>12</v>
      </c>
      <c r="C916">
        <v>1015161.1328125</v>
      </c>
      <c r="D916">
        <v>-30433280.893034395</v>
      </c>
      <c r="E916">
        <v>2.4932487952098762E-5</v>
      </c>
      <c r="F916">
        <v>2.5920904158505433E-5</v>
      </c>
      <c r="G916">
        <v>-9.884162064066718E-7</v>
      </c>
      <c r="H916" t="b">
        <v>1</v>
      </c>
    </row>
    <row r="917" spans="1:8" x14ac:dyDescent="0.15">
      <c r="A917">
        <v>39</v>
      </c>
      <c r="B917">
        <v>13</v>
      </c>
      <c r="C917">
        <v>1016613.76953125</v>
      </c>
      <c r="D917">
        <v>-10588708.553969653</v>
      </c>
      <c r="E917">
        <v>2.5595349561660398E-5</v>
      </c>
      <c r="F917">
        <v>2.5920904158505433E-5</v>
      </c>
      <c r="G917">
        <v>-3.2555459684503559E-7</v>
      </c>
      <c r="H917" t="b">
        <v>1</v>
      </c>
    </row>
    <row r="918" spans="1:8" x14ac:dyDescent="0.15">
      <c r="A918">
        <v>39</v>
      </c>
      <c r="B918">
        <v>14</v>
      </c>
      <c r="C918">
        <v>1017113.76953125</v>
      </c>
      <c r="D918">
        <v>-3105022.3162739277</v>
      </c>
      <c r="E918">
        <v>2.5827170718900735E-5</v>
      </c>
      <c r="F918">
        <v>2.5920904158505433E-5</v>
      </c>
      <c r="G918">
        <v>-9.3733439604698E-8</v>
      </c>
      <c r="H918" t="b">
        <v>1</v>
      </c>
    </row>
    <row r="919" spans="1:8" x14ac:dyDescent="0.15">
      <c r="A919">
        <v>39</v>
      </c>
      <c r="B919">
        <v>15</v>
      </c>
      <c r="C919">
        <v>1017613.76953125</v>
      </c>
      <c r="D919">
        <v>4721487.7998020835</v>
      </c>
      <c r="E919">
        <v>2.6060887610123745E-5</v>
      </c>
      <c r="F919">
        <v>2.5920904158505433E-5</v>
      </c>
      <c r="G919">
        <v>1.3998345161831175E-7</v>
      </c>
      <c r="H919" t="b">
        <v>0</v>
      </c>
    </row>
    <row r="920" spans="1:8" x14ac:dyDescent="0.15">
      <c r="A920">
        <v>39</v>
      </c>
      <c r="B920">
        <v>16</v>
      </c>
      <c r="C920">
        <v>1017363.76953125</v>
      </c>
      <c r="D920">
        <v>765088.96657509985</v>
      </c>
      <c r="E920">
        <v>2.5943792328961954E-5</v>
      </c>
      <c r="F920">
        <v>2.5920904158505433E-5</v>
      </c>
      <c r="G920">
        <v>2.2888170456520577E-8</v>
      </c>
      <c r="H920" t="b">
        <v>0</v>
      </c>
    </row>
    <row r="921" spans="1:8" x14ac:dyDescent="0.15">
      <c r="A921">
        <v>39</v>
      </c>
      <c r="B921">
        <v>17</v>
      </c>
      <c r="C921">
        <v>1017488.76953125</v>
      </c>
      <c r="D921">
        <v>2732488.5665025515</v>
      </c>
      <c r="E921">
        <v>2.6002281438885485E-5</v>
      </c>
      <c r="F921">
        <v>2.5920904158505433E-5</v>
      </c>
      <c r="G921">
        <v>8.1377280380051333E-8</v>
      </c>
      <c r="H921" t="b">
        <v>0</v>
      </c>
    </row>
    <row r="922" spans="1:8" x14ac:dyDescent="0.15">
      <c r="A922">
        <v>39</v>
      </c>
      <c r="B922">
        <v>18</v>
      </c>
      <c r="C922">
        <v>1017426.26953125</v>
      </c>
      <c r="D922">
        <v>1746087.8589038593</v>
      </c>
      <c r="E922">
        <v>2.5973022087786251E-5</v>
      </c>
      <c r="F922">
        <v>2.5920904158505433E-5</v>
      </c>
      <c r="G922">
        <v>5.2117929280817704E-8</v>
      </c>
      <c r="H922" t="b">
        <v>0</v>
      </c>
    </row>
    <row r="923" spans="1:8" x14ac:dyDescent="0.15">
      <c r="A923">
        <v>39</v>
      </c>
      <c r="B923">
        <v>19</v>
      </c>
      <c r="C923">
        <v>1017351.26953125</v>
      </c>
      <c r="D923">
        <v>569537.34406756388</v>
      </c>
      <c r="E923">
        <v>2.5937949950369427E-5</v>
      </c>
      <c r="F923">
        <v>2.5920904158505433E-5</v>
      </c>
      <c r="G923">
        <v>1.7045791863993712E-8</v>
      </c>
      <c r="H923" t="b">
        <v>0</v>
      </c>
    </row>
    <row r="924" spans="1:8" x14ac:dyDescent="0.15">
      <c r="A924">
        <v>39</v>
      </c>
      <c r="B924">
        <v>20</v>
      </c>
      <c r="C924">
        <v>1017388.76953125</v>
      </c>
      <c r="D924">
        <v>1156759.7717792643</v>
      </c>
      <c r="E924">
        <v>2.5955478263449617E-5</v>
      </c>
      <c r="F924">
        <v>2.5920904158505433E-5</v>
      </c>
      <c r="G924">
        <v>3.4574104944183956E-8</v>
      </c>
      <c r="H924" t="b">
        <v>0</v>
      </c>
    </row>
    <row r="925" spans="1:8" x14ac:dyDescent="0.15">
      <c r="A925">
        <v>39</v>
      </c>
      <c r="B925">
        <v>21</v>
      </c>
      <c r="C925">
        <v>1017370.01953125</v>
      </c>
      <c r="D925">
        <v>862865.53786989022</v>
      </c>
      <c r="E925">
        <v>2.594671157044328E-5</v>
      </c>
      <c r="F925">
        <v>2.5920904158505433E-5</v>
      </c>
      <c r="G925">
        <v>2.5807411937846443E-8</v>
      </c>
      <c r="H925" t="b">
        <v>0</v>
      </c>
    </row>
    <row r="926" spans="1:8" x14ac:dyDescent="0.15">
      <c r="A926">
        <v>39</v>
      </c>
      <c r="B926">
        <v>22</v>
      </c>
      <c r="C926">
        <v>1017379.39453125</v>
      </c>
      <c r="D926">
        <v>1009832.1748493996</v>
      </c>
      <c r="E926">
        <v>2.5951096976752904E-5</v>
      </c>
      <c r="F926">
        <v>2.5920904158505433E-5</v>
      </c>
      <c r="G926">
        <v>3.0192818247470985E-8</v>
      </c>
      <c r="H926" t="b">
        <v>0</v>
      </c>
    </row>
    <row r="927" spans="1:8" x14ac:dyDescent="0.15">
      <c r="A927">
        <v>40</v>
      </c>
      <c r="B927">
        <v>1</v>
      </c>
      <c r="C927">
        <v>6050000</v>
      </c>
      <c r="D927">
        <v>2.3558588143406408E+18</v>
      </c>
      <c r="E927">
        <v>536.87092200000006</v>
      </c>
      <c r="F927">
        <v>1.7610239751775225E-5</v>
      </c>
      <c r="G927">
        <v>536.87090438976031</v>
      </c>
      <c r="H927" t="b">
        <v>0</v>
      </c>
    </row>
    <row r="928" spans="1:8" x14ac:dyDescent="0.15">
      <c r="A928">
        <v>40</v>
      </c>
      <c r="B928">
        <v>2</v>
      </c>
      <c r="C928">
        <v>3075000</v>
      </c>
      <c r="D928">
        <v>6.1502657735538016E+16</v>
      </c>
      <c r="E928">
        <v>21.847505268806145</v>
      </c>
      <c r="F928">
        <v>1.761023973756437E-5</v>
      </c>
      <c r="G928">
        <v>21.847487658566408</v>
      </c>
      <c r="H928" t="b">
        <v>0</v>
      </c>
    </row>
    <row r="929" spans="1:8" x14ac:dyDescent="0.15">
      <c r="A929">
        <v>40</v>
      </c>
      <c r="B929">
        <v>3</v>
      </c>
      <c r="C929">
        <v>1587500</v>
      </c>
      <c r="D929">
        <v>300423083796.29816</v>
      </c>
      <c r="E929">
        <v>8.7972748427831088E-4</v>
      </c>
      <c r="F929">
        <v>1.7610239736655159E-5</v>
      </c>
      <c r="G929">
        <v>8.6211724454165572E-4</v>
      </c>
      <c r="H929" t="b">
        <v>0</v>
      </c>
    </row>
    <row r="930" spans="1:8" x14ac:dyDescent="0.15">
      <c r="A930">
        <v>40</v>
      </c>
      <c r="B930">
        <v>4</v>
      </c>
      <c r="C930">
        <v>843750</v>
      </c>
      <c r="D930">
        <v>-68329.999443887675</v>
      </c>
      <c r="E930">
        <v>-1.9650514192237002E-6</v>
      </c>
      <c r="F930">
        <v>1.7610239736655148E-5</v>
      </c>
      <c r="G930">
        <v>-1.9575291155878847E-5</v>
      </c>
      <c r="H930" t="b">
        <v>1</v>
      </c>
    </row>
    <row r="931" spans="1:8" x14ac:dyDescent="0.15">
      <c r="A931">
        <v>40</v>
      </c>
      <c r="B931">
        <v>5</v>
      </c>
      <c r="C931">
        <v>1215625</v>
      </c>
      <c r="D931">
        <v>-66624423.792232454</v>
      </c>
      <c r="E931">
        <v>1.1805557846837372E-5</v>
      </c>
      <c r="F931">
        <v>1.7610239736655148E-5</v>
      </c>
      <c r="G931">
        <v>-5.8046818898177759E-6</v>
      </c>
      <c r="H931" t="b">
        <v>1</v>
      </c>
    </row>
    <row r="932" spans="1:8" x14ac:dyDescent="0.15">
      <c r="A932">
        <v>40</v>
      </c>
      <c r="B932">
        <v>6</v>
      </c>
      <c r="C932">
        <v>1401562.5</v>
      </c>
      <c r="D932">
        <v>18593704720.890152</v>
      </c>
      <c r="E932">
        <v>1.2176341071041432E-4</v>
      </c>
      <c r="F932">
        <v>1.7610239736655145E-5</v>
      </c>
      <c r="G932">
        <v>1.0415317097375917E-4</v>
      </c>
      <c r="H932" t="b">
        <v>0</v>
      </c>
    </row>
    <row r="933" spans="1:8" x14ac:dyDescent="0.15">
      <c r="A933">
        <v>40</v>
      </c>
      <c r="B933">
        <v>7</v>
      </c>
      <c r="C933">
        <v>1308593.75</v>
      </c>
      <c r="D933">
        <v>2120538592.2277558</v>
      </c>
      <c r="E933">
        <v>3.7919788408990654E-5</v>
      </c>
      <c r="F933">
        <v>1.7610239736655148E-5</v>
      </c>
      <c r="G933">
        <v>2.0309548672335506E-5</v>
      </c>
      <c r="H933" t="b">
        <v>0</v>
      </c>
    </row>
    <row r="934" spans="1:8" x14ac:dyDescent="0.15">
      <c r="A934">
        <v>40</v>
      </c>
      <c r="B934">
        <v>8</v>
      </c>
      <c r="C934">
        <v>1262109.375</v>
      </c>
      <c r="D934">
        <v>143237041.07955354</v>
      </c>
      <c r="E934">
        <v>1.9988036570557749E-5</v>
      </c>
      <c r="F934">
        <v>1.7610239736655148E-5</v>
      </c>
      <c r="G934">
        <v>2.3777968339026002E-6</v>
      </c>
      <c r="H934" t="b">
        <v>0</v>
      </c>
    </row>
    <row r="935" spans="1:8" x14ac:dyDescent="0.15">
      <c r="A935">
        <v>40</v>
      </c>
      <c r="B935">
        <v>9</v>
      </c>
      <c r="C935">
        <v>1238867.1875</v>
      </c>
      <c r="D935">
        <v>-89265217.43310523</v>
      </c>
      <c r="E935">
        <v>1.4278538181843577E-5</v>
      </c>
      <c r="F935">
        <v>1.7610239736655148E-5</v>
      </c>
      <c r="G935">
        <v>-3.3317015548115712E-6</v>
      </c>
      <c r="H935" t="b">
        <v>1</v>
      </c>
    </row>
    <row r="936" spans="1:8" x14ac:dyDescent="0.15">
      <c r="A936">
        <v>40</v>
      </c>
      <c r="B936">
        <v>10</v>
      </c>
      <c r="C936">
        <v>1250488.28125</v>
      </c>
      <c r="D936">
        <v>-29625160.581496015</v>
      </c>
      <c r="E936">
        <v>1.6918353465405589E-5</v>
      </c>
      <c r="F936">
        <v>1.7610239736655148E-5</v>
      </c>
      <c r="G936">
        <v>-6.9188627124955958E-7</v>
      </c>
      <c r="H936" t="b">
        <v>1</v>
      </c>
    </row>
    <row r="937" spans="1:8" x14ac:dyDescent="0.15">
      <c r="A937">
        <v>40</v>
      </c>
      <c r="B937">
        <v>11</v>
      </c>
      <c r="C937">
        <v>1256298.828125</v>
      </c>
      <c r="D937">
        <v>40340227.606630445</v>
      </c>
      <c r="E937">
        <v>1.8395523202978693E-5</v>
      </c>
      <c r="F937">
        <v>1.7610239736655148E-5</v>
      </c>
      <c r="G937">
        <v>7.8528346632354443E-7</v>
      </c>
      <c r="H937" t="b">
        <v>0</v>
      </c>
    </row>
    <row r="938" spans="1:8" x14ac:dyDescent="0.15">
      <c r="A938">
        <v>40</v>
      </c>
      <c r="B938">
        <v>12</v>
      </c>
      <c r="C938">
        <v>1253393.5546875</v>
      </c>
      <c r="D938">
        <v>1541356.9177758261</v>
      </c>
      <c r="E938">
        <v>1.7642997680235204E-5</v>
      </c>
      <c r="F938">
        <v>1.7610239736655148E-5</v>
      </c>
      <c r="G938">
        <v>3.2757943580056143E-8</v>
      </c>
      <c r="H938" t="b">
        <v>0</v>
      </c>
    </row>
    <row r="939" spans="1:8" x14ac:dyDescent="0.15">
      <c r="A939">
        <v>40</v>
      </c>
      <c r="B939">
        <v>13</v>
      </c>
      <c r="C939">
        <v>1251940.91796875</v>
      </c>
      <c r="D939">
        <v>-14959555.531664107</v>
      </c>
      <c r="E939">
        <v>1.7277249500836289E-5</v>
      </c>
      <c r="F939">
        <v>1.7610239736655148E-5</v>
      </c>
      <c r="G939">
        <v>-3.3299023581885923E-7</v>
      </c>
      <c r="H939" t="b">
        <v>1</v>
      </c>
    </row>
    <row r="940" spans="1:8" x14ac:dyDescent="0.15">
      <c r="A940">
        <v>40</v>
      </c>
      <c r="B940">
        <v>14</v>
      </c>
      <c r="C940">
        <v>1252440.91796875</v>
      </c>
      <c r="D940">
        <v>-9490740.0074194428</v>
      </c>
      <c r="E940">
        <v>1.7402360267796448E-5</v>
      </c>
      <c r="F940">
        <v>1.7610239736655148E-5</v>
      </c>
      <c r="G940">
        <v>-2.0787946885870062E-7</v>
      </c>
      <c r="H940" t="b">
        <v>1</v>
      </c>
    </row>
    <row r="941" spans="1:8" x14ac:dyDescent="0.15">
      <c r="A941">
        <v>40</v>
      </c>
      <c r="B941">
        <v>15</v>
      </c>
      <c r="C941">
        <v>1252940.91796875</v>
      </c>
      <c r="D941">
        <v>-3801414.6407330176</v>
      </c>
      <c r="E941">
        <v>1.75282908233733E-5</v>
      </c>
      <c r="F941">
        <v>1.7610239736655148E-5</v>
      </c>
      <c r="G941">
        <v>-8.1948913281848404E-8</v>
      </c>
      <c r="H941" t="b">
        <v>1</v>
      </c>
    </row>
    <row r="942" spans="1:8" x14ac:dyDescent="0.15">
      <c r="A942">
        <v>40</v>
      </c>
      <c r="B942">
        <v>16</v>
      </c>
      <c r="C942">
        <v>1253440.91796875</v>
      </c>
      <c r="D942">
        <v>2111091.2275234875</v>
      </c>
      <c r="E942">
        <v>1.7655039658814667E-5</v>
      </c>
      <c r="F942">
        <v>1.7610239736655148E-5</v>
      </c>
      <c r="G942">
        <v>4.4799922159518657E-8</v>
      </c>
      <c r="H942" t="b">
        <v>0</v>
      </c>
    </row>
    <row r="943" spans="1:8" x14ac:dyDescent="0.15">
      <c r="A943">
        <v>40</v>
      </c>
      <c r="B943">
        <v>17</v>
      </c>
      <c r="C943">
        <v>1253190.91796875</v>
      </c>
      <c r="D943">
        <v>-873298.37431638944</v>
      </c>
      <c r="E943">
        <v>1.7591561484949845E-5</v>
      </c>
      <c r="F943">
        <v>1.7610239736655148E-5</v>
      </c>
      <c r="G943">
        <v>-1.8678251705303491E-8</v>
      </c>
      <c r="H943" t="b">
        <v>1</v>
      </c>
    </row>
    <row r="944" spans="1:8" x14ac:dyDescent="0.15">
      <c r="A944">
        <v>40</v>
      </c>
      <c r="B944">
        <v>18</v>
      </c>
      <c r="C944">
        <v>1253315.91796875</v>
      </c>
      <c r="D944">
        <v>611922.10686333489</v>
      </c>
      <c r="E944">
        <v>1.7623276366842165E-5</v>
      </c>
      <c r="F944">
        <v>1.7610239736655148E-5</v>
      </c>
      <c r="G944">
        <v>1.303663018701706E-8</v>
      </c>
      <c r="H944" t="b">
        <v>0</v>
      </c>
    </row>
    <row r="945" spans="1:8" x14ac:dyDescent="0.15">
      <c r="A945">
        <v>40</v>
      </c>
      <c r="B945">
        <v>19</v>
      </c>
      <c r="C945">
        <v>1253465.91796875</v>
      </c>
      <c r="D945">
        <v>2412635.5679777795</v>
      </c>
      <c r="E945">
        <v>1.7661398826139942E-5</v>
      </c>
      <c r="F945">
        <v>1.7610239736655148E-5</v>
      </c>
      <c r="G945">
        <v>5.1159089484793981E-8</v>
      </c>
      <c r="H945" t="b">
        <v>0</v>
      </c>
    </row>
    <row r="946" spans="1:8" x14ac:dyDescent="0.15">
      <c r="A946">
        <v>40</v>
      </c>
      <c r="B946">
        <v>20</v>
      </c>
      <c r="C946">
        <v>1253390.91796875</v>
      </c>
      <c r="D946">
        <v>1509699.3659597549</v>
      </c>
      <c r="E946">
        <v>1.7642327519801229E-5</v>
      </c>
      <c r="F946">
        <v>1.7610239736655148E-5</v>
      </c>
      <c r="G946">
        <v>3.2087783146080489E-8</v>
      </c>
      <c r="H946" t="b">
        <v>0</v>
      </c>
    </row>
    <row r="947" spans="1:8" x14ac:dyDescent="0.15">
      <c r="A947">
        <v>40</v>
      </c>
      <c r="B947">
        <v>21</v>
      </c>
      <c r="C947">
        <v>1253300.91796875</v>
      </c>
      <c r="D947">
        <v>432887.07737496344</v>
      </c>
      <c r="E947">
        <v>1.761946647371888E-5</v>
      </c>
      <c r="F947">
        <v>1.7610239736655148E-5</v>
      </c>
      <c r="G947">
        <v>9.2267370637313473E-9</v>
      </c>
      <c r="H947" t="b">
        <v>0</v>
      </c>
    </row>
    <row r="948" spans="1:8" x14ac:dyDescent="0.15">
      <c r="A948">
        <v>40</v>
      </c>
      <c r="B948">
        <v>22</v>
      </c>
      <c r="C948">
        <v>1253345.91796875</v>
      </c>
      <c r="D948">
        <v>970379.0284931584</v>
      </c>
      <c r="E948">
        <v>1.7630893654459527E-5</v>
      </c>
      <c r="F948">
        <v>1.7610239736655148E-5</v>
      </c>
      <c r="G948">
        <v>2.0653917804378999E-8</v>
      </c>
      <c r="H948" t="b">
        <v>0</v>
      </c>
    </row>
    <row r="949" spans="1:8" x14ac:dyDescent="0.15">
      <c r="A949">
        <v>40</v>
      </c>
      <c r="B949">
        <v>23</v>
      </c>
      <c r="C949">
        <v>1253399.91796875</v>
      </c>
      <c r="D949">
        <v>1617857.5851725482</v>
      </c>
      <c r="E949">
        <v>1.7644616672820097E-5</v>
      </c>
      <c r="F949">
        <v>1.7610239736655148E-5</v>
      </c>
      <c r="G949">
        <v>3.437693616494889E-8</v>
      </c>
      <c r="H949" t="b">
        <v>0</v>
      </c>
    </row>
    <row r="950" spans="1:8" x14ac:dyDescent="0.15">
      <c r="A950">
        <v>40</v>
      </c>
      <c r="B950">
        <v>24</v>
      </c>
      <c r="C950">
        <v>1253372.91796875</v>
      </c>
      <c r="D950">
        <v>1293826.0831134061</v>
      </c>
      <c r="E950">
        <v>1.7637754748108115E-5</v>
      </c>
      <c r="F950">
        <v>1.7610239736655148E-5</v>
      </c>
      <c r="G950">
        <v>2.7515011452966623E-8</v>
      </c>
      <c r="H950" t="b">
        <v>0</v>
      </c>
    </row>
    <row r="951" spans="1:8" x14ac:dyDescent="0.15">
      <c r="A951">
        <v>40</v>
      </c>
      <c r="B951">
        <v>25</v>
      </c>
      <c r="C951">
        <v>1253340.5179687501</v>
      </c>
      <c r="D951">
        <v>905857.70722168137</v>
      </c>
      <c r="E951">
        <v>1.7629523615901868E-5</v>
      </c>
      <c r="F951">
        <v>1.7610239736655148E-5</v>
      </c>
      <c r="G951">
        <v>1.9283879246719985E-8</v>
      </c>
      <c r="H951" t="b">
        <v>0</v>
      </c>
    </row>
    <row r="952" spans="1:8" x14ac:dyDescent="0.15">
      <c r="A952">
        <v>40</v>
      </c>
      <c r="B952">
        <v>26</v>
      </c>
      <c r="C952">
        <v>1253356.71796875</v>
      </c>
      <c r="D952">
        <v>1099723.3819713169</v>
      </c>
      <c r="E952">
        <v>1.7633638748788497E-5</v>
      </c>
      <c r="F952">
        <v>1.7610239736655148E-5</v>
      </c>
      <c r="G952">
        <v>2.3399012133348265E-8</v>
      </c>
      <c r="H952" t="b">
        <v>0</v>
      </c>
    </row>
    <row r="953" spans="1:8" x14ac:dyDescent="0.15">
      <c r="A953">
        <v>40</v>
      </c>
      <c r="B953">
        <v>27</v>
      </c>
      <c r="C953">
        <v>1253376.15796875</v>
      </c>
      <c r="D953">
        <v>1332675.0753942744</v>
      </c>
      <c r="E953">
        <v>1.7638578051957832E-5</v>
      </c>
      <c r="F953">
        <v>1.7610239736655148E-5</v>
      </c>
      <c r="G953">
        <v>2.8338315302683389E-8</v>
      </c>
      <c r="H953" t="b">
        <v>0</v>
      </c>
    </row>
    <row r="954" spans="1:8" x14ac:dyDescent="0.15">
      <c r="A954">
        <v>40</v>
      </c>
      <c r="B954">
        <v>28</v>
      </c>
      <c r="C954">
        <v>1253366.43796875</v>
      </c>
      <c r="D954">
        <v>1216082.1933720771</v>
      </c>
      <c r="E954">
        <v>1.7636106667741051E-5</v>
      </c>
      <c r="F954">
        <v>1.7610239736655148E-5</v>
      </c>
      <c r="G954">
        <v>2.586693108590316E-8</v>
      </c>
      <c r="H954" t="b">
        <v>0</v>
      </c>
    </row>
    <row r="955" spans="1:8" x14ac:dyDescent="0.15">
      <c r="A955">
        <v>40</v>
      </c>
      <c r="B955">
        <v>29</v>
      </c>
      <c r="C955">
        <v>1253371.2979687501</v>
      </c>
      <c r="D955">
        <v>1274405.1439399293</v>
      </c>
      <c r="E955">
        <v>1.7637343109182315E-5</v>
      </c>
      <c r="F955">
        <v>1.7610239736655148E-5</v>
      </c>
      <c r="G955">
        <v>2.7103372527167128E-8</v>
      </c>
      <c r="H955" t="b">
        <v>0</v>
      </c>
    </row>
    <row r="956" spans="1:8" x14ac:dyDescent="0.15">
      <c r="A956">
        <v>40</v>
      </c>
      <c r="B956">
        <v>30</v>
      </c>
      <c r="C956">
        <v>1253368.8679687502</v>
      </c>
      <c r="D956">
        <v>1245278.1810729781</v>
      </c>
      <c r="E956">
        <v>1.7636725667041331E-5</v>
      </c>
      <c r="F956">
        <v>1.7610239736655148E-5</v>
      </c>
      <c r="G956">
        <v>2.6485930386182729E-8</v>
      </c>
      <c r="H956" t="b">
        <v>0</v>
      </c>
    </row>
    <row r="957" spans="1:8" x14ac:dyDescent="0.15">
      <c r="A957">
        <v>41</v>
      </c>
      <c r="B957">
        <v>1</v>
      </c>
      <c r="C957">
        <v>6050000</v>
      </c>
      <c r="D957">
        <v>9.080898982917408E+17</v>
      </c>
      <c r="E957">
        <v>267.10965445756437</v>
      </c>
      <c r="F957">
        <v>1.7138645148406795E-5</v>
      </c>
      <c r="G957">
        <v>267.10963731891923</v>
      </c>
      <c r="H957" t="b">
        <v>0</v>
      </c>
    </row>
    <row r="958" spans="1:8" x14ac:dyDescent="0.15">
      <c r="A958">
        <v>41</v>
      </c>
      <c r="B958">
        <v>2</v>
      </c>
      <c r="C958">
        <v>3075000</v>
      </c>
      <c r="D958">
        <v>4468634243057820</v>
      </c>
      <c r="E958">
        <v>2.6288202614028511</v>
      </c>
      <c r="F958">
        <v>1.7138645153291776E-5</v>
      </c>
      <c r="G958">
        <v>2.6288031227576978</v>
      </c>
      <c r="H958" t="b">
        <v>0</v>
      </c>
    </row>
    <row r="959" spans="1:8" x14ac:dyDescent="0.15">
      <c r="A959">
        <v>41</v>
      </c>
      <c r="B959">
        <v>3</v>
      </c>
      <c r="C959">
        <v>1587500</v>
      </c>
      <c r="D959">
        <v>195249867611.89359</v>
      </c>
      <c r="E959">
        <v>7.3728376001321949E-4</v>
      </c>
      <c r="F959">
        <v>1.7138645153259358E-5</v>
      </c>
      <c r="G959">
        <v>7.2014511485996014E-4</v>
      </c>
      <c r="H959" t="b">
        <v>0</v>
      </c>
    </row>
    <row r="960" spans="1:8" x14ac:dyDescent="0.15">
      <c r="A960">
        <v>41</v>
      </c>
      <c r="B960">
        <v>4</v>
      </c>
      <c r="C960">
        <v>843750</v>
      </c>
      <c r="D960">
        <v>-169380.29945474054</v>
      </c>
      <c r="E960">
        <v>6.3251773138375635E-7</v>
      </c>
      <c r="F960">
        <v>1.7138645153259314E-5</v>
      </c>
      <c r="G960">
        <v>-1.6506127421875559E-5</v>
      </c>
      <c r="H960" t="b">
        <v>1</v>
      </c>
    </row>
    <row r="961" spans="1:8" x14ac:dyDescent="0.15">
      <c r="A961">
        <v>41</v>
      </c>
      <c r="B961">
        <v>5</v>
      </c>
      <c r="C961">
        <v>1215625</v>
      </c>
      <c r="D961">
        <v>38728140.596393019</v>
      </c>
      <c r="E961">
        <v>1.8205773659374089E-5</v>
      </c>
      <c r="F961">
        <v>1.7138645153259314E-5</v>
      </c>
      <c r="G961">
        <v>1.0671285061147749E-6</v>
      </c>
      <c r="H961" t="b">
        <v>0</v>
      </c>
    </row>
    <row r="962" spans="1:8" x14ac:dyDescent="0.15">
      <c r="A962">
        <v>41</v>
      </c>
      <c r="B962">
        <v>6</v>
      </c>
      <c r="C962">
        <v>1029687.5</v>
      </c>
      <c r="D962">
        <v>-879134.25332964107</v>
      </c>
      <c r="E962">
        <v>5.0584584300326609E-6</v>
      </c>
      <c r="F962">
        <v>1.7138645153259314E-5</v>
      </c>
      <c r="G962">
        <v>-1.2080186723226653E-5</v>
      </c>
      <c r="H962" t="b">
        <v>1</v>
      </c>
    </row>
    <row r="963" spans="1:8" x14ac:dyDescent="0.15">
      <c r="A963">
        <v>41</v>
      </c>
      <c r="B963">
        <v>7</v>
      </c>
      <c r="C963">
        <v>1122656.25</v>
      </c>
      <c r="D963">
        <v>-14170240.894208785</v>
      </c>
      <c r="E963">
        <v>9.6099406741006259E-6</v>
      </c>
      <c r="F963">
        <v>1.7138645153259314E-5</v>
      </c>
      <c r="G963">
        <v>-7.5287044791586885E-6</v>
      </c>
      <c r="H963" t="b">
        <v>1</v>
      </c>
    </row>
    <row r="964" spans="1:8" x14ac:dyDescent="0.15">
      <c r="A964">
        <v>41</v>
      </c>
      <c r="B964">
        <v>8</v>
      </c>
      <c r="C964">
        <v>1169140.625</v>
      </c>
      <c r="D964">
        <v>-55003993.97721602</v>
      </c>
      <c r="E964">
        <v>1.2986194485612642E-5</v>
      </c>
      <c r="F964">
        <v>1.7138645153259314E-5</v>
      </c>
      <c r="G964">
        <v>-4.1524506676466727E-6</v>
      </c>
      <c r="H964" t="b">
        <v>1</v>
      </c>
    </row>
    <row r="965" spans="1:8" x14ac:dyDescent="0.15">
      <c r="A965">
        <v>41</v>
      </c>
      <c r="B965">
        <v>9</v>
      </c>
      <c r="C965">
        <v>1192382.8125</v>
      </c>
      <c r="D965">
        <v>-47461889.493044473</v>
      </c>
      <c r="E965">
        <v>1.5010804882334431E-5</v>
      </c>
      <c r="F965">
        <v>1.7138645153259314E-5</v>
      </c>
      <c r="G965">
        <v>-2.1278402709248837E-6</v>
      </c>
      <c r="H965" t="b">
        <v>1</v>
      </c>
    </row>
    <row r="966" spans="1:8" x14ac:dyDescent="0.15">
      <c r="A966">
        <v>41</v>
      </c>
      <c r="B966">
        <v>10</v>
      </c>
      <c r="C966">
        <v>1204003.90625</v>
      </c>
      <c r="D966">
        <v>-27869092.35012982</v>
      </c>
      <c r="E966">
        <v>1.6114629448417137E-5</v>
      </c>
      <c r="F966">
        <v>1.7138645153259314E-5</v>
      </c>
      <c r="G966">
        <v>-1.024015704842177E-6</v>
      </c>
      <c r="H966" t="b">
        <v>1</v>
      </c>
    </row>
    <row r="967" spans="1:8" x14ac:dyDescent="0.15">
      <c r="A967">
        <v>41</v>
      </c>
      <c r="B967">
        <v>11</v>
      </c>
      <c r="C967">
        <v>1209814.453125</v>
      </c>
      <c r="D967">
        <v>-6901977.5247670207</v>
      </c>
      <c r="E967">
        <v>1.6914004926574276E-5</v>
      </c>
      <c r="F967">
        <v>1.7138645153259314E-5</v>
      </c>
      <c r="G967">
        <v>-2.2464022668503827E-7</v>
      </c>
      <c r="H967" t="b">
        <v>1</v>
      </c>
    </row>
    <row r="968" spans="1:8" x14ac:dyDescent="0.15">
      <c r="A968">
        <v>41</v>
      </c>
      <c r="B968">
        <v>12</v>
      </c>
      <c r="C968">
        <v>1212719.7265625</v>
      </c>
      <c r="D968">
        <v>13751368.82574448</v>
      </c>
      <c r="E968">
        <v>1.7549381957660624E-5</v>
      </c>
      <c r="F968">
        <v>1.7138645153259314E-5</v>
      </c>
      <c r="G968">
        <v>4.1073680440130921E-7</v>
      </c>
      <c r="H968" t="b">
        <v>0</v>
      </c>
    </row>
    <row r="969" spans="1:8" x14ac:dyDescent="0.15">
      <c r="A969">
        <v>41</v>
      </c>
      <c r="B969">
        <v>13</v>
      </c>
      <c r="C969">
        <v>1211267.08984375</v>
      </c>
      <c r="D969">
        <v>2903259.6828656155</v>
      </c>
      <c r="E969">
        <v>1.722910376762111E-5</v>
      </c>
      <c r="F969">
        <v>1.7138645153259314E-5</v>
      </c>
      <c r="G969">
        <v>9.0458614361795968E-8</v>
      </c>
      <c r="H969" t="b">
        <v>0</v>
      </c>
    </row>
    <row r="970" spans="1:8" x14ac:dyDescent="0.15">
      <c r="A970">
        <v>41</v>
      </c>
      <c r="B970">
        <v>14</v>
      </c>
      <c r="C970">
        <v>1210067.08984375</v>
      </c>
      <c r="D970">
        <v>-5269980.3783980859</v>
      </c>
      <c r="E970">
        <v>1.696843626785872E-5</v>
      </c>
      <c r="F970">
        <v>1.7138645153259314E-5</v>
      </c>
      <c r="G970">
        <v>-1.7020888540059451E-7</v>
      </c>
      <c r="H970" t="b">
        <v>1</v>
      </c>
    </row>
    <row r="971" spans="1:8" x14ac:dyDescent="0.15">
      <c r="A971">
        <v>41</v>
      </c>
      <c r="B971">
        <v>15</v>
      </c>
      <c r="C971">
        <v>1210667.08984375</v>
      </c>
      <c r="D971">
        <v>-1270971.2041855331</v>
      </c>
      <c r="E971">
        <v>1.7098331566440117E-5</v>
      </c>
      <c r="F971">
        <v>1.7138645153259314E-5</v>
      </c>
      <c r="G971">
        <v>-4.0313586819197122E-8</v>
      </c>
      <c r="H971" t="b">
        <v>1</v>
      </c>
    </row>
    <row r="972" spans="1:8" x14ac:dyDescent="0.15">
      <c r="A972">
        <v>41</v>
      </c>
      <c r="B972">
        <v>16</v>
      </c>
      <c r="C972">
        <v>1211267.08984375</v>
      </c>
      <c r="D972">
        <v>2903259.6828656155</v>
      </c>
      <c r="E972">
        <v>1.722910376762111E-5</v>
      </c>
      <c r="F972">
        <v>1.7138645153259314E-5</v>
      </c>
      <c r="G972">
        <v>9.0458614361795968E-8</v>
      </c>
      <c r="H972" t="b">
        <v>0</v>
      </c>
    </row>
    <row r="973" spans="1:8" x14ac:dyDescent="0.15">
      <c r="A973">
        <v>41</v>
      </c>
      <c r="B973">
        <v>17</v>
      </c>
      <c r="C973">
        <v>1210967.08984375</v>
      </c>
      <c r="D973">
        <v>794009.62396915583</v>
      </c>
      <c r="E973">
        <v>1.7163605621623826E-5</v>
      </c>
      <c r="F973">
        <v>1.7138645153259314E-5</v>
      </c>
      <c r="G973">
        <v>2.4960468364511242E-8</v>
      </c>
      <c r="H973" t="b">
        <v>0</v>
      </c>
    </row>
    <row r="974" spans="1:8" x14ac:dyDescent="0.15">
      <c r="A974">
        <v>41</v>
      </c>
      <c r="B974">
        <v>18</v>
      </c>
      <c r="C974">
        <v>1211117.08984375</v>
      </c>
      <c r="D974">
        <v>1843125.4005310996</v>
      </c>
      <c r="E974">
        <v>1.7196328054678135E-5</v>
      </c>
      <c r="F974">
        <v>1.7138645153259314E-5</v>
      </c>
      <c r="G974">
        <v>5.7682901418820536E-8</v>
      </c>
      <c r="H974" t="b">
        <v>0</v>
      </c>
    </row>
    <row r="975" spans="1:8" x14ac:dyDescent="0.15">
      <c r="A975">
        <v>41</v>
      </c>
      <c r="B975">
        <v>19</v>
      </c>
      <c r="C975">
        <v>1211042.08984375</v>
      </c>
      <c r="D975">
        <v>1317154.9160677111</v>
      </c>
      <c r="E975">
        <v>1.717995900522543E-5</v>
      </c>
      <c r="F975">
        <v>1.7138645153259314E-5</v>
      </c>
      <c r="G975">
        <v>4.1313851966115917E-8</v>
      </c>
      <c r="H975" t="b">
        <v>0</v>
      </c>
    </row>
    <row r="976" spans="1:8" x14ac:dyDescent="0.15">
      <c r="A976">
        <v>41</v>
      </c>
      <c r="B976">
        <v>20</v>
      </c>
      <c r="C976">
        <v>1210952.08984375</v>
      </c>
      <c r="D976">
        <v>689771.84096160519</v>
      </c>
      <c r="E976">
        <v>1.7160338478870978E-5</v>
      </c>
      <c r="F976">
        <v>1.7138645153259314E-5</v>
      </c>
      <c r="G976">
        <v>2.1693325611663213E-8</v>
      </c>
      <c r="H976" t="b">
        <v>0</v>
      </c>
    </row>
    <row r="977" spans="1:8" x14ac:dyDescent="0.15">
      <c r="A977">
        <v>41</v>
      </c>
      <c r="B977">
        <v>21</v>
      </c>
      <c r="C977">
        <v>1210997.08984375</v>
      </c>
      <c r="D977">
        <v>1002936.3340364704</v>
      </c>
      <c r="E977">
        <v>1.7170145322049736E-5</v>
      </c>
      <c r="F977">
        <v>1.7138645153259314E-5</v>
      </c>
      <c r="G977">
        <v>3.1500168790421723E-8</v>
      </c>
      <c r="H977" t="b">
        <v>0</v>
      </c>
    </row>
    <row r="978" spans="1:8" x14ac:dyDescent="0.15">
      <c r="A978">
        <v>41</v>
      </c>
      <c r="B978">
        <v>22</v>
      </c>
      <c r="C978">
        <v>1211051.08984375</v>
      </c>
      <c r="D978">
        <v>1380178.4484906034</v>
      </c>
      <c r="E978">
        <v>1.7181924220835236E-5</v>
      </c>
      <c r="F978">
        <v>1.7138645153259314E-5</v>
      </c>
      <c r="G978">
        <v>4.3279067575921899E-8</v>
      </c>
      <c r="H978" t="b">
        <v>0</v>
      </c>
    </row>
    <row r="979" spans="1:8" x14ac:dyDescent="0.15">
      <c r="A979">
        <v>41</v>
      </c>
      <c r="B979">
        <v>23</v>
      </c>
      <c r="C979">
        <v>1211024.08984375</v>
      </c>
      <c r="D979">
        <v>1191408.4282059132</v>
      </c>
      <c r="E979">
        <v>1.7176034819796853E-5</v>
      </c>
      <c r="F979">
        <v>1.7138645153259314E-5</v>
      </c>
      <c r="G979">
        <v>3.7389666537538383E-8</v>
      </c>
      <c r="H979" t="b">
        <v>0</v>
      </c>
    </row>
    <row r="980" spans="1:8" x14ac:dyDescent="0.15">
      <c r="A980">
        <v>41</v>
      </c>
      <c r="B980">
        <v>24</v>
      </c>
      <c r="C980">
        <v>1211037.58984375</v>
      </c>
      <c r="D980">
        <v>1285688.2917394512</v>
      </c>
      <c r="E980">
        <v>1.7178977413699958E-5</v>
      </c>
      <c r="F980">
        <v>1.7138645153259314E-5</v>
      </c>
      <c r="G980">
        <v>4.0332260440643464E-8</v>
      </c>
      <c r="H980" t="b">
        <v>0</v>
      </c>
    </row>
    <row r="981" spans="1:8" x14ac:dyDescent="0.15">
      <c r="A981">
        <v>41</v>
      </c>
      <c r="B981">
        <v>25</v>
      </c>
      <c r="C981">
        <v>1211030.83984375</v>
      </c>
      <c r="D981">
        <v>1238567.3505473717</v>
      </c>
      <c r="E981">
        <v>1.7177507002635589E-5</v>
      </c>
      <c r="F981">
        <v>1.7138645153259314E-5</v>
      </c>
      <c r="G981">
        <v>3.8861849376274643E-8</v>
      </c>
      <c r="H981" t="b">
        <v>0</v>
      </c>
    </row>
    <row r="982" spans="1:8" x14ac:dyDescent="0.15">
      <c r="A982">
        <v>41</v>
      </c>
      <c r="B982">
        <v>26</v>
      </c>
      <c r="C982">
        <v>1211022.7398437499</v>
      </c>
      <c r="D982">
        <v>1181979.3297271384</v>
      </c>
      <c r="E982">
        <v>1.7175740396621661E-5</v>
      </c>
      <c r="F982">
        <v>1.7138645153259314E-5</v>
      </c>
      <c r="G982">
        <v>3.7095243362346967E-8</v>
      </c>
      <c r="H982" t="b">
        <v>0</v>
      </c>
    </row>
    <row r="983" spans="1:8" x14ac:dyDescent="0.15">
      <c r="A983">
        <v>41</v>
      </c>
      <c r="B983">
        <v>27</v>
      </c>
      <c r="C983">
        <v>1211026.78984375</v>
      </c>
      <c r="D983">
        <v>1210269.3110709195</v>
      </c>
      <c r="E983">
        <v>1.7176623679539877E-5</v>
      </c>
      <c r="F983">
        <v>1.7138645153259314E-5</v>
      </c>
      <c r="G983">
        <v>3.7978526280562432E-8</v>
      </c>
      <c r="H983" t="b">
        <v>0</v>
      </c>
    </row>
    <row r="984" spans="1:8" x14ac:dyDescent="0.15">
      <c r="A984">
        <v>42</v>
      </c>
      <c r="B984">
        <v>1</v>
      </c>
      <c r="C984">
        <v>6050000</v>
      </c>
      <c r="D984">
        <v>2.3662673877216227E+17</v>
      </c>
      <c r="E984">
        <v>45.771622744352989</v>
      </c>
      <c r="F984">
        <v>1.1206576779443367E-5</v>
      </c>
      <c r="G984">
        <v>45.771611537776209</v>
      </c>
      <c r="H984" t="b">
        <v>0</v>
      </c>
    </row>
    <row r="985" spans="1:8" x14ac:dyDescent="0.15">
      <c r="A985">
        <v>42</v>
      </c>
      <c r="B985">
        <v>2</v>
      </c>
      <c r="C985">
        <v>3075000</v>
      </c>
      <c r="D985">
        <v>227987068125818.06</v>
      </c>
      <c r="E985">
        <v>0.1206783783477592</v>
      </c>
      <c r="F985">
        <v>1.12065767792352E-5</v>
      </c>
      <c r="G985">
        <v>0.12066717177097996</v>
      </c>
      <c r="H985" t="b">
        <v>0</v>
      </c>
    </row>
    <row r="986" spans="1:8" x14ac:dyDescent="0.15">
      <c r="A986">
        <v>42</v>
      </c>
      <c r="B986">
        <v>3</v>
      </c>
      <c r="C986">
        <v>1587500</v>
      </c>
      <c r="D986">
        <v>3045412009.5282974</v>
      </c>
      <c r="E986">
        <v>3.0548209748887664E-5</v>
      </c>
      <c r="F986">
        <v>1.1206576779235746E-5</v>
      </c>
      <c r="G986">
        <v>1.9341632969651919E-5</v>
      </c>
      <c r="H986" t="b">
        <v>0</v>
      </c>
    </row>
    <row r="987" spans="1:8" x14ac:dyDescent="0.15">
      <c r="A987">
        <v>42</v>
      </c>
      <c r="B987">
        <v>4</v>
      </c>
      <c r="C987">
        <v>843750</v>
      </c>
      <c r="D987">
        <v>-61920.772831597409</v>
      </c>
      <c r="E987">
        <v>-3.246291216622759E-6</v>
      </c>
      <c r="F987">
        <v>1.1206576779235746E-5</v>
      </c>
      <c r="G987">
        <v>-1.4452867995858505E-5</v>
      </c>
      <c r="H987" t="b">
        <v>1</v>
      </c>
    </row>
    <row r="988" spans="1:8" x14ac:dyDescent="0.15">
      <c r="A988">
        <v>42</v>
      </c>
      <c r="B988">
        <v>5</v>
      </c>
      <c r="C988">
        <v>1215625</v>
      </c>
      <c r="D988">
        <v>-736275.04496198916</v>
      </c>
      <c r="E988">
        <v>2.8938621462066248E-6</v>
      </c>
      <c r="F988">
        <v>1.1206576779235746E-5</v>
      </c>
      <c r="G988">
        <v>-8.3127146330291202E-6</v>
      </c>
      <c r="H988" t="b">
        <v>1</v>
      </c>
    </row>
    <row r="989" spans="1:8" x14ac:dyDescent="0.15">
      <c r="A989">
        <v>42</v>
      </c>
      <c r="B989">
        <v>6</v>
      </c>
      <c r="C989">
        <v>1401562.5</v>
      </c>
      <c r="D989">
        <v>-39618267.185182266</v>
      </c>
      <c r="E989">
        <v>8.1047673266565777E-6</v>
      </c>
      <c r="F989">
        <v>1.1206576779235746E-5</v>
      </c>
      <c r="G989">
        <v>-3.1018094525791678E-6</v>
      </c>
      <c r="H989" t="b">
        <v>1</v>
      </c>
    </row>
    <row r="990" spans="1:8" x14ac:dyDescent="0.15">
      <c r="A990">
        <v>42</v>
      </c>
      <c r="B990">
        <v>7</v>
      </c>
      <c r="C990">
        <v>1494531.25</v>
      </c>
      <c r="D990">
        <v>105002891.18097821</v>
      </c>
      <c r="E990">
        <v>1.2926443261785324E-5</v>
      </c>
      <c r="F990">
        <v>1.1206576779235746E-5</v>
      </c>
      <c r="G990">
        <v>1.7198664825495783E-6</v>
      </c>
      <c r="H990" t="b">
        <v>0</v>
      </c>
    </row>
    <row r="991" spans="1:8" x14ac:dyDescent="0.15">
      <c r="A991">
        <v>42</v>
      </c>
      <c r="B991">
        <v>8</v>
      </c>
      <c r="C991">
        <v>1448046.875</v>
      </c>
      <c r="D991">
        <v>-31622224.697623037</v>
      </c>
      <c r="E991">
        <v>1.0286164423421594E-5</v>
      </c>
      <c r="F991">
        <v>1.1206576779235746E-5</v>
      </c>
      <c r="G991">
        <v>-9.204123558141517E-7</v>
      </c>
      <c r="H991" t="b">
        <v>1</v>
      </c>
    </row>
    <row r="992" spans="1:8" x14ac:dyDescent="0.15">
      <c r="A992">
        <v>42</v>
      </c>
      <c r="B992">
        <v>9</v>
      </c>
      <c r="C992">
        <v>1471289.0625</v>
      </c>
      <c r="D992">
        <v>15973292.466565618</v>
      </c>
      <c r="E992">
        <v>1.1544982331531909E-5</v>
      </c>
      <c r="F992">
        <v>1.1206576779235746E-5</v>
      </c>
      <c r="G992">
        <v>3.384055522961632E-7</v>
      </c>
      <c r="H992" t="b">
        <v>0</v>
      </c>
    </row>
    <row r="993" spans="1:8" x14ac:dyDescent="0.15">
      <c r="A993">
        <v>42</v>
      </c>
      <c r="B993">
        <v>10</v>
      </c>
      <c r="C993">
        <v>1459667.96875</v>
      </c>
      <c r="D993">
        <v>-12425226.167433251</v>
      </c>
      <c r="E993">
        <v>1.0900856379317268E-5</v>
      </c>
      <c r="F993">
        <v>1.1206576779235746E-5</v>
      </c>
      <c r="G993">
        <v>-3.0572039991847708E-7</v>
      </c>
      <c r="H993" t="b">
        <v>1</v>
      </c>
    </row>
    <row r="994" spans="1:8" x14ac:dyDescent="0.15">
      <c r="A994">
        <v>42</v>
      </c>
      <c r="B994">
        <v>11</v>
      </c>
      <c r="C994">
        <v>1465478.515625</v>
      </c>
      <c r="D994">
        <v>551181.41907207144</v>
      </c>
      <c r="E994">
        <v>1.1219135268552419E-5</v>
      </c>
      <c r="F994">
        <v>1.1206576779235746E-5</v>
      </c>
      <c r="G994">
        <v>1.2558489316673616E-8</v>
      </c>
      <c r="H994" t="b">
        <v>0</v>
      </c>
    </row>
    <row r="995" spans="1:8" x14ac:dyDescent="0.15">
      <c r="A995">
        <v>42</v>
      </c>
      <c r="B995">
        <v>12</v>
      </c>
      <c r="C995">
        <v>1468383.7890625</v>
      </c>
      <c r="D995">
        <v>7947568.7858580202</v>
      </c>
      <c r="E995">
        <v>1.1381105305102942E-5</v>
      </c>
      <c r="F995">
        <v>1.1206576779235746E-5</v>
      </c>
      <c r="G995">
        <v>1.7452852586719637E-7</v>
      </c>
      <c r="H995" t="b">
        <v>0</v>
      </c>
    </row>
    <row r="996" spans="1:8" x14ac:dyDescent="0.15">
      <c r="A996">
        <v>42</v>
      </c>
      <c r="B996">
        <v>13</v>
      </c>
      <c r="C996">
        <v>1466931.15234375</v>
      </c>
      <c r="D996">
        <v>4171802.6563813901</v>
      </c>
      <c r="E996">
        <v>1.1299882276903711E-5</v>
      </c>
      <c r="F996">
        <v>1.1206576779235746E-5</v>
      </c>
      <c r="G996">
        <v>9.3305497667965474E-8</v>
      </c>
      <c r="H996" t="b">
        <v>0</v>
      </c>
    </row>
    <row r="997" spans="1:8" x14ac:dyDescent="0.15">
      <c r="A997">
        <v>42</v>
      </c>
      <c r="B997">
        <v>14</v>
      </c>
      <c r="C997">
        <v>1465731.15234375</v>
      </c>
      <c r="D997">
        <v>1169801.7493698525</v>
      </c>
      <c r="E997">
        <v>1.1233143968247931E-5</v>
      </c>
      <c r="F997">
        <v>1.1206576779235746E-5</v>
      </c>
      <c r="G997">
        <v>2.6567189012185601E-8</v>
      </c>
      <c r="H997" t="b">
        <v>0</v>
      </c>
    </row>
    <row r="998" spans="1:8" x14ac:dyDescent="0.15">
      <c r="A998">
        <v>42</v>
      </c>
      <c r="B998">
        <v>15</v>
      </c>
      <c r="C998">
        <v>1466331.15234375</v>
      </c>
      <c r="D998">
        <v>2657676.5909670615</v>
      </c>
      <c r="E998">
        <v>1.1266473240301388E-5</v>
      </c>
      <c r="F998">
        <v>1.1206576779235746E-5</v>
      </c>
      <c r="G998">
        <v>5.9896461065642328E-8</v>
      </c>
      <c r="H998" t="b">
        <v>0</v>
      </c>
    </row>
    <row r="999" spans="1:8" x14ac:dyDescent="0.15">
      <c r="A999">
        <v>42</v>
      </c>
      <c r="B999">
        <v>16</v>
      </c>
      <c r="C999">
        <v>1466031.15234375</v>
      </c>
      <c r="D999">
        <v>1910448.676231975</v>
      </c>
      <c r="E999">
        <v>1.1249798220624115E-5</v>
      </c>
      <c r="F999">
        <v>1.1206576779235746E-5</v>
      </c>
      <c r="G999">
        <v>4.3221441388369714E-8</v>
      </c>
      <c r="H999" t="b">
        <v>0</v>
      </c>
    </row>
    <row r="1000" spans="1:8" x14ac:dyDescent="0.15">
      <c r="A1000">
        <v>42</v>
      </c>
      <c r="B1000">
        <v>17</v>
      </c>
      <c r="C1000">
        <v>1465671.15234375</v>
      </c>
      <c r="D1000">
        <v>1022457.3162752119</v>
      </c>
      <c r="E1000">
        <v>1.1229815541016125E-5</v>
      </c>
      <c r="F1000">
        <v>1.1206576779235746E-5</v>
      </c>
      <c r="G1000">
        <v>2.3238761780379442E-8</v>
      </c>
      <c r="H1000" t="b">
        <v>0</v>
      </c>
    </row>
    <row r="1001" spans="1:8" x14ac:dyDescent="0.15">
      <c r="A1001">
        <v>42</v>
      </c>
      <c r="B1001">
        <v>18</v>
      </c>
      <c r="C1001">
        <v>1465851.15234375</v>
      </c>
      <c r="D1001">
        <v>1465275.094873362</v>
      </c>
      <c r="E1001">
        <v>1.1239803245563605E-5</v>
      </c>
      <c r="F1001">
        <v>1.1206576779235746E-5</v>
      </c>
      <c r="G1001">
        <v>3.3226466327859381E-8</v>
      </c>
      <c r="H1001" t="b">
        <v>0</v>
      </c>
    </row>
    <row r="1002" spans="1:8" x14ac:dyDescent="0.15">
      <c r="A1002">
        <v>43</v>
      </c>
      <c r="B1002">
        <v>1</v>
      </c>
      <c r="C1002">
        <v>6050000</v>
      </c>
      <c r="D1002">
        <v>1.2767815751795569E+18</v>
      </c>
      <c r="E1002">
        <v>326.04615861799903</v>
      </c>
      <c r="F1002">
        <v>1.5834039402307098E-5</v>
      </c>
      <c r="G1002">
        <v>326.04614278395962</v>
      </c>
      <c r="H1002" t="b">
        <v>0</v>
      </c>
    </row>
    <row r="1003" spans="1:8" x14ac:dyDescent="0.15">
      <c r="A1003">
        <v>43</v>
      </c>
      <c r="B1003">
        <v>2</v>
      </c>
      <c r="C1003">
        <v>3075000</v>
      </c>
      <c r="D1003">
        <v>1.5534465978711792E+16</v>
      </c>
      <c r="E1003">
        <v>6.9426933451900075</v>
      </c>
      <c r="F1003">
        <v>1.5834039417406132E-5</v>
      </c>
      <c r="G1003">
        <v>6.9426775111505901</v>
      </c>
      <c r="H1003" t="b">
        <v>0</v>
      </c>
    </row>
    <row r="1004" spans="1:8" x14ac:dyDescent="0.15">
      <c r="A1004">
        <v>43</v>
      </c>
      <c r="B1004">
        <v>3</v>
      </c>
      <c r="C1004">
        <v>1587500</v>
      </c>
      <c r="D1004">
        <v>2217643859678.6787</v>
      </c>
      <c r="E1004">
        <v>4.398728250223363E-3</v>
      </c>
      <c r="F1004">
        <v>1.5834039417207506E-5</v>
      </c>
      <c r="G1004">
        <v>4.3828942108061555E-3</v>
      </c>
      <c r="H1004" t="b">
        <v>0</v>
      </c>
    </row>
    <row r="1005" spans="1:8" x14ac:dyDescent="0.15">
      <c r="A1005">
        <v>43</v>
      </c>
      <c r="B1005">
        <v>4</v>
      </c>
      <c r="C1005">
        <v>843750</v>
      </c>
      <c r="D1005">
        <v>-353982.05051599198</v>
      </c>
      <c r="E1005">
        <v>2.6109918136192848E-6</v>
      </c>
      <c r="F1005">
        <v>1.5834039417207831E-5</v>
      </c>
      <c r="G1005">
        <v>-1.3223047603588547E-5</v>
      </c>
      <c r="H1005" t="b">
        <v>1</v>
      </c>
    </row>
    <row r="1006" spans="1:8" x14ac:dyDescent="0.15">
      <c r="A1006">
        <v>43</v>
      </c>
      <c r="B1006">
        <v>5</v>
      </c>
      <c r="C1006">
        <v>1215625</v>
      </c>
      <c r="D1006">
        <v>13074515862.663227</v>
      </c>
      <c r="E1006">
        <v>1.0193541292586255E-4</v>
      </c>
      <c r="F1006">
        <v>1.5834039417207831E-5</v>
      </c>
      <c r="G1006">
        <v>8.6101373508654718E-5</v>
      </c>
      <c r="H1006" t="b">
        <v>0</v>
      </c>
    </row>
    <row r="1007" spans="1:8" x14ac:dyDescent="0.15">
      <c r="A1007">
        <v>43</v>
      </c>
      <c r="B1007">
        <v>6</v>
      </c>
      <c r="C1007">
        <v>1029687.5</v>
      </c>
      <c r="D1007">
        <v>-46127600.853412621</v>
      </c>
      <c r="E1007">
        <v>1.1324901474606565E-5</v>
      </c>
      <c r="F1007">
        <v>1.5834039417207831E-5</v>
      </c>
      <c r="G1007">
        <v>-4.5091379426012659E-6</v>
      </c>
      <c r="H1007" t="b">
        <v>1</v>
      </c>
    </row>
    <row r="1008" spans="1:8" x14ac:dyDescent="0.15">
      <c r="A1008">
        <v>43</v>
      </c>
      <c r="B1008">
        <v>7</v>
      </c>
      <c r="C1008">
        <v>1122656.25</v>
      </c>
      <c r="D1008">
        <v>1236668745.3894343</v>
      </c>
      <c r="E1008">
        <v>3.0581207739330916E-5</v>
      </c>
      <c r="F1008">
        <v>1.5834039417207831E-5</v>
      </c>
      <c r="G1008">
        <v>1.4747168322123085E-5</v>
      </c>
      <c r="H1008" t="b">
        <v>0</v>
      </c>
    </row>
    <row r="1009" spans="1:8" x14ac:dyDescent="0.15">
      <c r="A1009">
        <v>43</v>
      </c>
      <c r="B1009">
        <v>8</v>
      </c>
      <c r="C1009">
        <v>1076171.875</v>
      </c>
      <c r="D1009">
        <v>393449.95567537536</v>
      </c>
      <c r="E1009">
        <v>1.5845881878780723E-5</v>
      </c>
      <c r="F1009">
        <v>1.5834039417207831E-5</v>
      </c>
      <c r="G1009">
        <v>1.1842461572891805E-8</v>
      </c>
      <c r="H1009" t="b">
        <v>0</v>
      </c>
    </row>
    <row r="1010" spans="1:8" x14ac:dyDescent="0.15">
      <c r="A1010">
        <v>43</v>
      </c>
      <c r="B1010">
        <v>9</v>
      </c>
      <c r="C1010">
        <v>1099414.0625</v>
      </c>
      <c r="D1010">
        <v>388610296.12889785</v>
      </c>
      <c r="E1010">
        <v>2.2048548191710948E-5</v>
      </c>
      <c r="F1010">
        <v>1.5834039417207831E-5</v>
      </c>
      <c r="G1010">
        <v>6.2145087745031166E-6</v>
      </c>
      <c r="H1010" t="b">
        <v>0</v>
      </c>
    </row>
    <row r="1011" spans="1:8" x14ac:dyDescent="0.15">
      <c r="A1011">
        <v>43</v>
      </c>
      <c r="B1011">
        <v>10</v>
      </c>
      <c r="C1011">
        <v>1087792.96875</v>
      </c>
      <c r="D1011">
        <v>131358766.58616807</v>
      </c>
      <c r="E1011">
        <v>1.8636121864114068E-5</v>
      </c>
      <c r="F1011">
        <v>1.5834039417207831E-5</v>
      </c>
      <c r="G1011">
        <v>2.802082446906237E-6</v>
      </c>
      <c r="H1011" t="b">
        <v>0</v>
      </c>
    </row>
    <row r="1012" spans="1:8" x14ac:dyDescent="0.15">
      <c r="A1012">
        <v>43</v>
      </c>
      <c r="B1012">
        <v>11</v>
      </c>
      <c r="C1012">
        <v>1081982.421875</v>
      </c>
      <c r="D1012">
        <v>50624959.78157188</v>
      </c>
      <c r="E1012">
        <v>1.7114798936919676E-5</v>
      </c>
      <c r="F1012">
        <v>1.5834039417207831E-5</v>
      </c>
      <c r="G1012">
        <v>1.2807595197118447E-6</v>
      </c>
      <c r="H1012" t="b">
        <v>0</v>
      </c>
    </row>
    <row r="1013" spans="1:8" x14ac:dyDescent="0.15">
      <c r="A1013">
        <v>43</v>
      </c>
      <c r="B1013">
        <v>12</v>
      </c>
      <c r="C1013">
        <v>1079077.1484375</v>
      </c>
      <c r="D1013">
        <v>20248567.54685792</v>
      </c>
      <c r="E1013">
        <v>1.6396829525947075E-5</v>
      </c>
      <c r="F1013">
        <v>1.5834039417207831E-5</v>
      </c>
      <c r="G1013">
        <v>5.6279010873924382E-7</v>
      </c>
      <c r="H1013" t="b">
        <v>0</v>
      </c>
    </row>
    <row r="1014" spans="1:8" x14ac:dyDescent="0.15">
      <c r="A1014">
        <v>43</v>
      </c>
      <c r="B1014">
        <v>13</v>
      </c>
      <c r="C1014">
        <v>1077624.51171875</v>
      </c>
      <c r="D1014">
        <v>7328902.4766852548</v>
      </c>
      <c r="E1014">
        <v>1.6048096657834026E-5</v>
      </c>
      <c r="F1014">
        <v>1.5834039417207831E-5</v>
      </c>
      <c r="G1014">
        <v>2.1405724062619462E-7</v>
      </c>
      <c r="H1014" t="b">
        <v>0</v>
      </c>
    </row>
    <row r="1015" spans="1:8" x14ac:dyDescent="0.15">
      <c r="A1015">
        <v>43</v>
      </c>
      <c r="B1015">
        <v>14</v>
      </c>
      <c r="C1015">
        <v>1076424.51171875</v>
      </c>
      <c r="D1015">
        <v>1333343.7631156566</v>
      </c>
      <c r="E1015">
        <v>1.5874001842938126E-5</v>
      </c>
      <c r="F1015">
        <v>1.5834039417207831E-5</v>
      </c>
      <c r="G1015">
        <v>3.996242573029487E-8</v>
      </c>
      <c r="H1015" t="b">
        <v>0</v>
      </c>
    </row>
    <row r="1016" spans="1:8" x14ac:dyDescent="0.15">
      <c r="A1016">
        <v>43</v>
      </c>
      <c r="B1016">
        <v>15</v>
      </c>
      <c r="C1016">
        <v>1074984.51171875</v>
      </c>
      <c r="D1016">
        <v>-3899433.5834249696</v>
      </c>
      <c r="E1016">
        <v>1.5714283950871655E-5</v>
      </c>
      <c r="F1016">
        <v>1.5834039417207831E-5</v>
      </c>
      <c r="G1016">
        <v>-1.197554663361765E-7</v>
      </c>
      <c r="H1016" t="b">
        <v>1</v>
      </c>
    </row>
    <row r="1017" spans="1:8" x14ac:dyDescent="0.15">
      <c r="A1017">
        <v>43</v>
      </c>
      <c r="B1017">
        <v>16</v>
      </c>
      <c r="C1017">
        <v>1075704.51171875</v>
      </c>
      <c r="D1017">
        <v>-1320716.4843388894</v>
      </c>
      <c r="E1017">
        <v>1.5793972414200089E-5</v>
      </c>
      <c r="F1017">
        <v>1.5834039417207831E-5</v>
      </c>
      <c r="G1017">
        <v>-4.0067003007742406E-8</v>
      </c>
      <c r="H1017" t="b">
        <v>1</v>
      </c>
    </row>
    <row r="1018" spans="1:8" x14ac:dyDescent="0.15">
      <c r="A1018">
        <v>43</v>
      </c>
      <c r="B1018">
        <v>17</v>
      </c>
      <c r="C1018">
        <v>1076424.51171875</v>
      </c>
      <c r="D1018">
        <v>1333343.7631156566</v>
      </c>
      <c r="E1018">
        <v>1.5874001842938126E-5</v>
      </c>
      <c r="F1018">
        <v>1.5834039417207831E-5</v>
      </c>
      <c r="G1018">
        <v>3.996242573029487E-8</v>
      </c>
      <c r="H1018" t="b">
        <v>0</v>
      </c>
    </row>
    <row r="1019" spans="1:8" x14ac:dyDescent="0.15">
      <c r="A1019">
        <v>43</v>
      </c>
      <c r="B1019">
        <v>18</v>
      </c>
      <c r="C1019">
        <v>1076064.51171875</v>
      </c>
      <c r="D1019">
        <v>-3149.5622134181667</v>
      </c>
      <c r="E1019">
        <v>1.5833944446952755E-5</v>
      </c>
      <c r="F1019">
        <v>1.5834039417207831E-5</v>
      </c>
      <c r="G1019">
        <v>-9.497025507589768E-11</v>
      </c>
      <c r="H1019" t="b">
        <v>1</v>
      </c>
    </row>
    <row r="1020" spans="1:8" x14ac:dyDescent="0.15">
      <c r="A1020">
        <v>43</v>
      </c>
      <c r="B1020">
        <v>19</v>
      </c>
      <c r="C1020">
        <v>1076244.51171875</v>
      </c>
      <c r="D1020">
        <v>662756.16890620277</v>
      </c>
      <c r="E1020">
        <v>1.585396338212921E-5</v>
      </c>
      <c r="F1020">
        <v>1.5834039417207831E-5</v>
      </c>
      <c r="G1020">
        <v>1.9923964921379268E-8</v>
      </c>
      <c r="H1020" t="b">
        <v>0</v>
      </c>
    </row>
    <row r="1021" spans="1:8" x14ac:dyDescent="0.15">
      <c r="A1021">
        <v>43</v>
      </c>
      <c r="B1021">
        <v>20</v>
      </c>
      <c r="C1021">
        <v>1076460.51171875</v>
      </c>
      <c r="D1021">
        <v>1468068.3953318347</v>
      </c>
      <c r="E1021">
        <v>1.587801320039873E-5</v>
      </c>
      <c r="F1021">
        <v>1.5834039417207831E-5</v>
      </c>
      <c r="G1021">
        <v>4.3973783190899416E-8</v>
      </c>
      <c r="H1021" t="b">
        <v>0</v>
      </c>
    </row>
    <row r="1022" spans="1:8" x14ac:dyDescent="0.15">
      <c r="A1022">
        <v>43</v>
      </c>
      <c r="B1022">
        <v>21</v>
      </c>
      <c r="C1022">
        <v>1076352.51171875</v>
      </c>
      <c r="D1022">
        <v>1064557.3136347698</v>
      </c>
      <c r="E1022">
        <v>1.5865984445054637E-5</v>
      </c>
      <c r="F1022">
        <v>1.5834039417207831E-5</v>
      </c>
      <c r="G1022">
        <v>3.1945027846806397E-8</v>
      </c>
      <c r="H1022" t="b">
        <v>0</v>
      </c>
    </row>
    <row r="1023" spans="1:8" x14ac:dyDescent="0.15">
      <c r="A1023">
        <v>43</v>
      </c>
      <c r="B1023">
        <v>22</v>
      </c>
      <c r="C1023">
        <v>1076406.51171875</v>
      </c>
      <c r="D1023">
        <v>1266068.1882500411</v>
      </c>
      <c r="E1023">
        <v>1.587199694367699E-5</v>
      </c>
      <c r="F1023">
        <v>1.5834039417207831E-5</v>
      </c>
      <c r="G1023">
        <v>3.7957526469158608E-8</v>
      </c>
      <c r="H1023" t="b">
        <v>0</v>
      </c>
    </row>
    <row r="1024" spans="1:8" x14ac:dyDescent="0.15">
      <c r="A1024">
        <v>43</v>
      </c>
      <c r="B1024">
        <v>23</v>
      </c>
      <c r="C1024">
        <v>1076379.51171875</v>
      </c>
      <c r="D1024">
        <v>1165243.9456656158</v>
      </c>
      <c r="E1024">
        <v>1.5868989995521086E-5</v>
      </c>
      <c r="F1024">
        <v>1.5834039417207831E-5</v>
      </c>
      <c r="G1024">
        <v>3.4950578313254553E-8</v>
      </c>
      <c r="H1024" t="b">
        <v>0</v>
      </c>
    </row>
    <row r="1025" spans="1:8" x14ac:dyDescent="0.15">
      <c r="A1025">
        <v>43</v>
      </c>
      <c r="B1025">
        <v>24</v>
      </c>
      <c r="C1025">
        <v>1076347.1117187501</v>
      </c>
      <c r="D1025">
        <v>1044395.9717401728</v>
      </c>
      <c r="E1025">
        <v>1.5865382292429373E-5</v>
      </c>
      <c r="F1025">
        <v>1.5834039417207831E-5</v>
      </c>
      <c r="G1025">
        <v>3.1342875221542117E-8</v>
      </c>
      <c r="H1025" t="b">
        <v>0</v>
      </c>
    </row>
    <row r="1026" spans="1:8" x14ac:dyDescent="0.15">
      <c r="A1026">
        <v>43</v>
      </c>
      <c r="B1026">
        <v>25</v>
      </c>
      <c r="C1026">
        <v>1076363.31171875</v>
      </c>
      <c r="D1026">
        <v>1104831.4340347329</v>
      </c>
      <c r="E1026">
        <v>1.5867186974370122E-5</v>
      </c>
      <c r="F1026">
        <v>1.5834039417207831E-5</v>
      </c>
      <c r="G1026">
        <v>3.3147557162290859E-8</v>
      </c>
      <c r="H1026" t="b">
        <v>0</v>
      </c>
    </row>
    <row r="1027" spans="1:8" x14ac:dyDescent="0.15">
      <c r="A1027">
        <v>43</v>
      </c>
      <c r="B1027">
        <v>26</v>
      </c>
      <c r="C1027">
        <v>1076355.21171875</v>
      </c>
      <c r="D1027">
        <v>1074593.5360753154</v>
      </c>
      <c r="E1027">
        <v>1.5866284153295271E-5</v>
      </c>
      <c r="F1027">
        <v>1.5834039417207831E-5</v>
      </c>
      <c r="G1027">
        <v>3.2244736087440009E-8</v>
      </c>
      <c r="H1027" t="b">
        <v>0</v>
      </c>
    </row>
    <row r="1028" spans="1:8" x14ac:dyDescent="0.15">
      <c r="A1028">
        <v>44</v>
      </c>
      <c r="B1028">
        <v>1</v>
      </c>
      <c r="C1028">
        <v>6050000</v>
      </c>
      <c r="D1028">
        <v>7.3368090975418509E+17</v>
      </c>
      <c r="E1028">
        <v>125.733931183038</v>
      </c>
      <c r="F1028">
        <v>1.1454191991333573E-5</v>
      </c>
      <c r="G1028">
        <v>125.733919728846</v>
      </c>
      <c r="H1028" t="b">
        <v>0</v>
      </c>
    </row>
    <row r="1029" spans="1:8" x14ac:dyDescent="0.15">
      <c r="A1029">
        <v>44</v>
      </c>
      <c r="B1029">
        <v>2</v>
      </c>
      <c r="C1029">
        <v>3075000</v>
      </c>
      <c r="D1029">
        <v>3518431551518961</v>
      </c>
      <c r="E1029">
        <v>1.2318807593174883</v>
      </c>
      <c r="F1029">
        <v>1.1454191989335172E-5</v>
      </c>
      <c r="G1029">
        <v>1.231869305125499</v>
      </c>
      <c r="H1029" t="b">
        <v>0</v>
      </c>
    </row>
    <row r="1030" spans="1:8" x14ac:dyDescent="0.15">
      <c r="A1030">
        <v>44</v>
      </c>
      <c r="B1030">
        <v>3</v>
      </c>
      <c r="C1030">
        <v>1587500</v>
      </c>
      <c r="D1030">
        <v>118397622885.96245</v>
      </c>
      <c r="E1030">
        <v>3.0700398857971231E-4</v>
      </c>
      <c r="F1030">
        <v>1.1454191989426191E-5</v>
      </c>
      <c r="G1030">
        <v>2.9554979659028612E-4</v>
      </c>
      <c r="H1030" t="b">
        <v>0</v>
      </c>
    </row>
    <row r="1031" spans="1:8" x14ac:dyDescent="0.15">
      <c r="A1031">
        <v>44</v>
      </c>
      <c r="B1031">
        <v>4</v>
      </c>
      <c r="C1031">
        <v>843750</v>
      </c>
      <c r="D1031">
        <v>-127811.73201428824</v>
      </c>
      <c r="E1031">
        <v>-7.409029445023752E-7</v>
      </c>
      <c r="F1031">
        <v>1.1454191989426209E-5</v>
      </c>
      <c r="G1031">
        <v>-1.2195094933928585E-5</v>
      </c>
      <c r="H1031" t="b">
        <v>1</v>
      </c>
    </row>
    <row r="1032" spans="1:8" x14ac:dyDescent="0.15">
      <c r="A1032">
        <v>44</v>
      </c>
      <c r="B1032">
        <v>5</v>
      </c>
      <c r="C1032">
        <v>1215625</v>
      </c>
      <c r="D1032">
        <v>-46330447.507597305</v>
      </c>
      <c r="E1032">
        <v>8.6696969315612061E-6</v>
      </c>
      <c r="F1032">
        <v>1.1454191989426209E-5</v>
      </c>
      <c r="G1032">
        <v>-2.7844950578650031E-6</v>
      </c>
      <c r="H1032" t="b">
        <v>1</v>
      </c>
    </row>
    <row r="1033" spans="1:8" x14ac:dyDescent="0.15">
      <c r="A1033">
        <v>44</v>
      </c>
      <c r="B1033">
        <v>6</v>
      </c>
      <c r="C1033">
        <v>1401562.5</v>
      </c>
      <c r="D1033">
        <v>7745390742.2104731</v>
      </c>
      <c r="E1033">
        <v>5.0499378398513951E-5</v>
      </c>
      <c r="F1033">
        <v>1.1454191989426211E-5</v>
      </c>
      <c r="G1033">
        <v>3.904518640908774E-5</v>
      </c>
      <c r="H1033" t="b">
        <v>0</v>
      </c>
    </row>
    <row r="1034" spans="1:8" x14ac:dyDescent="0.15">
      <c r="A1034">
        <v>44</v>
      </c>
      <c r="B1034">
        <v>7</v>
      </c>
      <c r="C1034">
        <v>1308593.75</v>
      </c>
      <c r="D1034">
        <v>618487080.70751369</v>
      </c>
      <c r="E1034">
        <v>1.7556742931170372E-5</v>
      </c>
      <c r="F1034">
        <v>1.1454191989426209E-5</v>
      </c>
      <c r="G1034">
        <v>6.102550941744163E-6</v>
      </c>
      <c r="H1034" t="b">
        <v>0</v>
      </c>
    </row>
    <row r="1035" spans="1:8" x14ac:dyDescent="0.15">
      <c r="A1035">
        <v>44</v>
      </c>
      <c r="B1035">
        <v>8</v>
      </c>
      <c r="C1035">
        <v>1262109.375</v>
      </c>
      <c r="D1035">
        <v>4568072.0465809591</v>
      </c>
      <c r="E1035">
        <v>1.1555214852798598E-5</v>
      </c>
      <c r="F1035">
        <v>1.1454191989426209E-5</v>
      </c>
      <c r="G1035">
        <v>1.0102286337238871E-7</v>
      </c>
      <c r="H1035" t="b">
        <v>0</v>
      </c>
    </row>
    <row r="1036" spans="1:8" x14ac:dyDescent="0.15">
      <c r="A1036">
        <v>44</v>
      </c>
      <c r="B1036">
        <v>9</v>
      </c>
      <c r="C1036">
        <v>1238867.1875</v>
      </c>
      <c r="D1036">
        <v>-42714647.573368743</v>
      </c>
      <c r="E1036">
        <v>1.0026332321725966E-5</v>
      </c>
      <c r="F1036">
        <v>1.1454191989426209E-5</v>
      </c>
      <c r="G1036">
        <v>-1.4278596677002428E-6</v>
      </c>
      <c r="H1036" t="b">
        <v>1</v>
      </c>
    </row>
    <row r="1037" spans="1:8" x14ac:dyDescent="0.15">
      <c r="A1037">
        <v>44</v>
      </c>
      <c r="B1037">
        <v>10</v>
      </c>
      <c r="C1037">
        <v>1250488.28125</v>
      </c>
      <c r="D1037">
        <v>-25626045.426874213</v>
      </c>
      <c r="E1037">
        <v>1.0768047382121287E-5</v>
      </c>
      <c r="F1037">
        <v>1.1454191989426209E-5</v>
      </c>
      <c r="G1037">
        <v>-6.8614460730492234E-7</v>
      </c>
      <c r="H1037" t="b">
        <v>1</v>
      </c>
    </row>
    <row r="1038" spans="1:8" x14ac:dyDescent="0.15">
      <c r="A1038">
        <v>44</v>
      </c>
      <c r="B1038">
        <v>11</v>
      </c>
      <c r="C1038">
        <v>1256298.828125</v>
      </c>
      <c r="D1038">
        <v>-12304959.825258354</v>
      </c>
      <c r="E1038">
        <v>1.1155752665260713E-5</v>
      </c>
      <c r="F1038">
        <v>1.1454191989426209E-5</v>
      </c>
      <c r="G1038">
        <v>-2.9843932416549616E-7</v>
      </c>
      <c r="H1038" t="b">
        <v>1</v>
      </c>
    </row>
    <row r="1039" spans="1:8" x14ac:dyDescent="0.15">
      <c r="A1039">
        <v>44</v>
      </c>
      <c r="B1039">
        <v>12</v>
      </c>
      <c r="C1039">
        <v>1259204.1015625</v>
      </c>
      <c r="D1039">
        <v>-4329604.6162545811</v>
      </c>
      <c r="E1039">
        <v>1.1353997434067902E-5</v>
      </c>
      <c r="F1039">
        <v>1.1454191989426209E-5</v>
      </c>
      <c r="G1039">
        <v>-1.0019455535830696E-7</v>
      </c>
      <c r="H1039" t="b">
        <v>1</v>
      </c>
    </row>
    <row r="1040" spans="1:8" x14ac:dyDescent="0.15">
      <c r="A1040">
        <v>44</v>
      </c>
      <c r="B1040">
        <v>13</v>
      </c>
      <c r="C1040">
        <v>1260656.73828125</v>
      </c>
      <c r="D1040">
        <v>1786.1226280380772</v>
      </c>
      <c r="E1040">
        <v>1.1454232388499781E-5</v>
      </c>
      <c r="F1040">
        <v>1.1454191989426209E-5</v>
      </c>
      <c r="G1040">
        <v>4.0399073572127547E-11</v>
      </c>
      <c r="H1040" t="b">
        <v>0</v>
      </c>
    </row>
    <row r="1041" spans="1:8" x14ac:dyDescent="0.15">
      <c r="A1041">
        <v>44</v>
      </c>
      <c r="B1041">
        <v>14</v>
      </c>
      <c r="C1041">
        <v>1261156.73828125</v>
      </c>
      <c r="D1041">
        <v>1546773.7221020143</v>
      </c>
      <c r="E1041">
        <v>1.1488906004429719E-5</v>
      </c>
      <c r="F1041">
        <v>1.1454191989426209E-5</v>
      </c>
      <c r="G1041">
        <v>3.4714015003509658E-8</v>
      </c>
      <c r="H1041" t="b">
        <v>0</v>
      </c>
    </row>
    <row r="1042" spans="1:8" x14ac:dyDescent="0.15">
      <c r="A1042">
        <v>44</v>
      </c>
      <c r="B1042">
        <v>15</v>
      </c>
      <c r="C1042">
        <v>1260906.73828125</v>
      </c>
      <c r="D1042">
        <v>770790.74935646018</v>
      </c>
      <c r="E1042">
        <v>1.147155812549585E-5</v>
      </c>
      <c r="F1042">
        <v>1.1454191989426209E-5</v>
      </c>
      <c r="G1042">
        <v>1.7366136069640523E-8</v>
      </c>
      <c r="H1042" t="b">
        <v>0</v>
      </c>
    </row>
    <row r="1043" spans="1:8" x14ac:dyDescent="0.15">
      <c r="A1043">
        <v>44</v>
      </c>
      <c r="B1043">
        <v>16</v>
      </c>
      <c r="C1043">
        <v>1261031.73828125</v>
      </c>
      <c r="D1043">
        <v>1157908.5700235055</v>
      </c>
      <c r="E1043">
        <v>1.1480229295934225E-5</v>
      </c>
      <c r="F1043">
        <v>1.1454191989426209E-5</v>
      </c>
      <c r="G1043">
        <v>2.6037306508015483E-8</v>
      </c>
      <c r="H1043" t="b">
        <v>0</v>
      </c>
    </row>
    <row r="1044" spans="1:8" x14ac:dyDescent="0.15">
      <c r="A1044">
        <v>44</v>
      </c>
      <c r="B1044">
        <v>17</v>
      </c>
      <c r="C1044">
        <v>1261181.73828125</v>
      </c>
      <c r="D1044">
        <v>1624756.6738918698</v>
      </c>
      <c r="E1044">
        <v>1.14906420109221E-5</v>
      </c>
      <c r="F1044">
        <v>1.1454191989426209E-5</v>
      </c>
      <c r="G1044">
        <v>3.645002149589063E-8</v>
      </c>
      <c r="H1044" t="b">
        <v>0</v>
      </c>
    </row>
    <row r="1045" spans="1:8" x14ac:dyDescent="0.15">
      <c r="A1045">
        <v>44</v>
      </c>
      <c r="B1045">
        <v>18</v>
      </c>
      <c r="C1045">
        <v>1261106.73828125</v>
      </c>
      <c r="D1045">
        <v>1391017.8057996712</v>
      </c>
      <c r="E1045">
        <v>1.1485434656300109E-5</v>
      </c>
      <c r="F1045">
        <v>1.1454191989426209E-5</v>
      </c>
      <c r="G1045">
        <v>3.1242666873900187E-8</v>
      </c>
      <c r="H1045" t="b">
        <v>0</v>
      </c>
    </row>
    <row r="1046" spans="1:8" x14ac:dyDescent="0.15">
      <c r="A1046">
        <v>44</v>
      </c>
      <c r="B1046">
        <v>19</v>
      </c>
      <c r="C1046">
        <v>1261016.73828125</v>
      </c>
      <c r="D1046">
        <v>1111362.2265610935</v>
      </c>
      <c r="E1046">
        <v>1.147918846312293E-5</v>
      </c>
      <c r="F1046">
        <v>1.1454191989426209E-5</v>
      </c>
      <c r="G1046">
        <v>2.4996473696721011E-8</v>
      </c>
      <c r="H1046" t="b">
        <v>0</v>
      </c>
    </row>
    <row r="1047" spans="1:8" x14ac:dyDescent="0.15">
      <c r="A1047">
        <v>44</v>
      </c>
      <c r="B1047">
        <v>20</v>
      </c>
      <c r="C1047">
        <v>1261061.73828125</v>
      </c>
      <c r="D1047">
        <v>1251076.7464036869</v>
      </c>
      <c r="E1047">
        <v>1.148231120080524E-5</v>
      </c>
      <c r="F1047">
        <v>1.1454191989426209E-5</v>
      </c>
      <c r="G1047">
        <v>2.8119211379031269E-8</v>
      </c>
      <c r="H1047" t="b">
        <v>0</v>
      </c>
    </row>
    <row r="1048" spans="1:8" x14ac:dyDescent="0.15">
      <c r="A1048">
        <v>45</v>
      </c>
      <c r="B1048">
        <v>1</v>
      </c>
      <c r="C1048">
        <v>6050000</v>
      </c>
      <c r="D1048">
        <v>2.7942965482900563E+17</v>
      </c>
      <c r="E1048">
        <v>35.614923958073625</v>
      </c>
      <c r="F1048">
        <v>8.4377409095282019E-6</v>
      </c>
      <c r="G1048">
        <v>35.614915520332715</v>
      </c>
      <c r="H1048" t="b">
        <v>0</v>
      </c>
    </row>
    <row r="1049" spans="1:8" x14ac:dyDescent="0.15">
      <c r="A1049">
        <v>45</v>
      </c>
      <c r="B1049">
        <v>2</v>
      </c>
      <c r="C1049">
        <v>3075000</v>
      </c>
      <c r="D1049">
        <v>553170919582413.88</v>
      </c>
      <c r="E1049">
        <v>0.17224644667612954</v>
      </c>
      <c r="F1049">
        <v>8.4377409085845123E-6</v>
      </c>
      <c r="G1049">
        <v>0.17223800893522095</v>
      </c>
      <c r="H1049" t="b">
        <v>0</v>
      </c>
    </row>
    <row r="1050" spans="1:8" x14ac:dyDescent="0.15">
      <c r="A1050">
        <v>45</v>
      </c>
      <c r="B1050">
        <v>3</v>
      </c>
      <c r="C1050">
        <v>1587500</v>
      </c>
      <c r="D1050">
        <v>4242519858.0720086</v>
      </c>
      <c r="E1050">
        <v>2.6039366843873932E-5</v>
      </c>
      <c r="F1050">
        <v>8.4377409085819746E-6</v>
      </c>
      <c r="G1050">
        <v>1.7601625935291957E-5</v>
      </c>
      <c r="H1050" t="b">
        <v>0</v>
      </c>
    </row>
    <row r="1051" spans="1:8" x14ac:dyDescent="0.15">
      <c r="A1051">
        <v>45</v>
      </c>
      <c r="B1051">
        <v>4</v>
      </c>
      <c r="C1051">
        <v>843750</v>
      </c>
      <c r="D1051">
        <v>-56914.101011139574</v>
      </c>
      <c r="E1051">
        <v>-3.0839646805745584E-6</v>
      </c>
      <c r="F1051">
        <v>8.4377409085819746E-6</v>
      </c>
      <c r="G1051">
        <v>-1.1521705589156533E-5</v>
      </c>
      <c r="H1051" t="b">
        <v>1</v>
      </c>
    </row>
    <row r="1052" spans="1:8" x14ac:dyDescent="0.15">
      <c r="A1052">
        <v>45</v>
      </c>
      <c r="B1052">
        <v>5</v>
      </c>
      <c r="C1052">
        <v>1215625</v>
      </c>
      <c r="D1052">
        <v>-900361.42525037425</v>
      </c>
      <c r="E1052">
        <v>2.3353965534999136E-6</v>
      </c>
      <c r="F1052">
        <v>8.4377409085819746E-6</v>
      </c>
      <c r="G1052">
        <v>-6.1023443550820606E-6</v>
      </c>
      <c r="H1052" t="b">
        <v>1</v>
      </c>
    </row>
    <row r="1053" spans="1:8" x14ac:dyDescent="0.15">
      <c r="A1053">
        <v>45</v>
      </c>
      <c r="B1053">
        <v>6</v>
      </c>
      <c r="C1053">
        <v>1401562.5</v>
      </c>
      <c r="D1053">
        <v>-41242870.939899497</v>
      </c>
      <c r="E1053">
        <v>6.7094217381450302E-6</v>
      </c>
      <c r="F1053">
        <v>8.4377409085819746E-6</v>
      </c>
      <c r="G1053">
        <v>-1.7283191704369444E-6</v>
      </c>
      <c r="H1053" t="b">
        <v>1</v>
      </c>
    </row>
    <row r="1054" spans="1:8" x14ac:dyDescent="0.15">
      <c r="A1054">
        <v>45</v>
      </c>
      <c r="B1054">
        <v>7</v>
      </c>
      <c r="C1054">
        <v>1494531.25</v>
      </c>
      <c r="D1054">
        <v>239551858.70470345</v>
      </c>
      <c r="E1054">
        <v>1.0883672839064472E-5</v>
      </c>
      <c r="F1054">
        <v>8.4377409085819746E-6</v>
      </c>
      <c r="G1054">
        <v>2.4459319304824972E-6</v>
      </c>
      <c r="H1054" t="b">
        <v>0</v>
      </c>
    </row>
    <row r="1055" spans="1:8" x14ac:dyDescent="0.15">
      <c r="A1055">
        <v>45</v>
      </c>
      <c r="B1055">
        <v>8</v>
      </c>
      <c r="C1055">
        <v>1448046.875</v>
      </c>
      <c r="D1055">
        <v>8485162.2279503215</v>
      </c>
      <c r="E1055">
        <v>8.5864731577323487E-6</v>
      </c>
      <c r="F1055">
        <v>8.4377409085819746E-6</v>
      </c>
      <c r="G1055">
        <v>1.4873224915037412E-7</v>
      </c>
      <c r="H1055" t="b">
        <v>0</v>
      </c>
    </row>
    <row r="1056" spans="1:8" x14ac:dyDescent="0.15">
      <c r="A1056">
        <v>45</v>
      </c>
      <c r="B1056">
        <v>9</v>
      </c>
      <c r="C1056">
        <v>1424804.6875</v>
      </c>
      <c r="D1056">
        <v>-32971695.871563777</v>
      </c>
      <c r="E1056">
        <v>7.5982831923388519E-6</v>
      </c>
      <c r="F1056">
        <v>8.4377409085819746E-6</v>
      </c>
      <c r="G1056">
        <v>-8.394577162431227E-7</v>
      </c>
      <c r="H1056" t="b">
        <v>1</v>
      </c>
    </row>
    <row r="1057" spans="1:8" x14ac:dyDescent="0.15">
      <c r="A1057">
        <v>45</v>
      </c>
      <c r="B1057">
        <v>10</v>
      </c>
      <c r="C1057">
        <v>1436425.78125</v>
      </c>
      <c r="D1057">
        <v>-17160628.800781094</v>
      </c>
      <c r="E1057">
        <v>8.0794864150493658E-6</v>
      </c>
      <c r="F1057">
        <v>8.4377409085819746E-6</v>
      </c>
      <c r="G1057">
        <v>-3.5825449353260883E-7</v>
      </c>
      <c r="H1057" t="b">
        <v>1</v>
      </c>
    </row>
    <row r="1058" spans="1:8" x14ac:dyDescent="0.15">
      <c r="A1058">
        <v>45</v>
      </c>
      <c r="B1058">
        <v>11</v>
      </c>
      <c r="C1058">
        <v>1442236.328125</v>
      </c>
      <c r="D1058">
        <v>-5662898.7885496346</v>
      </c>
      <c r="E1058">
        <v>8.3296966160770593E-6</v>
      </c>
      <c r="F1058">
        <v>8.4377409085819746E-6</v>
      </c>
      <c r="G1058">
        <v>-1.0804429250491529E-7</v>
      </c>
      <c r="H1058" t="b">
        <v>1</v>
      </c>
    </row>
    <row r="1059" spans="1:8" x14ac:dyDescent="0.15">
      <c r="A1059">
        <v>45</v>
      </c>
      <c r="B1059">
        <v>12</v>
      </c>
      <c r="C1059">
        <v>1445141.6015625</v>
      </c>
      <c r="D1059">
        <v>1067811.3676890095</v>
      </c>
      <c r="E1059">
        <v>8.4572564101764543E-6</v>
      </c>
      <c r="F1059">
        <v>8.4377409085819746E-6</v>
      </c>
      <c r="G1059">
        <v>1.9515501594479689E-8</v>
      </c>
      <c r="H1059" t="b">
        <v>0</v>
      </c>
    </row>
    <row r="1060" spans="1:8" x14ac:dyDescent="0.15">
      <c r="A1060">
        <v>45</v>
      </c>
      <c r="B1060">
        <v>13</v>
      </c>
      <c r="C1060">
        <v>1446594.23828125</v>
      </c>
      <c r="D1060">
        <v>4689122.5607772712</v>
      </c>
      <c r="E1060">
        <v>8.5216562506897309E-6</v>
      </c>
      <c r="F1060">
        <v>8.4377409085819746E-6</v>
      </c>
      <c r="G1060">
        <v>8.3915342107756266E-8</v>
      </c>
      <c r="H1060" t="b">
        <v>0</v>
      </c>
    </row>
    <row r="1061" spans="1:8" x14ac:dyDescent="0.15">
      <c r="A1061">
        <v>45</v>
      </c>
      <c r="B1061">
        <v>14</v>
      </c>
      <c r="C1061">
        <v>1446094.23828125</v>
      </c>
      <c r="D1061">
        <v>3423090.7866426557</v>
      </c>
      <c r="E1061">
        <v>8.4994426904965984E-6</v>
      </c>
      <c r="F1061">
        <v>8.4377409085819746E-6</v>
      </c>
      <c r="G1061">
        <v>6.1701781914623826E-8</v>
      </c>
      <c r="H1061" t="b">
        <v>0</v>
      </c>
    </row>
    <row r="1062" spans="1:8" x14ac:dyDescent="0.15">
      <c r="A1062">
        <v>45</v>
      </c>
      <c r="B1062">
        <v>15</v>
      </c>
      <c r="C1062">
        <v>1445494.23828125</v>
      </c>
      <c r="D1062">
        <v>1931021.3945574448</v>
      </c>
      <c r="E1062">
        <v>8.4728518410969259E-6</v>
      </c>
      <c r="F1062">
        <v>8.4377409085819746E-6</v>
      </c>
      <c r="G1062">
        <v>3.5110932514951292E-8</v>
      </c>
      <c r="H1062" t="b">
        <v>0</v>
      </c>
    </row>
    <row r="1063" spans="1:8" x14ac:dyDescent="0.15">
      <c r="A1063">
        <v>45</v>
      </c>
      <c r="B1063">
        <v>16</v>
      </c>
      <c r="C1063">
        <v>1444774.23828125</v>
      </c>
      <c r="D1063">
        <v>179310.37118858259</v>
      </c>
      <c r="E1063">
        <v>8.4410356552926266E-6</v>
      </c>
      <c r="F1063">
        <v>8.4377409085819746E-6</v>
      </c>
      <c r="G1063">
        <v>3.2947467106519962E-9</v>
      </c>
      <c r="H1063" t="b">
        <v>0</v>
      </c>
    </row>
    <row r="1064" spans="1:8" x14ac:dyDescent="0.15">
      <c r="A1064">
        <v>45</v>
      </c>
      <c r="B1064">
        <v>17</v>
      </c>
      <c r="C1064">
        <v>1445134.23828125</v>
      </c>
      <c r="D1064">
        <v>1049870.1366408344</v>
      </c>
      <c r="E1064">
        <v>8.4569305770314263E-6</v>
      </c>
      <c r="F1064">
        <v>8.4377409085819746E-6</v>
      </c>
      <c r="G1064">
        <v>1.9189668449451738E-8</v>
      </c>
      <c r="H1064" t="b">
        <v>0</v>
      </c>
    </row>
    <row r="1065" spans="1:8" x14ac:dyDescent="0.15">
      <c r="A1065">
        <v>45</v>
      </c>
      <c r="B1065">
        <v>18</v>
      </c>
      <c r="C1065">
        <v>1445566.23828125</v>
      </c>
      <c r="D1065">
        <v>2108515.7426665234</v>
      </c>
      <c r="E1065">
        <v>8.4760390592027409E-6</v>
      </c>
      <c r="F1065">
        <v>8.4377409085819746E-6</v>
      </c>
      <c r="G1065">
        <v>3.8298150620766285E-8</v>
      </c>
      <c r="H1065" t="b">
        <v>0</v>
      </c>
    </row>
    <row r="1066" spans="1:8" x14ac:dyDescent="0.15">
      <c r="A1066">
        <v>45</v>
      </c>
      <c r="B1066">
        <v>19</v>
      </c>
      <c r="C1066">
        <v>1445350.23828125</v>
      </c>
      <c r="D1066">
        <v>1577302.8603905884</v>
      </c>
      <c r="E1066">
        <v>8.4664804610398126E-6</v>
      </c>
      <c r="F1066">
        <v>8.4377409085819746E-6</v>
      </c>
      <c r="G1066">
        <v>2.8739552457837978E-8</v>
      </c>
      <c r="H1066" t="b">
        <v>0</v>
      </c>
    </row>
    <row r="1067" spans="1:8" x14ac:dyDescent="0.15">
      <c r="A1067">
        <v>45</v>
      </c>
      <c r="B1067">
        <v>20</v>
      </c>
      <c r="C1067">
        <v>1445091.03828125</v>
      </c>
      <c r="D1067">
        <v>944844.31889154261</v>
      </c>
      <c r="E1067">
        <v>8.455021789755526E-6</v>
      </c>
      <c r="F1067">
        <v>8.4377409085819746E-6</v>
      </c>
      <c r="G1067">
        <v>1.7280881173551359E-8</v>
      </c>
      <c r="H1067" t="b">
        <v>0</v>
      </c>
    </row>
    <row r="1068" spans="1:8" x14ac:dyDescent="0.15">
      <c r="A1068">
        <v>45</v>
      </c>
      <c r="B1068">
        <v>21</v>
      </c>
      <c r="C1068">
        <v>1445220.6382812501</v>
      </c>
      <c r="D1068">
        <v>1260377.2593274936</v>
      </c>
      <c r="E1068">
        <v>8.4607492506727677E-6</v>
      </c>
      <c r="F1068">
        <v>8.4377409085819746E-6</v>
      </c>
      <c r="G1068">
        <v>2.3008342090793051E-8</v>
      </c>
      <c r="H1068" t="b">
        <v>0</v>
      </c>
    </row>
    <row r="1069" spans="1:8" x14ac:dyDescent="0.15">
      <c r="A1069">
        <v>45</v>
      </c>
      <c r="B1069">
        <v>22</v>
      </c>
      <c r="C1069">
        <v>1445376.1582812502</v>
      </c>
      <c r="D1069">
        <v>1640847.3079859007</v>
      </c>
      <c r="E1069">
        <v>8.4676270087851349E-6</v>
      </c>
      <c r="F1069">
        <v>8.4377409085819746E-6</v>
      </c>
      <c r="G1069">
        <v>2.9886100203160322E-8</v>
      </c>
      <c r="H1069" t="b">
        <v>0</v>
      </c>
    </row>
    <row r="1070" spans="1:8" x14ac:dyDescent="0.15">
      <c r="A1070">
        <v>45</v>
      </c>
      <c r="B1070">
        <v>23</v>
      </c>
      <c r="C1070">
        <v>1445298.3982812501</v>
      </c>
      <c r="D1070">
        <v>1450378.3231232387</v>
      </c>
      <c r="E1070">
        <v>8.4641877614644715E-6</v>
      </c>
      <c r="F1070">
        <v>8.4377409085819746E-6</v>
      </c>
      <c r="G1070">
        <v>2.6446852882496937E-8</v>
      </c>
      <c r="H1070" t="b">
        <v>0</v>
      </c>
    </row>
    <row r="1071" spans="1:8" x14ac:dyDescent="0.15">
      <c r="A1071">
        <v>46</v>
      </c>
      <c r="B1071">
        <v>1</v>
      </c>
      <c r="C1071">
        <v>6050000</v>
      </c>
      <c r="D1071">
        <v>1.4260496952837194E+18</v>
      </c>
      <c r="E1071">
        <v>536.87092200000018</v>
      </c>
      <c r="F1071">
        <v>2.4228921233770961E-5</v>
      </c>
      <c r="G1071">
        <v>536.87089777107894</v>
      </c>
      <c r="H1071" t="b">
        <v>0</v>
      </c>
    </row>
    <row r="1072" spans="1:8" x14ac:dyDescent="0.15">
      <c r="A1072">
        <v>46</v>
      </c>
      <c r="B1072">
        <v>2</v>
      </c>
      <c r="C1072">
        <v>3075000</v>
      </c>
      <c r="D1072">
        <v>1.4260496952837192E+18</v>
      </c>
      <c r="E1072">
        <v>536.87092200000006</v>
      </c>
      <c r="F1072">
        <v>2.4228921233770961E-5</v>
      </c>
      <c r="G1072">
        <v>536.87089777107883</v>
      </c>
      <c r="H1072" t="b">
        <v>0</v>
      </c>
    </row>
    <row r="1073" spans="1:8" x14ac:dyDescent="0.15">
      <c r="A1073">
        <v>46</v>
      </c>
      <c r="B1073">
        <v>3</v>
      </c>
      <c r="C1073">
        <v>1587500</v>
      </c>
      <c r="D1073">
        <v>1223906583240404.5</v>
      </c>
      <c r="E1073">
        <v>1.1599961831274732</v>
      </c>
      <c r="F1073">
        <v>2.4228921185809327E-5</v>
      </c>
      <c r="G1073">
        <v>1.1599719542062874</v>
      </c>
      <c r="H1073" t="b">
        <v>0</v>
      </c>
    </row>
    <row r="1074" spans="1:8" x14ac:dyDescent="0.15">
      <c r="A1074">
        <v>46</v>
      </c>
      <c r="B1074">
        <v>4</v>
      </c>
      <c r="C1074">
        <v>843750</v>
      </c>
      <c r="D1074">
        <v>-72347443.129561752</v>
      </c>
      <c r="E1074">
        <v>1.5980179653935238E-5</v>
      </c>
      <c r="F1074">
        <v>2.4228921185705779E-5</v>
      </c>
      <c r="G1074">
        <v>-8.2487415317705403E-6</v>
      </c>
      <c r="H1074" t="b">
        <v>1</v>
      </c>
    </row>
    <row r="1075" spans="1:8" x14ac:dyDescent="0.15">
      <c r="A1075">
        <v>46</v>
      </c>
      <c r="B1075">
        <v>5</v>
      </c>
      <c r="C1075">
        <v>1215625</v>
      </c>
      <c r="D1075">
        <v>4317453243491.3071</v>
      </c>
      <c r="E1075">
        <v>1.0704562005448826E-2</v>
      </c>
      <c r="F1075">
        <v>2.4228921185705243E-5</v>
      </c>
      <c r="G1075">
        <v>1.0680333084263121E-2</v>
      </c>
      <c r="H1075" t="b">
        <v>0</v>
      </c>
    </row>
    <row r="1076" spans="1:8" x14ac:dyDescent="0.15">
      <c r="A1076">
        <v>46</v>
      </c>
      <c r="B1076">
        <v>6</v>
      </c>
      <c r="C1076">
        <v>1029687.5</v>
      </c>
      <c r="D1076">
        <v>111694764449.72066</v>
      </c>
      <c r="E1076">
        <v>6.245377621319592E-4</v>
      </c>
      <c r="F1076">
        <v>2.4228921185705785E-5</v>
      </c>
      <c r="G1076">
        <v>6.0030884094625341E-4</v>
      </c>
      <c r="H1076" t="b">
        <v>0</v>
      </c>
    </row>
    <row r="1077" spans="1:8" x14ac:dyDescent="0.15">
      <c r="A1077">
        <v>46</v>
      </c>
      <c r="B1077">
        <v>7</v>
      </c>
      <c r="C1077">
        <v>936718.75</v>
      </c>
      <c r="D1077">
        <v>9234884506.2054005</v>
      </c>
      <c r="E1077">
        <v>1.1491925195645971E-4</v>
      </c>
      <c r="F1077">
        <v>2.4228921185705785E-5</v>
      </c>
      <c r="G1077">
        <v>9.0690330770753927E-5</v>
      </c>
      <c r="H1077" t="b">
        <v>0</v>
      </c>
    </row>
    <row r="1078" spans="1:8" x14ac:dyDescent="0.15">
      <c r="A1078">
        <v>46</v>
      </c>
      <c r="B1078">
        <v>8</v>
      </c>
      <c r="C1078">
        <v>890234.375</v>
      </c>
      <c r="D1078">
        <v>1301144908.2050157</v>
      </c>
      <c r="E1078">
        <v>4.4474101642556881E-5</v>
      </c>
      <c r="F1078">
        <v>2.4228921185705779E-5</v>
      </c>
      <c r="G1078">
        <v>2.0245180456851102E-5</v>
      </c>
      <c r="H1078" t="b">
        <v>0</v>
      </c>
    </row>
    <row r="1079" spans="1:8" x14ac:dyDescent="0.15">
      <c r="A1079">
        <v>46</v>
      </c>
      <c r="B1079">
        <v>9</v>
      </c>
      <c r="C1079">
        <v>866992.1875</v>
      </c>
      <c r="D1079">
        <v>110283886.82360154</v>
      </c>
      <c r="E1079">
        <v>2.6813152446772229E-5</v>
      </c>
      <c r="F1079">
        <v>2.4228921185705779E-5</v>
      </c>
      <c r="G1079">
        <v>2.5842312610664501E-6</v>
      </c>
      <c r="H1079" t="b">
        <v>0</v>
      </c>
    </row>
    <row r="1080" spans="1:8" x14ac:dyDescent="0.15">
      <c r="A1080">
        <v>46</v>
      </c>
      <c r="B1080">
        <v>10</v>
      </c>
      <c r="C1080">
        <v>855371.09375</v>
      </c>
      <c r="D1080">
        <v>-86789575.072894484</v>
      </c>
      <c r="E1080">
        <v>2.0639135195612555E-5</v>
      </c>
      <c r="F1080">
        <v>2.4228921185705779E-5</v>
      </c>
      <c r="G1080">
        <v>-3.5897859900932237E-6</v>
      </c>
      <c r="H1080" t="b">
        <v>1</v>
      </c>
    </row>
    <row r="1081" spans="1:8" x14ac:dyDescent="0.15">
      <c r="A1081">
        <v>46</v>
      </c>
      <c r="B1081">
        <v>11</v>
      </c>
      <c r="C1081">
        <v>861181.640625</v>
      </c>
      <c r="D1081">
        <v>-22817687.183138084</v>
      </c>
      <c r="E1081">
        <v>2.3541404746830714E-5</v>
      </c>
      <c r="F1081">
        <v>2.4228921185705779E-5</v>
      </c>
      <c r="G1081">
        <v>-6.8751643887506497E-7</v>
      </c>
      <c r="H1081" t="b">
        <v>1</v>
      </c>
    </row>
    <row r="1082" spans="1:8" x14ac:dyDescent="0.15">
      <c r="A1082">
        <v>46</v>
      </c>
      <c r="B1082">
        <v>12</v>
      </c>
      <c r="C1082">
        <v>864086.9140625</v>
      </c>
      <c r="D1082">
        <v>34074807.858558051</v>
      </c>
      <c r="E1082">
        <v>2.5128554667660601E-5</v>
      </c>
      <c r="F1082">
        <v>2.4228921185705779E-5</v>
      </c>
      <c r="G1082">
        <v>8.9963348195482259E-7</v>
      </c>
      <c r="H1082" t="b">
        <v>0</v>
      </c>
    </row>
    <row r="1083" spans="1:8" x14ac:dyDescent="0.15">
      <c r="A1083">
        <v>46</v>
      </c>
      <c r="B1083">
        <v>13</v>
      </c>
      <c r="C1083">
        <v>862634.27734375</v>
      </c>
      <c r="D1083">
        <v>3345976.5640268261</v>
      </c>
      <c r="E1083">
        <v>2.4323125862524481E-5</v>
      </c>
      <c r="F1083">
        <v>2.4228921185705779E-5</v>
      </c>
      <c r="G1083">
        <v>9.4204676818702559E-8</v>
      </c>
      <c r="H1083" t="b">
        <v>0</v>
      </c>
    </row>
    <row r="1084" spans="1:8" x14ac:dyDescent="0.15">
      <c r="A1084">
        <v>46</v>
      </c>
      <c r="B1084">
        <v>14</v>
      </c>
      <c r="C1084">
        <v>861434.27734375</v>
      </c>
      <c r="D1084">
        <v>-18584160.153607972</v>
      </c>
      <c r="E1084">
        <v>2.3675683431837283E-5</v>
      </c>
      <c r="F1084">
        <v>2.4228921185705779E-5</v>
      </c>
      <c r="G1084">
        <v>-5.5323775386849602E-7</v>
      </c>
      <c r="H1084" t="b">
        <v>1</v>
      </c>
    </row>
    <row r="1085" spans="1:8" x14ac:dyDescent="0.15">
      <c r="A1085">
        <v>46</v>
      </c>
      <c r="B1085">
        <v>15</v>
      </c>
      <c r="C1085">
        <v>862034.27734375</v>
      </c>
      <c r="D1085">
        <v>-7999531.5037464928</v>
      </c>
      <c r="E1085">
        <v>2.3997402501605099E-5</v>
      </c>
      <c r="F1085">
        <v>2.4228921185705779E-5</v>
      </c>
      <c r="G1085">
        <v>-2.3151868410067986E-7</v>
      </c>
      <c r="H1085" t="b">
        <v>1</v>
      </c>
    </row>
    <row r="1086" spans="1:8" x14ac:dyDescent="0.15">
      <c r="A1086">
        <v>46</v>
      </c>
      <c r="B1086">
        <v>16</v>
      </c>
      <c r="C1086">
        <v>862634.27734375</v>
      </c>
      <c r="D1086">
        <v>3345976.5640268261</v>
      </c>
      <c r="E1086">
        <v>2.4323125862524481E-5</v>
      </c>
      <c r="F1086">
        <v>2.4228921185705779E-5</v>
      </c>
      <c r="G1086">
        <v>9.4204676818702559E-8</v>
      </c>
      <c r="H1086" t="b">
        <v>0</v>
      </c>
    </row>
    <row r="1087" spans="1:8" x14ac:dyDescent="0.15">
      <c r="A1087">
        <v>46</v>
      </c>
      <c r="B1087">
        <v>17</v>
      </c>
      <c r="C1087">
        <v>862334.27734375</v>
      </c>
      <c r="D1087">
        <v>-2423032.0231592939</v>
      </c>
      <c r="E1087">
        <v>2.4159760216197898E-5</v>
      </c>
      <c r="F1087">
        <v>2.4228921185705779E-5</v>
      </c>
      <c r="G1087">
        <v>-6.9160969507880412E-8</v>
      </c>
      <c r="H1087" t="b">
        <v>1</v>
      </c>
    </row>
    <row r="1088" spans="1:8" x14ac:dyDescent="0.15">
      <c r="A1088">
        <v>46</v>
      </c>
      <c r="B1088">
        <v>18</v>
      </c>
      <c r="C1088">
        <v>862484.27734375</v>
      </c>
      <c r="D1088">
        <v>437321.53384275449</v>
      </c>
      <c r="E1088">
        <v>2.4241318232608827E-5</v>
      </c>
      <c r="F1088">
        <v>2.4228921185705779E-5</v>
      </c>
      <c r="G1088">
        <v>1.2397046903048675E-8</v>
      </c>
      <c r="H1088" t="b">
        <v>0</v>
      </c>
    </row>
    <row r="1089" spans="1:8" x14ac:dyDescent="0.15">
      <c r="A1089">
        <v>46</v>
      </c>
      <c r="B1089">
        <v>19</v>
      </c>
      <c r="C1089">
        <v>862664.27734375</v>
      </c>
      <c r="D1089">
        <v>3933538.8911287575</v>
      </c>
      <c r="E1089">
        <v>2.4339517698777427E-5</v>
      </c>
      <c r="F1089">
        <v>2.4228921185705779E-5</v>
      </c>
      <c r="G1089">
        <v>1.1059651307164861E-7</v>
      </c>
      <c r="H1089" t="b">
        <v>0</v>
      </c>
    </row>
    <row r="1090" spans="1:8" x14ac:dyDescent="0.15">
      <c r="A1090">
        <v>46</v>
      </c>
      <c r="B1090">
        <v>20</v>
      </c>
      <c r="C1090">
        <v>862574.27734375</v>
      </c>
      <c r="D1090">
        <v>2176602.1148205427</v>
      </c>
      <c r="E1090">
        <v>2.4290370048018516E-5</v>
      </c>
      <c r="F1090">
        <v>2.4228921185705779E-5</v>
      </c>
      <c r="G1090">
        <v>6.1448862312737652E-8</v>
      </c>
      <c r="H1090" t="b">
        <v>0</v>
      </c>
    </row>
    <row r="1091" spans="1:8" x14ac:dyDescent="0.15">
      <c r="A1091">
        <v>46</v>
      </c>
      <c r="B1091">
        <v>21</v>
      </c>
      <c r="C1091">
        <v>862466.27734375</v>
      </c>
      <c r="D1091">
        <v>91540.102937896867</v>
      </c>
      <c r="E1091">
        <v>2.4231518269903155E-5</v>
      </c>
      <c r="F1091">
        <v>2.4228921185705779E-5</v>
      </c>
      <c r="G1091">
        <v>2.5970841973762464E-9</v>
      </c>
      <c r="H1091" t="b">
        <v>0</v>
      </c>
    </row>
    <row r="1092" spans="1:8" x14ac:dyDescent="0.15">
      <c r="A1092">
        <v>46</v>
      </c>
      <c r="B1092">
        <v>22</v>
      </c>
      <c r="C1092">
        <v>862520.27734375</v>
      </c>
      <c r="D1092">
        <v>1130975.197924434</v>
      </c>
      <c r="E1092">
        <v>2.4260929048584197E-5</v>
      </c>
      <c r="F1092">
        <v>2.4228921185705779E-5</v>
      </c>
      <c r="G1092">
        <v>3.2007862878417854E-8</v>
      </c>
      <c r="H1092" t="b">
        <v>0</v>
      </c>
    </row>
    <row r="1093" spans="1:8" x14ac:dyDescent="0.15">
      <c r="A1093">
        <v>46</v>
      </c>
      <c r="B1093">
        <v>23</v>
      </c>
      <c r="C1093">
        <v>862493.27734375</v>
      </c>
      <c r="D1093">
        <v>610386.41326513013</v>
      </c>
      <c r="E1093">
        <v>2.4246217110708661E-5</v>
      </c>
      <c r="F1093">
        <v>2.4228921185705779E-5</v>
      </c>
      <c r="G1093">
        <v>1.7295925002882629E-8</v>
      </c>
      <c r="H1093" t="b">
        <v>0</v>
      </c>
    </row>
    <row r="1094" spans="1:8" x14ac:dyDescent="0.15">
      <c r="A1094">
        <v>46</v>
      </c>
      <c r="B1094">
        <v>24</v>
      </c>
      <c r="C1094">
        <v>862506.77734375</v>
      </c>
      <c r="D1094">
        <v>870440.98362094501</v>
      </c>
      <c r="E1094">
        <v>2.4253570825356353E-5</v>
      </c>
      <c r="F1094">
        <v>2.4228921185705779E-5</v>
      </c>
      <c r="G1094">
        <v>2.4649639650574574E-8</v>
      </c>
      <c r="H1094" t="b">
        <v>0</v>
      </c>
    </row>
    <row r="1095" spans="1:8" x14ac:dyDescent="0.15">
      <c r="A1095">
        <v>47</v>
      </c>
      <c r="B1095">
        <v>1</v>
      </c>
      <c r="C1095">
        <v>6050000</v>
      </c>
      <c r="D1095">
        <v>2.3712368266250184E+18</v>
      </c>
      <c r="E1095">
        <v>536.87092200000006</v>
      </c>
      <c r="F1095">
        <v>1.7510233988105028E-5</v>
      </c>
      <c r="G1095">
        <v>536.87090448976608</v>
      </c>
      <c r="H1095" t="b">
        <v>0</v>
      </c>
    </row>
    <row r="1096" spans="1:8" x14ac:dyDescent="0.15">
      <c r="A1096">
        <v>47</v>
      </c>
      <c r="B1096">
        <v>2</v>
      </c>
      <c r="C1096">
        <v>3075000</v>
      </c>
      <c r="D1096">
        <v>6.3900201082630541E+17</v>
      </c>
      <c r="E1096">
        <v>168.62229478443288</v>
      </c>
      <c r="F1096">
        <v>1.7510234044948447E-5</v>
      </c>
      <c r="G1096">
        <v>168.62227727419884</v>
      </c>
      <c r="H1096" t="b">
        <v>0</v>
      </c>
    </row>
    <row r="1097" spans="1:8" x14ac:dyDescent="0.15">
      <c r="A1097">
        <v>47</v>
      </c>
      <c r="B1097">
        <v>3</v>
      </c>
      <c r="C1097">
        <v>1587500</v>
      </c>
      <c r="D1097">
        <v>22306124735613.016</v>
      </c>
      <c r="E1097">
        <v>2.6577337753613862E-2</v>
      </c>
      <c r="F1097">
        <v>1.7510234040073874E-5</v>
      </c>
      <c r="G1097">
        <v>2.6559827519573788E-2</v>
      </c>
      <c r="H1097" t="b">
        <v>0</v>
      </c>
    </row>
    <row r="1098" spans="1:8" x14ac:dyDescent="0.15">
      <c r="A1098">
        <v>47</v>
      </c>
      <c r="B1098">
        <v>4</v>
      </c>
      <c r="C1098">
        <v>843750</v>
      </c>
      <c r="D1098">
        <v>-212565.78027453765</v>
      </c>
      <c r="E1098">
        <v>2.2021055159821621E-6</v>
      </c>
      <c r="F1098">
        <v>1.751023404007341E-5</v>
      </c>
      <c r="G1098">
        <v>-1.5308128524091248E-5</v>
      </c>
      <c r="H1098" t="b">
        <v>1</v>
      </c>
    </row>
    <row r="1099" spans="1:8" x14ac:dyDescent="0.15">
      <c r="A1099">
        <v>47</v>
      </c>
      <c r="B1099">
        <v>5</v>
      </c>
      <c r="C1099">
        <v>1215625</v>
      </c>
      <c r="D1099">
        <v>77408552210.481552</v>
      </c>
      <c r="E1099">
        <v>3.209702259795954E-4</v>
      </c>
      <c r="F1099">
        <v>1.7510234040073386E-5</v>
      </c>
      <c r="G1099">
        <v>3.0345999193952201E-4</v>
      </c>
      <c r="H1099" t="b">
        <v>0</v>
      </c>
    </row>
    <row r="1100" spans="1:8" x14ac:dyDescent="0.15">
      <c r="A1100">
        <v>47</v>
      </c>
      <c r="B1100">
        <v>6</v>
      </c>
      <c r="C1100">
        <v>1029687.5</v>
      </c>
      <c r="D1100">
        <v>-56858170.796834007</v>
      </c>
      <c r="E1100">
        <v>1.601126534334732E-5</v>
      </c>
      <c r="F1100">
        <v>1.751023404007341E-5</v>
      </c>
      <c r="G1100">
        <v>-1.4989686967260897E-6</v>
      </c>
      <c r="H1100" t="b">
        <v>1</v>
      </c>
    </row>
    <row r="1101" spans="1:8" x14ac:dyDescent="0.15">
      <c r="A1101">
        <v>47</v>
      </c>
      <c r="B1101">
        <v>7</v>
      </c>
      <c r="C1101">
        <v>1122656.25</v>
      </c>
      <c r="D1101">
        <v>9322302278.6771069</v>
      </c>
      <c r="E1101">
        <v>7.9386305800287953E-5</v>
      </c>
      <c r="F1101">
        <v>1.7510234040073414E-5</v>
      </c>
      <c r="G1101">
        <v>6.1876071760214539E-5</v>
      </c>
      <c r="H1101" t="b">
        <v>0</v>
      </c>
    </row>
    <row r="1102" spans="1:8" x14ac:dyDescent="0.15">
      <c r="A1102">
        <v>47</v>
      </c>
      <c r="B1102">
        <v>8</v>
      </c>
      <c r="C1102">
        <v>1076171.875</v>
      </c>
      <c r="D1102">
        <v>1982568552.5385098</v>
      </c>
      <c r="E1102">
        <v>3.6715010923892924E-5</v>
      </c>
      <c r="F1102">
        <v>1.751023404007341E-5</v>
      </c>
      <c r="G1102">
        <v>1.9204776883819514E-5</v>
      </c>
      <c r="H1102" t="b">
        <v>0</v>
      </c>
    </row>
    <row r="1103" spans="1:8" x14ac:dyDescent="0.15">
      <c r="A1103">
        <v>47</v>
      </c>
      <c r="B1103">
        <v>9</v>
      </c>
      <c r="C1103">
        <v>1052929.6875</v>
      </c>
      <c r="D1103">
        <v>551166307.66413867</v>
      </c>
      <c r="E1103">
        <v>2.4435058704280002E-5</v>
      </c>
      <c r="F1103">
        <v>1.751023404007341E-5</v>
      </c>
      <c r="G1103">
        <v>6.924824664206592E-6</v>
      </c>
      <c r="H1103" t="b">
        <v>0</v>
      </c>
    </row>
    <row r="1104" spans="1:8" x14ac:dyDescent="0.15">
      <c r="A1104">
        <v>47</v>
      </c>
      <c r="B1104">
        <v>10</v>
      </c>
      <c r="C1104">
        <v>1041308.59375</v>
      </c>
      <c r="D1104">
        <v>138607415.0079197</v>
      </c>
      <c r="E1104">
        <v>1.982179359231976E-5</v>
      </c>
      <c r="F1104">
        <v>1.751023404007341E-5</v>
      </c>
      <c r="G1104">
        <v>2.3115595522463501E-6</v>
      </c>
      <c r="H1104" t="b">
        <v>0</v>
      </c>
    </row>
    <row r="1105" spans="1:8" x14ac:dyDescent="0.15">
      <c r="A1105">
        <v>47</v>
      </c>
      <c r="B1105">
        <v>11</v>
      </c>
      <c r="C1105">
        <v>1035498.046875</v>
      </c>
      <c r="D1105">
        <v>15332488.421492701</v>
      </c>
      <c r="E1105">
        <v>1.7825193242159063E-5</v>
      </c>
      <c r="F1105">
        <v>1.751023404007341E-5</v>
      </c>
      <c r="G1105">
        <v>3.1495920208565322E-7</v>
      </c>
      <c r="H1105" t="b">
        <v>0</v>
      </c>
    </row>
    <row r="1106" spans="1:8" x14ac:dyDescent="0.15">
      <c r="A1106">
        <v>47</v>
      </c>
      <c r="B1106">
        <v>12</v>
      </c>
      <c r="C1106">
        <v>1032592.7734375</v>
      </c>
      <c r="D1106">
        <v>-26554177.995395027</v>
      </c>
      <c r="E1106">
        <v>1.6896033680653558E-5</v>
      </c>
      <c r="F1106">
        <v>1.751023404007341E-5</v>
      </c>
      <c r="G1106">
        <v>-6.1420035941985233E-7</v>
      </c>
      <c r="H1106" t="b">
        <v>1</v>
      </c>
    </row>
    <row r="1107" spans="1:8" x14ac:dyDescent="0.15">
      <c r="A1107">
        <v>47</v>
      </c>
      <c r="B1107">
        <v>13</v>
      </c>
      <c r="C1107">
        <v>1034045.41015625</v>
      </c>
      <c r="D1107">
        <v>-7134160.8792138081</v>
      </c>
      <c r="E1107">
        <v>1.7354940198277394E-5</v>
      </c>
      <c r="F1107">
        <v>1.751023404007341E-5</v>
      </c>
      <c r="G1107">
        <v>-1.5529384179601617E-7</v>
      </c>
      <c r="H1107" t="b">
        <v>1</v>
      </c>
    </row>
    <row r="1108" spans="1:8" x14ac:dyDescent="0.15">
      <c r="A1108">
        <v>47</v>
      </c>
      <c r="B1108">
        <v>14</v>
      </c>
      <c r="C1108">
        <v>1034545.41015625</v>
      </c>
      <c r="D1108">
        <v>247288.85672924004</v>
      </c>
      <c r="E1108">
        <v>1.7515509047114595E-5</v>
      </c>
      <c r="F1108">
        <v>1.751023404007341E-5</v>
      </c>
      <c r="G1108">
        <v>5.2750070411846988E-9</v>
      </c>
      <c r="H1108" t="b">
        <v>0</v>
      </c>
    </row>
    <row r="1109" spans="1:8" x14ac:dyDescent="0.15">
      <c r="A1109">
        <v>47</v>
      </c>
      <c r="B1109">
        <v>15</v>
      </c>
      <c r="C1109">
        <v>1035145.41015625</v>
      </c>
      <c r="D1109">
        <v>9590348.1491807569</v>
      </c>
      <c r="E1109">
        <v>1.7709981833917939E-5</v>
      </c>
      <c r="F1109">
        <v>1.751023404007341E-5</v>
      </c>
      <c r="G1109">
        <v>1.9974779384452913E-7</v>
      </c>
      <c r="H1109" t="b">
        <v>0</v>
      </c>
    </row>
    <row r="1110" spans="1:8" x14ac:dyDescent="0.15">
      <c r="A1110">
        <v>47</v>
      </c>
      <c r="B1110">
        <v>16</v>
      </c>
      <c r="C1110">
        <v>1034845.41015625</v>
      </c>
      <c r="D1110">
        <v>4852087.6182595221</v>
      </c>
      <c r="E1110">
        <v>1.7612501490635246E-5</v>
      </c>
      <c r="F1110">
        <v>1.751023404007341E-5</v>
      </c>
      <c r="G1110">
        <v>1.0226745056183626E-7</v>
      </c>
      <c r="H1110" t="b">
        <v>0</v>
      </c>
    </row>
    <row r="1111" spans="1:8" x14ac:dyDescent="0.15">
      <c r="A1111">
        <v>47</v>
      </c>
      <c r="B1111">
        <v>17</v>
      </c>
      <c r="C1111">
        <v>1034485.41015625</v>
      </c>
      <c r="D1111">
        <v>-657748.4000387236</v>
      </c>
      <c r="E1111">
        <v>1.7496169481313667E-5</v>
      </c>
      <c r="F1111">
        <v>1.751023404007341E-5</v>
      </c>
      <c r="G1111">
        <v>-1.4064558759742786E-8</v>
      </c>
      <c r="H1111" t="b">
        <v>1</v>
      </c>
    </row>
    <row r="1112" spans="1:8" x14ac:dyDescent="0.15">
      <c r="A1112">
        <v>47</v>
      </c>
      <c r="B1112">
        <v>18</v>
      </c>
      <c r="C1112">
        <v>1034665.41015625</v>
      </c>
      <c r="D1112">
        <v>2073236.4990313887</v>
      </c>
      <c r="E1112">
        <v>1.7554246701295099E-5</v>
      </c>
      <c r="F1112">
        <v>1.751023404007341E-5</v>
      </c>
      <c r="G1112">
        <v>4.4012661221688851E-8</v>
      </c>
      <c r="H1112" t="b">
        <v>0</v>
      </c>
    </row>
    <row r="1113" spans="1:8" x14ac:dyDescent="0.15">
      <c r="A1113">
        <v>47</v>
      </c>
      <c r="B1113">
        <v>19</v>
      </c>
      <c r="C1113">
        <v>1034575.41015625</v>
      </c>
      <c r="D1113">
        <v>701789.58497002663</v>
      </c>
      <c r="E1113">
        <v>1.7525186142009686E-5</v>
      </c>
      <c r="F1113">
        <v>1.751023404007341E-5</v>
      </c>
      <c r="G1113">
        <v>1.4952101936275978E-8</v>
      </c>
      <c r="H1113" t="b">
        <v>0</v>
      </c>
    </row>
    <row r="1114" spans="1:8" x14ac:dyDescent="0.15">
      <c r="A1114">
        <v>47</v>
      </c>
      <c r="B1114">
        <v>20</v>
      </c>
      <c r="C1114">
        <v>1034620.41015625</v>
      </c>
      <c r="D1114">
        <v>1386022.1288883591</v>
      </c>
      <c r="E1114">
        <v>1.7539710930586186E-5</v>
      </c>
      <c r="F1114">
        <v>1.751023404007341E-5</v>
      </c>
      <c r="G1114">
        <v>2.9476890512776082E-8</v>
      </c>
      <c r="H1114" t="b">
        <v>0</v>
      </c>
    </row>
    <row r="1115" spans="1:8" x14ac:dyDescent="0.15">
      <c r="A1115">
        <v>47</v>
      </c>
      <c r="B1115">
        <v>21</v>
      </c>
      <c r="C1115">
        <v>1034597.91015625</v>
      </c>
      <c r="D1115">
        <v>1043533.415885238</v>
      </c>
      <c r="E1115">
        <v>1.753244716399902E-5</v>
      </c>
      <c r="F1115">
        <v>1.751023404007341E-5</v>
      </c>
      <c r="G1115">
        <v>2.2213123925609479E-8</v>
      </c>
      <c r="H1115" t="b">
        <v>0</v>
      </c>
    </row>
    <row r="1116" spans="1:8" x14ac:dyDescent="0.15">
      <c r="A1116">
        <v>48</v>
      </c>
      <c r="B1116">
        <v>1</v>
      </c>
      <c r="C1116">
        <v>6050000</v>
      </c>
      <c r="D1116">
        <v>3.8516351649438904E+18</v>
      </c>
      <c r="E1116">
        <v>536.87092200000006</v>
      </c>
      <c r="F1116">
        <v>1.2788591561729845E-5</v>
      </c>
      <c r="G1116">
        <v>536.8709092114085</v>
      </c>
      <c r="H1116" t="b">
        <v>0</v>
      </c>
    </row>
    <row r="1117" spans="1:8" x14ac:dyDescent="0.15">
      <c r="A1117">
        <v>48</v>
      </c>
      <c r="B1117">
        <v>2</v>
      </c>
      <c r="C1117">
        <v>3075000</v>
      </c>
      <c r="D1117">
        <v>7.7362253635748464E+16</v>
      </c>
      <c r="E1117">
        <v>17.353602474476954</v>
      </c>
      <c r="F1117">
        <v>1.27885915759407E-5</v>
      </c>
      <c r="G1117">
        <v>17.353589685885378</v>
      </c>
      <c r="H1117" t="b">
        <v>0</v>
      </c>
    </row>
    <row r="1118" spans="1:8" x14ac:dyDescent="0.15">
      <c r="A1118">
        <v>48</v>
      </c>
      <c r="B1118">
        <v>3</v>
      </c>
      <c r="C1118">
        <v>1587500</v>
      </c>
      <c r="D1118">
        <v>707641800589.85303</v>
      </c>
      <c r="E1118">
        <v>1.1427785381195111E-3</v>
      </c>
      <c r="F1118">
        <v>1.2788591577025986E-5</v>
      </c>
      <c r="G1118">
        <v>1.1299899465424851E-3</v>
      </c>
      <c r="H1118" t="b">
        <v>0</v>
      </c>
    </row>
    <row r="1119" spans="1:8" x14ac:dyDescent="0.15">
      <c r="A1119">
        <v>48</v>
      </c>
      <c r="B1119">
        <v>4</v>
      </c>
      <c r="C1119">
        <v>843750</v>
      </c>
      <c r="D1119">
        <v>-80040.885409264461</v>
      </c>
      <c r="E1119">
        <v>-1.428612399669873E-6</v>
      </c>
      <c r="F1119">
        <v>1.2788591577026091E-5</v>
      </c>
      <c r="G1119">
        <v>-1.4217203976695965E-5</v>
      </c>
      <c r="H1119" t="b">
        <v>1</v>
      </c>
    </row>
    <row r="1120" spans="1:8" x14ac:dyDescent="0.15">
      <c r="A1120">
        <v>48</v>
      </c>
      <c r="B1120">
        <v>5</v>
      </c>
      <c r="C1120">
        <v>1215625</v>
      </c>
      <c r="D1120">
        <v>-52103125.814164616</v>
      </c>
      <c r="E1120">
        <v>1.1700708626359628E-5</v>
      </c>
      <c r="F1120">
        <v>1.2788591577026091E-5</v>
      </c>
      <c r="G1120">
        <v>-1.0878829506664637E-6</v>
      </c>
      <c r="H1120" t="b">
        <v>1</v>
      </c>
    </row>
    <row r="1121" spans="1:8" x14ac:dyDescent="0.15">
      <c r="A1121">
        <v>48</v>
      </c>
      <c r="B1121">
        <v>6</v>
      </c>
      <c r="C1121">
        <v>1401562.5</v>
      </c>
      <c r="D1121">
        <v>43397543449.578957</v>
      </c>
      <c r="E1121">
        <v>1.4709802317762222E-4</v>
      </c>
      <c r="F1121">
        <v>1.2788591577026095E-5</v>
      </c>
      <c r="G1121">
        <v>1.3430943160059613E-4</v>
      </c>
      <c r="H1121" t="b">
        <v>0</v>
      </c>
    </row>
    <row r="1122" spans="1:8" x14ac:dyDescent="0.15">
      <c r="A1122">
        <v>48</v>
      </c>
      <c r="B1122">
        <v>7</v>
      </c>
      <c r="C1122">
        <v>1308593.75</v>
      </c>
      <c r="D1122">
        <v>6261471667.9910364</v>
      </c>
      <c r="E1122">
        <v>4.4623150547067206E-5</v>
      </c>
      <c r="F1122">
        <v>1.2788591577026088E-5</v>
      </c>
      <c r="G1122">
        <v>3.1834558970041118E-5</v>
      </c>
      <c r="H1122" t="b">
        <v>0</v>
      </c>
    </row>
    <row r="1123" spans="1:8" x14ac:dyDescent="0.15">
      <c r="A1123">
        <v>48</v>
      </c>
      <c r="B1123">
        <v>8</v>
      </c>
      <c r="C1123">
        <v>1262109.375</v>
      </c>
      <c r="D1123">
        <v>1443793993.5575144</v>
      </c>
      <c r="E1123">
        <v>2.3266940994781652E-5</v>
      </c>
      <c r="F1123">
        <v>1.2788591577026091E-5</v>
      </c>
      <c r="G1123">
        <v>1.047834941775556E-5</v>
      </c>
      <c r="H1123" t="b">
        <v>0</v>
      </c>
    </row>
    <row r="1124" spans="1:8" x14ac:dyDescent="0.15">
      <c r="A1124">
        <v>48</v>
      </c>
      <c r="B1124">
        <v>9</v>
      </c>
      <c r="C1124">
        <v>1238867.1875</v>
      </c>
      <c r="D1124">
        <v>372431195.74229437</v>
      </c>
      <c r="E1124">
        <v>1.6536594438399067E-5</v>
      </c>
      <c r="F1124">
        <v>1.2788591577026091E-5</v>
      </c>
      <c r="G1124">
        <v>3.7480028613729753E-6</v>
      </c>
      <c r="H1124" t="b">
        <v>0</v>
      </c>
    </row>
    <row r="1125" spans="1:8" x14ac:dyDescent="0.15">
      <c r="A1125">
        <v>48</v>
      </c>
      <c r="B1125">
        <v>10</v>
      </c>
      <c r="C1125">
        <v>1227246.09375</v>
      </c>
      <c r="D1125">
        <v>78809749.96468325</v>
      </c>
      <c r="E1125">
        <v>1.388363716772604E-5</v>
      </c>
      <c r="F1125">
        <v>1.2788591577026091E-5</v>
      </c>
      <c r="G1125">
        <v>1.0950455906999492E-6</v>
      </c>
      <c r="H1125" t="b">
        <v>0</v>
      </c>
    </row>
    <row r="1126" spans="1:8" x14ac:dyDescent="0.15">
      <c r="A1126">
        <v>48</v>
      </c>
      <c r="B1126">
        <v>11</v>
      </c>
      <c r="C1126">
        <v>1221435.546875</v>
      </c>
      <c r="D1126">
        <v>-4767931.0252954196</v>
      </c>
      <c r="E1126">
        <v>1.2708002325014031E-5</v>
      </c>
      <c r="F1126">
        <v>1.2788591577026091E-5</v>
      </c>
      <c r="G1126">
        <v>-8.0589252012060156E-8</v>
      </c>
      <c r="H1126" t="b">
        <v>1</v>
      </c>
    </row>
    <row r="1127" spans="1:8" x14ac:dyDescent="0.15">
      <c r="A1127">
        <v>48</v>
      </c>
      <c r="B1127">
        <v>12</v>
      </c>
      <c r="C1127">
        <v>1224340.8203125</v>
      </c>
      <c r="D1127">
        <v>32442425.242695887</v>
      </c>
      <c r="E1127">
        <v>1.3283991271582694E-5</v>
      </c>
      <c r="F1127">
        <v>1.2788591577026091E-5</v>
      </c>
      <c r="G1127">
        <v>4.9539969455660261E-7</v>
      </c>
      <c r="H1127" t="b">
        <v>0</v>
      </c>
    </row>
    <row r="1128" spans="1:8" x14ac:dyDescent="0.15">
      <c r="A1128">
        <v>48</v>
      </c>
      <c r="B1128">
        <v>13</v>
      </c>
      <c r="C1128">
        <v>1222888.18359375</v>
      </c>
      <c r="D1128">
        <v>12741462.974133223</v>
      </c>
      <c r="E1128">
        <v>1.2993092482535006E-5</v>
      </c>
      <c r="F1128">
        <v>1.2788591577026091E-5</v>
      </c>
      <c r="G1128">
        <v>2.0450090550891488E-7</v>
      </c>
      <c r="H1128" t="b">
        <v>0</v>
      </c>
    </row>
    <row r="1129" spans="1:8" x14ac:dyDescent="0.15">
      <c r="A1129">
        <v>48</v>
      </c>
      <c r="B1129">
        <v>14</v>
      </c>
      <c r="C1129">
        <v>1221688.18359375</v>
      </c>
      <c r="D1129">
        <v>-1875981.5568939084</v>
      </c>
      <c r="E1129">
        <v>1.2757171694511556E-5</v>
      </c>
      <c r="F1129">
        <v>1.2788591577026091E-5</v>
      </c>
      <c r="G1129">
        <v>-3.14198825145354E-8</v>
      </c>
      <c r="H1129" t="b">
        <v>1</v>
      </c>
    </row>
    <row r="1130" spans="1:8" x14ac:dyDescent="0.15">
      <c r="A1130">
        <v>48</v>
      </c>
      <c r="B1130">
        <v>15</v>
      </c>
      <c r="C1130">
        <v>1222288.18359375</v>
      </c>
      <c r="D1130">
        <v>5249234.5587515347</v>
      </c>
      <c r="E1130">
        <v>1.2874641040380105E-5</v>
      </c>
      <c r="F1130">
        <v>1.2788591577026091E-5</v>
      </c>
      <c r="G1130">
        <v>8.6049463354013255E-8</v>
      </c>
      <c r="H1130" t="b">
        <v>0</v>
      </c>
    </row>
    <row r="1131" spans="1:8" x14ac:dyDescent="0.15">
      <c r="A1131">
        <v>48</v>
      </c>
      <c r="B1131">
        <v>16</v>
      </c>
      <c r="C1131">
        <v>1221988.18359375</v>
      </c>
      <c r="D1131">
        <v>1641085.2198490347</v>
      </c>
      <c r="E1131">
        <v>1.2815782665507272E-5</v>
      </c>
      <c r="F1131">
        <v>1.2788591577026091E-5</v>
      </c>
      <c r="G1131">
        <v>2.7191088481180991E-8</v>
      </c>
      <c r="H1131" t="b">
        <v>0</v>
      </c>
    </row>
    <row r="1132" spans="1:8" x14ac:dyDescent="0.15">
      <c r="A1132">
        <v>48</v>
      </c>
      <c r="B1132">
        <v>17</v>
      </c>
      <c r="C1132">
        <v>1221628.18359375</v>
      </c>
      <c r="D1132">
        <v>-2568645.3234618697</v>
      </c>
      <c r="E1132">
        <v>1.2745477319785973E-5</v>
      </c>
      <c r="F1132">
        <v>1.2788591577026091E-5</v>
      </c>
      <c r="G1132">
        <v>-4.3114257240117751E-8</v>
      </c>
      <c r="H1132" t="b">
        <v>1</v>
      </c>
    </row>
    <row r="1133" spans="1:8" x14ac:dyDescent="0.15">
      <c r="A1133">
        <v>48</v>
      </c>
      <c r="B1133">
        <v>18</v>
      </c>
      <c r="C1133">
        <v>1221808.18359375</v>
      </c>
      <c r="D1133">
        <v>-480057.12774976064</v>
      </c>
      <c r="E1133">
        <v>1.2780586007615134E-5</v>
      </c>
      <c r="F1133">
        <v>1.2788591577026091E-5</v>
      </c>
      <c r="G1133">
        <v>-8.0055694109574605E-9</v>
      </c>
      <c r="H1133" t="b">
        <v>1</v>
      </c>
    </row>
    <row r="1134" spans="1:8" x14ac:dyDescent="0.15">
      <c r="A1134">
        <v>48</v>
      </c>
      <c r="B1134">
        <v>19</v>
      </c>
      <c r="C1134">
        <v>1221988.18359375</v>
      </c>
      <c r="D1134">
        <v>1641085.2198490347</v>
      </c>
      <c r="E1134">
        <v>1.2815782665507272E-5</v>
      </c>
      <c r="F1134">
        <v>1.2788591577026091E-5</v>
      </c>
      <c r="G1134">
        <v>2.7191088481180991E-8</v>
      </c>
      <c r="H1134" t="b">
        <v>0</v>
      </c>
    </row>
    <row r="1135" spans="1:8" x14ac:dyDescent="0.15">
      <c r="A1135">
        <v>48</v>
      </c>
      <c r="B1135">
        <v>20</v>
      </c>
      <c r="C1135">
        <v>1221898.18359375</v>
      </c>
      <c r="D1135">
        <v>576433.47094432102</v>
      </c>
      <c r="E1135">
        <v>1.2798173327980717E-5</v>
      </c>
      <c r="F1135">
        <v>1.2788591577026091E-5</v>
      </c>
      <c r="G1135">
        <v>9.5817509546255661E-9</v>
      </c>
      <c r="H1135" t="b">
        <v>0</v>
      </c>
    </row>
    <row r="1136" spans="1:8" x14ac:dyDescent="0.15">
      <c r="A1136">
        <v>48</v>
      </c>
      <c r="B1136">
        <v>21</v>
      </c>
      <c r="C1136">
        <v>1221943.18359375</v>
      </c>
      <c r="D1136">
        <v>1107813.1401318605</v>
      </c>
      <c r="E1136">
        <v>1.2806976489397753E-5</v>
      </c>
      <c r="F1136">
        <v>1.2788591577026091E-5</v>
      </c>
      <c r="G1136">
        <v>1.8384912371661977E-8</v>
      </c>
      <c r="H1136" t="b">
        <v>0</v>
      </c>
    </row>
    <row r="1137" spans="1:8" x14ac:dyDescent="0.15">
      <c r="A1137">
        <v>48</v>
      </c>
      <c r="B1137">
        <v>22</v>
      </c>
      <c r="C1137">
        <v>1221997.18359375</v>
      </c>
      <c r="D1137">
        <v>1748000.1295203669</v>
      </c>
      <c r="E1137">
        <v>1.2817544811153681E-5</v>
      </c>
      <c r="F1137">
        <v>1.2788591577026091E-5</v>
      </c>
      <c r="G1137">
        <v>2.895323412758988E-8</v>
      </c>
      <c r="H1137" t="b">
        <v>0</v>
      </c>
    </row>
    <row r="1138" spans="1:8" x14ac:dyDescent="0.15">
      <c r="A1138">
        <v>48</v>
      </c>
      <c r="B1138">
        <v>23</v>
      </c>
      <c r="C1138">
        <v>1221970.18359375</v>
      </c>
      <c r="D1138">
        <v>1427576.423796826</v>
      </c>
      <c r="E1138">
        <v>1.2812260282344841E-5</v>
      </c>
      <c r="F1138">
        <v>1.2788591577026091E-5</v>
      </c>
      <c r="G1138">
        <v>2.3668705318750105E-8</v>
      </c>
      <c r="H1138" t="b">
        <v>0</v>
      </c>
    </row>
    <row r="1139" spans="1:8" x14ac:dyDescent="0.15">
      <c r="A1139">
        <v>48</v>
      </c>
      <c r="B1139">
        <v>24</v>
      </c>
      <c r="C1139">
        <v>1221937.7835937501</v>
      </c>
      <c r="D1139">
        <v>1043873.4483493546</v>
      </c>
      <c r="E1139">
        <v>1.2805918722519566E-5</v>
      </c>
      <c r="F1139">
        <v>1.2788591577026091E-5</v>
      </c>
      <c r="G1139">
        <v>1.7327145493474966E-8</v>
      </c>
      <c r="H1139" t="b">
        <v>0</v>
      </c>
    </row>
    <row r="1140" spans="1:8" x14ac:dyDescent="0.15">
      <c r="A1140">
        <v>48</v>
      </c>
      <c r="B1140">
        <v>25</v>
      </c>
      <c r="C1140">
        <v>1221953.98359375</v>
      </c>
      <c r="D1140">
        <v>1235630.1566681487</v>
      </c>
      <c r="E1140">
        <v>1.2809089768620125E-5</v>
      </c>
      <c r="F1140">
        <v>1.2788591577026091E-5</v>
      </c>
      <c r="G1140">
        <v>2.0498191594033478E-8</v>
      </c>
      <c r="H1140" t="b">
        <v>0</v>
      </c>
    </row>
    <row r="1141" spans="1:8" x14ac:dyDescent="0.15">
      <c r="A1141">
        <v>48</v>
      </c>
      <c r="B1141">
        <v>26</v>
      </c>
      <c r="C1141">
        <v>1221945.88359375</v>
      </c>
      <c r="D1141">
        <v>1139756.3599037495</v>
      </c>
      <c r="E1141">
        <v>1.2807504779461831E-5</v>
      </c>
      <c r="F1141">
        <v>1.2788591577026091E-5</v>
      </c>
      <c r="G1141">
        <v>1.8913202435739341E-8</v>
      </c>
      <c r="H1141" t="b">
        <v>0</v>
      </c>
    </row>
    <row r="1142" spans="1:8" x14ac:dyDescent="0.15">
      <c r="A1142">
        <v>48</v>
      </c>
      <c r="B1142">
        <v>27</v>
      </c>
      <c r="C1142">
        <v>1221949.93359375</v>
      </c>
      <c r="D1142">
        <v>1187684.9819412634</v>
      </c>
      <c r="E1142">
        <v>1.2808297251734218E-5</v>
      </c>
      <c r="F1142">
        <v>1.2788591577026091E-5</v>
      </c>
      <c r="G1142">
        <v>1.9705674708127207E-8</v>
      </c>
      <c r="H1142" t="b">
        <v>0</v>
      </c>
    </row>
    <row r="1143" spans="1:8" x14ac:dyDescent="0.15">
      <c r="A1143">
        <v>48</v>
      </c>
      <c r="B1143">
        <v>28</v>
      </c>
      <c r="C1143">
        <v>1221954.7935937501</v>
      </c>
      <c r="D1143">
        <v>1245221.1781610262</v>
      </c>
      <c r="E1143">
        <v>1.280924827735184E-5</v>
      </c>
      <c r="F1143">
        <v>1.2788591577026091E-5</v>
      </c>
      <c r="G1143">
        <v>2.0656700325749093E-8</v>
      </c>
      <c r="H1143" t="b">
        <v>0</v>
      </c>
    </row>
    <row r="1144" spans="1:8" x14ac:dyDescent="0.15">
      <c r="A1144">
        <v>48</v>
      </c>
      <c r="B1144">
        <v>29</v>
      </c>
      <c r="C1144">
        <v>1221952.3635937502</v>
      </c>
      <c r="D1144">
        <v>1216374.6864839722</v>
      </c>
      <c r="E1144">
        <v>1.2808771509983487E-5</v>
      </c>
      <c r="F1144">
        <v>1.2788591577026091E-5</v>
      </c>
      <c r="G1144">
        <v>2.0179932957395283E-8</v>
      </c>
      <c r="H1144" t="b">
        <v>0</v>
      </c>
    </row>
    <row r="1145" spans="1:8" x14ac:dyDescent="0.15">
      <c r="A1145">
        <v>49</v>
      </c>
      <c r="B1145">
        <v>1</v>
      </c>
      <c r="C1145">
        <v>6050000</v>
      </c>
      <c r="D1145">
        <v>2.1267737463587848E+18</v>
      </c>
      <c r="E1145">
        <v>536.87092200000006</v>
      </c>
      <c r="F1145">
        <v>1.6620320820948109E-5</v>
      </c>
      <c r="G1145">
        <v>536.87090537967924</v>
      </c>
      <c r="H1145" t="b">
        <v>0</v>
      </c>
    </row>
    <row r="1146" spans="1:8" x14ac:dyDescent="0.15">
      <c r="A1146">
        <v>49</v>
      </c>
      <c r="B1146">
        <v>2</v>
      </c>
      <c r="C1146">
        <v>3075000</v>
      </c>
      <c r="D1146">
        <v>2.3807368925825546E+17</v>
      </c>
      <c r="E1146">
        <v>78.058202591796771</v>
      </c>
      <c r="F1146">
        <v>1.6620320806737254E-5</v>
      </c>
      <c r="G1146">
        <v>78.058185971475964</v>
      </c>
      <c r="H1146" t="b">
        <v>0</v>
      </c>
    </row>
    <row r="1147" spans="1:8" x14ac:dyDescent="0.15">
      <c r="A1147">
        <v>49</v>
      </c>
      <c r="B1147">
        <v>3</v>
      </c>
      <c r="C1147">
        <v>1587500</v>
      </c>
      <c r="D1147">
        <v>436550810821574.25</v>
      </c>
      <c r="E1147">
        <v>0.34667145253679399</v>
      </c>
      <c r="F1147">
        <v>1.662032080557152E-5</v>
      </c>
      <c r="G1147">
        <v>0.34665483221598842</v>
      </c>
      <c r="H1147" t="b">
        <v>0</v>
      </c>
    </row>
    <row r="1148" spans="1:8" x14ac:dyDescent="0.15">
      <c r="A1148">
        <v>49</v>
      </c>
      <c r="B1148">
        <v>4</v>
      </c>
      <c r="C1148">
        <v>843750</v>
      </c>
      <c r="D1148">
        <v>187108902.58118525</v>
      </c>
      <c r="E1148">
        <v>2.0344662847247858E-5</v>
      </c>
      <c r="F1148">
        <v>1.6620320805582792E-5</v>
      </c>
      <c r="G1148">
        <v>3.7243420416650653E-6</v>
      </c>
      <c r="H1148" t="b">
        <v>0</v>
      </c>
    </row>
    <row r="1149" spans="1:8" x14ac:dyDescent="0.15">
      <c r="A1149">
        <v>49</v>
      </c>
      <c r="B1149">
        <v>5</v>
      </c>
      <c r="C1149">
        <v>471875</v>
      </c>
      <c r="D1149">
        <v>-47029.291796493635</v>
      </c>
      <c r="E1149">
        <v>-5.2474664119224481E-6</v>
      </c>
      <c r="F1149">
        <v>1.6620320805582789E-5</v>
      </c>
      <c r="G1149">
        <v>-2.1867787217505239E-5</v>
      </c>
      <c r="H1149" t="b">
        <v>1</v>
      </c>
    </row>
    <row r="1150" spans="1:8" x14ac:dyDescent="0.15">
      <c r="A1150">
        <v>49</v>
      </c>
      <c r="B1150">
        <v>6</v>
      </c>
      <c r="C1150">
        <v>657812.5</v>
      </c>
      <c r="D1150">
        <v>-291426.67316719017</v>
      </c>
      <c r="E1150">
        <v>2.3155180888232894E-6</v>
      </c>
      <c r="F1150">
        <v>1.6620320805582792E-5</v>
      </c>
      <c r="G1150">
        <v>-1.4304802716759503E-5</v>
      </c>
      <c r="H1150" t="b">
        <v>1</v>
      </c>
    </row>
    <row r="1151" spans="1:8" x14ac:dyDescent="0.15">
      <c r="A1151">
        <v>49</v>
      </c>
      <c r="B1151">
        <v>7</v>
      </c>
      <c r="C1151">
        <v>750781.25</v>
      </c>
      <c r="D1151">
        <v>-2342555.9445033129</v>
      </c>
      <c r="E1151">
        <v>6.6183113982441647E-6</v>
      </c>
      <c r="F1151">
        <v>1.6620320805582792E-5</v>
      </c>
      <c r="G1151">
        <v>-1.0002009407338627E-5</v>
      </c>
      <c r="H1151" t="b">
        <v>1</v>
      </c>
    </row>
    <row r="1152" spans="1:8" x14ac:dyDescent="0.15">
      <c r="A1152">
        <v>49</v>
      </c>
      <c r="B1152">
        <v>8</v>
      </c>
      <c r="C1152">
        <v>797265.625</v>
      </c>
      <c r="D1152">
        <v>-37505576.560702994</v>
      </c>
      <c r="E1152">
        <v>1.1041349934151737E-5</v>
      </c>
      <c r="F1152">
        <v>1.6620320805582792E-5</v>
      </c>
      <c r="G1152">
        <v>-5.5789708714310552E-6</v>
      </c>
      <c r="H1152" t="b">
        <v>1</v>
      </c>
    </row>
    <row r="1153" spans="1:8" x14ac:dyDescent="0.15">
      <c r="A1153">
        <v>49</v>
      </c>
      <c r="B1153">
        <v>9</v>
      </c>
      <c r="C1153">
        <v>820507.8125</v>
      </c>
      <c r="D1153">
        <v>-53034119.918810025</v>
      </c>
      <c r="E1153">
        <v>1.4136226649711895E-5</v>
      </c>
      <c r="F1153">
        <v>1.6620320805582792E-5</v>
      </c>
      <c r="G1153">
        <v>-2.484094155870897E-6</v>
      </c>
      <c r="H1153" t="b">
        <v>1</v>
      </c>
    </row>
    <row r="1154" spans="1:8" x14ac:dyDescent="0.15">
      <c r="A1154">
        <v>49</v>
      </c>
      <c r="B1154">
        <v>10</v>
      </c>
      <c r="C1154">
        <v>832128.90625</v>
      </c>
      <c r="D1154">
        <v>-20217334.540099613</v>
      </c>
      <c r="E1154">
        <v>1.5948819405556652E-5</v>
      </c>
      <c r="F1154">
        <v>1.6620320805582792E-5</v>
      </c>
      <c r="G1154">
        <v>-6.7150140002614054E-7</v>
      </c>
      <c r="H1154" t="b">
        <v>1</v>
      </c>
    </row>
    <row r="1155" spans="1:8" x14ac:dyDescent="0.15">
      <c r="A1155">
        <v>49</v>
      </c>
      <c r="B1155">
        <v>11</v>
      </c>
      <c r="C1155">
        <v>837939.453125</v>
      </c>
      <c r="D1155">
        <v>52612032.34528175</v>
      </c>
      <c r="E1155">
        <v>1.7952120411857579E-5</v>
      </c>
      <c r="F1155">
        <v>1.6620320805582792E-5</v>
      </c>
      <c r="G1155">
        <v>1.3317996062747861E-6</v>
      </c>
      <c r="H1155" t="b">
        <v>0</v>
      </c>
    </row>
    <row r="1156" spans="1:8" x14ac:dyDescent="0.15">
      <c r="A1156">
        <v>49</v>
      </c>
      <c r="B1156">
        <v>12</v>
      </c>
      <c r="C1156">
        <v>835034.1796875</v>
      </c>
      <c r="D1156">
        <v>8148188.6852337876</v>
      </c>
      <c r="E1156">
        <v>1.6857105661125284E-5</v>
      </c>
      <c r="F1156">
        <v>1.6620320805582792E-5</v>
      </c>
      <c r="G1156">
        <v>2.3678485554249137E-7</v>
      </c>
      <c r="H1156" t="b">
        <v>0</v>
      </c>
    </row>
    <row r="1157" spans="1:8" x14ac:dyDescent="0.15">
      <c r="A1157">
        <v>49</v>
      </c>
      <c r="B1157">
        <v>13</v>
      </c>
      <c r="C1157">
        <v>833581.54296875</v>
      </c>
      <c r="D1157">
        <v>-9165872.8749535847</v>
      </c>
      <c r="E1157">
        <v>1.6333332013743742E-5</v>
      </c>
      <c r="F1157">
        <v>1.6620320805582792E-5</v>
      </c>
      <c r="G1157">
        <v>-2.8698879183905015E-7</v>
      </c>
      <c r="H1157" t="b">
        <v>1</v>
      </c>
    </row>
    <row r="1158" spans="1:8" x14ac:dyDescent="0.15">
      <c r="A1158">
        <v>49</v>
      </c>
      <c r="B1158">
        <v>14</v>
      </c>
      <c r="C1158">
        <v>834081.54296875</v>
      </c>
      <c r="D1158">
        <v>-3555412.7259322912</v>
      </c>
      <c r="E1158">
        <v>1.6511870891414087E-5</v>
      </c>
      <c r="F1158">
        <v>1.6620320805582792E-5</v>
      </c>
      <c r="G1158">
        <v>-1.0844991416870535E-7</v>
      </c>
      <c r="H1158" t="b">
        <v>1</v>
      </c>
    </row>
    <row r="1159" spans="1:8" x14ac:dyDescent="0.15">
      <c r="A1159">
        <v>49</v>
      </c>
      <c r="B1159">
        <v>15</v>
      </c>
      <c r="C1159">
        <v>834581.54296875</v>
      </c>
      <c r="D1159">
        <v>2418996.3710681335</v>
      </c>
      <c r="E1159">
        <v>1.6692238388609189E-5</v>
      </c>
      <c r="F1159">
        <v>1.6620320805582792E-5</v>
      </c>
      <c r="G1159">
        <v>7.1917583026396133E-8</v>
      </c>
      <c r="H1159" t="b">
        <v>0</v>
      </c>
    </row>
    <row r="1160" spans="1:8" x14ac:dyDescent="0.15">
      <c r="A1160">
        <v>49</v>
      </c>
      <c r="B1160">
        <v>16</v>
      </c>
      <c r="C1160">
        <v>834331.54296875</v>
      </c>
      <c r="D1160">
        <v>-614253.36459961208</v>
      </c>
      <c r="E1160">
        <v>1.6601824242150497E-5</v>
      </c>
      <c r="F1160">
        <v>1.6620320805582792E-5</v>
      </c>
      <c r="G1160">
        <v>-1.8496563432295374E-8</v>
      </c>
      <c r="H1160" t="b">
        <v>1</v>
      </c>
    </row>
    <row r="1161" spans="1:8" x14ac:dyDescent="0.15">
      <c r="A1161">
        <v>49</v>
      </c>
      <c r="B1161">
        <v>17</v>
      </c>
      <c r="C1161">
        <v>834456.54296875</v>
      </c>
      <c r="D1161">
        <v>890846.62535232666</v>
      </c>
      <c r="E1161">
        <v>1.6646975154683083E-5</v>
      </c>
      <c r="F1161">
        <v>1.6620320805582792E-5</v>
      </c>
      <c r="G1161">
        <v>2.6654349100290809E-8</v>
      </c>
      <c r="H1161" t="b">
        <v>0</v>
      </c>
    </row>
    <row r="1162" spans="1:8" x14ac:dyDescent="0.15">
      <c r="A1162">
        <v>49</v>
      </c>
      <c r="B1162">
        <v>18</v>
      </c>
      <c r="C1162">
        <v>834394.04296875</v>
      </c>
      <c r="D1162">
        <v>135371.56501299073</v>
      </c>
      <c r="E1162">
        <v>1.6624384118085608E-5</v>
      </c>
      <c r="F1162">
        <v>1.6620320805582792E-5</v>
      </c>
      <c r="G1162">
        <v>4.0633125028152696E-9</v>
      </c>
      <c r="H1162" t="b">
        <v>0</v>
      </c>
    </row>
    <row r="1163" spans="1:8" x14ac:dyDescent="0.15">
      <c r="A1163">
        <v>49</v>
      </c>
      <c r="B1163">
        <v>19</v>
      </c>
      <c r="C1163">
        <v>834425.29296875</v>
      </c>
      <c r="D1163">
        <v>512428.73656604881</v>
      </c>
      <c r="E1163">
        <v>1.6635677295309439E-5</v>
      </c>
      <c r="F1163">
        <v>1.6620320805582792E-5</v>
      </c>
      <c r="G1163">
        <v>1.5356489726646612E-8</v>
      </c>
      <c r="H1163" t="b">
        <v>0</v>
      </c>
    </row>
    <row r="1164" spans="1:8" x14ac:dyDescent="0.15">
      <c r="A1164">
        <v>49</v>
      </c>
      <c r="B1164">
        <v>20</v>
      </c>
      <c r="C1164">
        <v>834462.79296875</v>
      </c>
      <c r="D1164">
        <v>966619.93968295993</v>
      </c>
      <c r="E1164">
        <v>1.6649233094486701E-5</v>
      </c>
      <c r="F1164">
        <v>1.6620320805582792E-5</v>
      </c>
      <c r="G1164">
        <v>2.8912288903909039E-8</v>
      </c>
      <c r="H1164" t="b">
        <v>0</v>
      </c>
    </row>
    <row r="1165" spans="1:8" x14ac:dyDescent="0.15">
      <c r="A1165">
        <v>49</v>
      </c>
      <c r="B1165">
        <v>21</v>
      </c>
      <c r="C1165">
        <v>834444.04296875</v>
      </c>
      <c r="D1165">
        <v>739306.09500596626</v>
      </c>
      <c r="E1165">
        <v>1.6642455150117595E-5</v>
      </c>
      <c r="F1165">
        <v>1.6620320805582792E-5</v>
      </c>
      <c r="G1165">
        <v>2.213434453480245E-8</v>
      </c>
      <c r="H1165" t="b">
        <v>0</v>
      </c>
    </row>
    <row r="1166" spans="1:8" x14ac:dyDescent="0.15">
      <c r="A1166">
        <v>49</v>
      </c>
      <c r="B1166">
        <v>22</v>
      </c>
      <c r="C1166">
        <v>834453.41796875</v>
      </c>
      <c r="D1166">
        <v>852856.22148185817</v>
      </c>
      <c r="E1166">
        <v>1.6645842553466419E-5</v>
      </c>
      <c r="F1166">
        <v>1.6620320805582792E-5</v>
      </c>
      <c r="G1166">
        <v>2.5521747883626694E-8</v>
      </c>
      <c r="H1166" t="b">
        <v>0</v>
      </c>
    </row>
    <row r="1167" spans="1:8" x14ac:dyDescent="0.15">
      <c r="A1167">
        <v>49</v>
      </c>
      <c r="B1167">
        <v>23</v>
      </c>
      <c r="C1167">
        <v>834448.73046875</v>
      </c>
      <c r="D1167">
        <v>796106.69436599046</v>
      </c>
      <c r="E1167">
        <v>1.6644150017306569E-5</v>
      </c>
      <c r="F1167">
        <v>1.6620320805582792E-5</v>
      </c>
      <c r="G1167">
        <v>2.3829211723776808E-8</v>
      </c>
      <c r="H1167" t="b">
        <v>0</v>
      </c>
    </row>
    <row r="1168" spans="1:8" x14ac:dyDescent="0.15">
      <c r="A1168">
        <v>49</v>
      </c>
      <c r="B1168">
        <v>24</v>
      </c>
      <c r="C1168">
        <v>834451.07421875</v>
      </c>
      <c r="D1168">
        <v>824435.62209461909</v>
      </c>
      <c r="E1168">
        <v>1.6644995019114E-5</v>
      </c>
      <c r="F1168">
        <v>1.6620320805582792E-5</v>
      </c>
      <c r="G1168">
        <v>2.4674213531207718E-8</v>
      </c>
      <c r="H1168" t="b">
        <v>0</v>
      </c>
    </row>
    <row r="1169" spans="1:8" x14ac:dyDescent="0.15">
      <c r="A1169">
        <v>49</v>
      </c>
      <c r="B1169">
        <v>25</v>
      </c>
      <c r="C1169">
        <v>834453.88671875</v>
      </c>
      <c r="D1169">
        <v>858624.91209147999</v>
      </c>
      <c r="E1169">
        <v>1.6646014557660774E-5</v>
      </c>
      <c r="F1169">
        <v>1.6620320805582792E-5</v>
      </c>
      <c r="G1169">
        <v>2.5693752077981895E-8</v>
      </c>
      <c r="H1169" t="b">
        <v>0</v>
      </c>
    </row>
    <row r="1170" spans="1:8" x14ac:dyDescent="0.15">
      <c r="A1170">
        <v>49</v>
      </c>
      <c r="B1170">
        <v>26</v>
      </c>
      <c r="C1170">
        <v>834452.48046875</v>
      </c>
      <c r="D1170">
        <v>841570.58637707972</v>
      </c>
      <c r="E1170">
        <v>1.6645506027282347E-5</v>
      </c>
      <c r="F1170">
        <v>1.6620320805582792E-5</v>
      </c>
      <c r="G1170">
        <v>2.5185221699554192E-8</v>
      </c>
      <c r="H1170" t="b">
        <v>0</v>
      </c>
    </row>
    <row r="1171" spans="1:8" x14ac:dyDescent="0.15">
      <c r="A1171">
        <v>50</v>
      </c>
      <c r="B1171">
        <v>1</v>
      </c>
      <c r="C1171">
        <v>6050000</v>
      </c>
      <c r="D1171">
        <v>3.5774355486464886E+18</v>
      </c>
      <c r="E1171">
        <v>523.52564417738915</v>
      </c>
      <c r="F1171">
        <v>1.1661302892207459E-5</v>
      </c>
      <c r="G1171">
        <v>523.52563251608626</v>
      </c>
      <c r="H1171" t="b">
        <v>0</v>
      </c>
    </row>
    <row r="1172" spans="1:8" x14ac:dyDescent="0.15">
      <c r="A1172">
        <v>50</v>
      </c>
      <c r="B1172">
        <v>2</v>
      </c>
      <c r="C1172">
        <v>3075000</v>
      </c>
      <c r="D1172">
        <v>1.0024030619659656E+17</v>
      </c>
      <c r="E1172">
        <v>22.677974497414947</v>
      </c>
      <c r="F1172">
        <v>1.1661302913523741E-5</v>
      </c>
      <c r="G1172">
        <v>22.677962836112034</v>
      </c>
      <c r="H1172" t="b">
        <v>0</v>
      </c>
    </row>
    <row r="1173" spans="1:8" x14ac:dyDescent="0.15">
      <c r="A1173">
        <v>50</v>
      </c>
      <c r="B1173">
        <v>3</v>
      </c>
      <c r="C1173">
        <v>1587500</v>
      </c>
      <c r="D1173">
        <v>87843671702208.172</v>
      </c>
      <c r="E1173">
        <v>5.7247382321693491E-2</v>
      </c>
      <c r="F1173">
        <v>1.1661302913558436E-5</v>
      </c>
      <c r="G1173">
        <v>5.7235721018779932E-2</v>
      </c>
      <c r="H1173" t="b">
        <v>0</v>
      </c>
    </row>
    <row r="1174" spans="1:8" x14ac:dyDescent="0.15">
      <c r="A1174">
        <v>50</v>
      </c>
      <c r="B1174">
        <v>4</v>
      </c>
      <c r="C1174">
        <v>843750</v>
      </c>
      <c r="D1174">
        <v>-2538813.5140463845</v>
      </c>
      <c r="E1174">
        <v>4.7203412868865441E-6</v>
      </c>
      <c r="F1174">
        <v>1.1661302913555442E-5</v>
      </c>
      <c r="G1174">
        <v>-6.9409616266688982E-6</v>
      </c>
      <c r="H1174" t="b">
        <v>1</v>
      </c>
    </row>
    <row r="1175" spans="1:8" x14ac:dyDescent="0.15">
      <c r="A1175">
        <v>50</v>
      </c>
      <c r="B1175">
        <v>5</v>
      </c>
      <c r="C1175">
        <v>1215625</v>
      </c>
      <c r="D1175">
        <v>782942591543.25244</v>
      </c>
      <c r="E1175">
        <v>1.3028673828647658E-3</v>
      </c>
      <c r="F1175">
        <v>1.16613029135554E-5</v>
      </c>
      <c r="G1175">
        <v>1.2912060799512104E-3</v>
      </c>
      <c r="H1175" t="b">
        <v>0</v>
      </c>
    </row>
    <row r="1176" spans="1:8" x14ac:dyDescent="0.15">
      <c r="A1176">
        <v>50</v>
      </c>
      <c r="B1176">
        <v>6</v>
      </c>
      <c r="C1176">
        <v>1029687.5</v>
      </c>
      <c r="D1176">
        <v>13087166653.843372</v>
      </c>
      <c r="E1176">
        <v>7.0547310564059103E-5</v>
      </c>
      <c r="F1176">
        <v>1.1661302913555441E-5</v>
      </c>
      <c r="G1176">
        <v>5.8886007650503662E-5</v>
      </c>
      <c r="H1176" t="b">
        <v>0</v>
      </c>
    </row>
    <row r="1177" spans="1:8" x14ac:dyDescent="0.15">
      <c r="A1177">
        <v>50</v>
      </c>
      <c r="B1177">
        <v>7</v>
      </c>
      <c r="C1177">
        <v>936718.75</v>
      </c>
      <c r="D1177">
        <v>18903411.78879543</v>
      </c>
      <c r="E1177">
        <v>1.2062783510330762E-5</v>
      </c>
      <c r="F1177">
        <v>1.1661302913555442E-5</v>
      </c>
      <c r="G1177">
        <v>4.0148059677531955E-7</v>
      </c>
      <c r="H1177" t="b">
        <v>0</v>
      </c>
    </row>
    <row r="1178" spans="1:8" x14ac:dyDescent="0.15">
      <c r="A1178">
        <v>50</v>
      </c>
      <c r="B1178">
        <v>8</v>
      </c>
      <c r="C1178">
        <v>890234.375</v>
      </c>
      <c r="D1178">
        <v>-23550158.271217458</v>
      </c>
      <c r="E1178">
        <v>7.4147812519868734E-6</v>
      </c>
      <c r="F1178">
        <v>1.1661302913555442E-5</v>
      </c>
      <c r="G1178">
        <v>-4.2465216615685688E-6</v>
      </c>
      <c r="H1178" t="b">
        <v>1</v>
      </c>
    </row>
    <row r="1179" spans="1:8" x14ac:dyDescent="0.15">
      <c r="A1179">
        <v>50</v>
      </c>
      <c r="B1179">
        <v>9</v>
      </c>
      <c r="C1179">
        <v>913476.5625</v>
      </c>
      <c r="D1179">
        <v>-48917551.718989529</v>
      </c>
      <c r="E1179">
        <v>9.4044591871376867E-6</v>
      </c>
      <c r="F1179">
        <v>1.1661302913555442E-5</v>
      </c>
      <c r="G1179">
        <v>-2.2568437264177555E-6</v>
      </c>
      <c r="H1179" t="b">
        <v>1</v>
      </c>
    </row>
    <row r="1180" spans="1:8" x14ac:dyDescent="0.15">
      <c r="A1180">
        <v>50</v>
      </c>
      <c r="B1180">
        <v>10</v>
      </c>
      <c r="C1180">
        <v>925097.65625</v>
      </c>
      <c r="D1180">
        <v>-33653572.586149462</v>
      </c>
      <c r="E1180">
        <v>1.0661823172552605E-5</v>
      </c>
      <c r="F1180">
        <v>1.1661302913555442E-5</v>
      </c>
      <c r="G1180">
        <v>-9.9947974100283715E-7</v>
      </c>
      <c r="H1180" t="b">
        <v>1</v>
      </c>
    </row>
    <row r="1181" spans="1:8" x14ac:dyDescent="0.15">
      <c r="A1181">
        <v>50</v>
      </c>
      <c r="B1181">
        <v>11</v>
      </c>
      <c r="C1181">
        <v>930908.203125</v>
      </c>
      <c r="D1181">
        <v>-12776666.051443849</v>
      </c>
      <c r="E1181">
        <v>1.1343629957927331E-5</v>
      </c>
      <c r="F1181">
        <v>1.1661302913555442E-5</v>
      </c>
      <c r="G1181">
        <v>-3.1767295562811113E-7</v>
      </c>
      <c r="H1181" t="b">
        <v>1</v>
      </c>
    </row>
    <row r="1182" spans="1:8" x14ac:dyDescent="0.15">
      <c r="A1182">
        <v>50</v>
      </c>
      <c r="B1182">
        <v>12</v>
      </c>
      <c r="C1182">
        <v>933813.4765625</v>
      </c>
      <c r="D1182">
        <v>1620004.1585084712</v>
      </c>
      <c r="E1182">
        <v>1.1698446821970452E-5</v>
      </c>
      <c r="F1182">
        <v>1.1661302913555442E-5</v>
      </c>
      <c r="G1182">
        <v>3.7143908415010213E-8</v>
      </c>
      <c r="H1182" t="b">
        <v>0</v>
      </c>
    </row>
    <row r="1183" spans="1:8" x14ac:dyDescent="0.15">
      <c r="A1183">
        <v>50</v>
      </c>
      <c r="B1183">
        <v>13</v>
      </c>
      <c r="C1183">
        <v>932360.83984375</v>
      </c>
      <c r="D1183">
        <v>-5927508.5654954119</v>
      </c>
      <c r="E1183">
        <v>1.1519859497321276E-5</v>
      </c>
      <c r="F1183">
        <v>1.1661302913555442E-5</v>
      </c>
      <c r="G1183">
        <v>-1.4144341623416647E-7</v>
      </c>
      <c r="H1183" t="b">
        <v>1</v>
      </c>
    </row>
    <row r="1184" spans="1:8" x14ac:dyDescent="0.15">
      <c r="A1184">
        <v>50</v>
      </c>
      <c r="B1184">
        <v>14</v>
      </c>
      <c r="C1184">
        <v>932860.83984375</v>
      </c>
      <c r="D1184">
        <v>-3409612.1122402418</v>
      </c>
      <c r="E1184">
        <v>1.1581062925228186E-5</v>
      </c>
      <c r="F1184">
        <v>1.1661302913555442E-5</v>
      </c>
      <c r="G1184">
        <v>-8.0239988327256571E-8</v>
      </c>
      <c r="H1184" t="b">
        <v>1</v>
      </c>
    </row>
    <row r="1185" spans="1:8" x14ac:dyDescent="0.15">
      <c r="A1185">
        <v>50</v>
      </c>
      <c r="B1185">
        <v>15</v>
      </c>
      <c r="C1185">
        <v>933360.83984375</v>
      </c>
      <c r="D1185">
        <v>-808103.97732049797</v>
      </c>
      <c r="E1185">
        <v>1.1642544839525331E-5</v>
      </c>
      <c r="F1185">
        <v>1.1661302913555442E-5</v>
      </c>
      <c r="G1185">
        <v>-1.875807403011106E-8</v>
      </c>
      <c r="H1185" t="b">
        <v>1</v>
      </c>
    </row>
    <row r="1186" spans="1:8" x14ac:dyDescent="0.15">
      <c r="A1186">
        <v>50</v>
      </c>
      <c r="B1186">
        <v>16</v>
      </c>
      <c r="C1186">
        <v>933860.83984375</v>
      </c>
      <c r="D1186">
        <v>1878073.9975739813</v>
      </c>
      <c r="E1186">
        <v>1.1704308733328802E-5</v>
      </c>
      <c r="F1186">
        <v>1.1661302913555442E-5</v>
      </c>
      <c r="G1186">
        <v>4.300581977336002E-8</v>
      </c>
      <c r="H1186" t="b">
        <v>0</v>
      </c>
    </row>
    <row r="1187" spans="1:8" x14ac:dyDescent="0.15">
      <c r="A1187">
        <v>50</v>
      </c>
      <c r="B1187">
        <v>17</v>
      </c>
      <c r="C1187">
        <v>933610.83984375</v>
      </c>
      <c r="D1187">
        <v>524383.03064311494</v>
      </c>
      <c r="E1187">
        <v>1.1673392433936404E-5</v>
      </c>
      <c r="F1187">
        <v>1.1661302913555442E-5</v>
      </c>
      <c r="G1187">
        <v>1.2089520380961912E-8</v>
      </c>
      <c r="H1187" t="b">
        <v>0</v>
      </c>
    </row>
    <row r="1188" spans="1:8" x14ac:dyDescent="0.15">
      <c r="A1188">
        <v>50</v>
      </c>
      <c r="B1188">
        <v>18</v>
      </c>
      <c r="C1188">
        <v>933735.83984375</v>
      </c>
      <c r="D1188">
        <v>1198580.0890058118</v>
      </c>
      <c r="E1188">
        <v>1.1688842201261177E-5</v>
      </c>
      <c r="F1188">
        <v>1.1661302913555442E-5</v>
      </c>
      <c r="G1188">
        <v>2.7539287705734354E-8</v>
      </c>
      <c r="H1188" t="b">
        <v>0</v>
      </c>
    </row>
    <row r="1189" spans="1:8" x14ac:dyDescent="0.15">
      <c r="A1189">
        <v>50</v>
      </c>
      <c r="B1189">
        <v>19</v>
      </c>
      <c r="C1189">
        <v>933673.33984375</v>
      </c>
      <c r="D1189">
        <v>860778.69222128508</v>
      </c>
      <c r="E1189">
        <v>1.1681114268579351E-5</v>
      </c>
      <c r="F1189">
        <v>1.1661302913555442E-5</v>
      </c>
      <c r="G1189">
        <v>1.981135502390836E-8</v>
      </c>
      <c r="H1189" t="b">
        <v>0</v>
      </c>
    </row>
    <row r="1190" spans="1:8" x14ac:dyDescent="0.15">
      <c r="A1190">
        <v>50</v>
      </c>
      <c r="B1190">
        <v>20</v>
      </c>
      <c r="C1190">
        <v>933704.58984375</v>
      </c>
      <c r="D1190">
        <v>1029494.2283700597</v>
      </c>
      <c r="E1190">
        <v>1.1684977260204211E-5</v>
      </c>
      <c r="F1190">
        <v>1.1661302913555442E-5</v>
      </c>
      <c r="G1190">
        <v>2.3674346648768993E-8</v>
      </c>
      <c r="H1190" t="b">
        <v>0</v>
      </c>
    </row>
    <row r="1191" spans="1:8" x14ac:dyDescent="0.15">
      <c r="A1191">
        <v>50</v>
      </c>
      <c r="B1191">
        <v>21</v>
      </c>
      <c r="C1191">
        <v>933688.96484375</v>
      </c>
      <c r="D1191">
        <v>945094.82961198466</v>
      </c>
      <c r="E1191">
        <v>1.1683045626819898E-5</v>
      </c>
      <c r="F1191">
        <v>1.1661302913555442E-5</v>
      </c>
      <c r="G1191">
        <v>2.1742713264455944E-8</v>
      </c>
      <c r="H1191" t="b">
        <v>0</v>
      </c>
    </row>
    <row r="1192" spans="1:8" x14ac:dyDescent="0.15">
      <c r="A1192">
        <v>50</v>
      </c>
      <c r="B1192">
        <v>22</v>
      </c>
      <c r="C1192">
        <v>933670.21484375</v>
      </c>
      <c r="D1192">
        <v>843962.45515111403</v>
      </c>
      <c r="E1192">
        <v>1.1680728878011722E-5</v>
      </c>
      <c r="F1192">
        <v>1.1661302913555442E-5</v>
      </c>
      <c r="G1192">
        <v>1.9425964456279635E-8</v>
      </c>
      <c r="H1192" t="b">
        <v>0</v>
      </c>
    </row>
    <row r="1193" spans="1:8" x14ac:dyDescent="0.15">
      <c r="A1193">
        <v>50</v>
      </c>
      <c r="B1193">
        <v>23</v>
      </c>
      <c r="C1193">
        <v>933679.58984375</v>
      </c>
      <c r="D1193">
        <v>894532.18224998517</v>
      </c>
      <c r="E1193">
        <v>1.1681887627022184E-5</v>
      </c>
      <c r="F1193">
        <v>1.1661302913555442E-5</v>
      </c>
      <c r="G1193">
        <v>2.058471346674161E-8</v>
      </c>
      <c r="H1193" t="b">
        <v>0</v>
      </c>
    </row>
    <row r="1194" spans="1:8" x14ac:dyDescent="0.15">
      <c r="A1194">
        <v>50</v>
      </c>
      <c r="B1194">
        <v>24</v>
      </c>
      <c r="C1194">
        <v>933690.83984375</v>
      </c>
      <c r="D1194">
        <v>955218.36070492142</v>
      </c>
      <c r="E1194">
        <v>1.168327740829822E-5</v>
      </c>
      <c r="F1194">
        <v>1.1661302913555442E-5</v>
      </c>
      <c r="G1194">
        <v>2.1974494742777565E-8</v>
      </c>
      <c r="H1194" t="b">
        <v>0</v>
      </c>
    </row>
    <row r="1195" spans="1:8" x14ac:dyDescent="0.15">
      <c r="A1195">
        <v>50</v>
      </c>
      <c r="B1195">
        <v>25</v>
      </c>
      <c r="C1195">
        <v>933685.21484375</v>
      </c>
      <c r="D1195">
        <v>924851.36430743453</v>
      </c>
      <c r="E1195">
        <v>1.1682582075750344E-5</v>
      </c>
      <c r="F1195">
        <v>1.1661302913555442E-5</v>
      </c>
      <c r="G1195">
        <v>2.1279162194901984E-8</v>
      </c>
      <c r="H1195" t="b">
        <v>0</v>
      </c>
    </row>
    <row r="1196" spans="1:8" x14ac:dyDescent="0.15">
      <c r="A1196">
        <v>51</v>
      </c>
      <c r="B1196">
        <v>1</v>
      </c>
      <c r="C1196">
        <v>6050000</v>
      </c>
      <c r="D1196">
        <v>1.9366908264499492E+18</v>
      </c>
      <c r="E1196">
        <v>199.07847236055238</v>
      </c>
      <c r="F1196">
        <v>8.5960371052351547E-6</v>
      </c>
      <c r="G1196">
        <v>199.07846376451528</v>
      </c>
      <c r="H1196" t="b">
        <v>0</v>
      </c>
    </row>
    <row r="1197" spans="1:8" x14ac:dyDescent="0.15">
      <c r="A1197">
        <v>51</v>
      </c>
      <c r="B1197">
        <v>2</v>
      </c>
      <c r="C1197">
        <v>3075000</v>
      </c>
      <c r="D1197">
        <v>2.7872492590314168E+16</v>
      </c>
      <c r="E1197">
        <v>4.9240362290359201</v>
      </c>
      <c r="F1197">
        <v>8.5960371150051174E-6</v>
      </c>
      <c r="G1197">
        <v>4.9240276329988051</v>
      </c>
      <c r="H1197" t="b">
        <v>0</v>
      </c>
    </row>
    <row r="1198" spans="1:8" x14ac:dyDescent="0.15">
      <c r="A1198">
        <v>51</v>
      </c>
      <c r="B1198">
        <v>3</v>
      </c>
      <c r="C1198">
        <v>1587500</v>
      </c>
      <c r="D1198">
        <v>5868886075956.7813</v>
      </c>
      <c r="E1198">
        <v>4.2729642216308983E-3</v>
      </c>
      <c r="F1198">
        <v>8.5960371149617493E-6</v>
      </c>
      <c r="G1198">
        <v>4.2643681845159365E-3</v>
      </c>
      <c r="H1198" t="b">
        <v>0</v>
      </c>
    </row>
    <row r="1199" spans="1:8" x14ac:dyDescent="0.15">
      <c r="A1199">
        <v>51</v>
      </c>
      <c r="B1199">
        <v>4</v>
      </c>
      <c r="C1199">
        <v>843750</v>
      </c>
      <c r="D1199">
        <v>-309008.09219073021</v>
      </c>
      <c r="E1199">
        <v>8.9910920211676119E-7</v>
      </c>
      <c r="F1199">
        <v>8.5960371149621762E-6</v>
      </c>
      <c r="G1199">
        <v>-7.6969279128454147E-6</v>
      </c>
      <c r="H1199" t="b">
        <v>1</v>
      </c>
    </row>
    <row r="1200" spans="1:8" x14ac:dyDescent="0.15">
      <c r="A1200">
        <v>51</v>
      </c>
      <c r="B1200">
        <v>5</v>
      </c>
      <c r="C1200">
        <v>1215625</v>
      </c>
      <c r="D1200">
        <v>13125813501.382393</v>
      </c>
      <c r="E1200">
        <v>4.9500201115699653E-5</v>
      </c>
      <c r="F1200">
        <v>8.5960371149621762E-6</v>
      </c>
      <c r="G1200">
        <v>4.0904164000737476E-5</v>
      </c>
      <c r="H1200" t="b">
        <v>0</v>
      </c>
    </row>
    <row r="1201" spans="1:8" x14ac:dyDescent="0.15">
      <c r="A1201">
        <v>51</v>
      </c>
      <c r="B1201">
        <v>6</v>
      </c>
      <c r="C1201">
        <v>1029687.5</v>
      </c>
      <c r="D1201">
        <v>-15743698.655151714</v>
      </c>
      <c r="E1201">
        <v>5.21031621595923E-6</v>
      </c>
      <c r="F1201">
        <v>8.5960371149621762E-6</v>
      </c>
      <c r="G1201">
        <v>-3.3857208990029461E-6</v>
      </c>
      <c r="H1201" t="b">
        <v>1</v>
      </c>
    </row>
    <row r="1202" spans="1:8" x14ac:dyDescent="0.15">
      <c r="A1202">
        <v>51</v>
      </c>
      <c r="B1202">
        <v>7</v>
      </c>
      <c r="C1202">
        <v>1122656.25</v>
      </c>
      <c r="D1202">
        <v>217915291.97202966</v>
      </c>
      <c r="E1202">
        <v>1.0908891080919728E-5</v>
      </c>
      <c r="F1202">
        <v>8.5960371149621762E-6</v>
      </c>
      <c r="G1202">
        <v>2.3128539659575514E-6</v>
      </c>
      <c r="H1202" t="b">
        <v>0</v>
      </c>
    </row>
    <row r="1203" spans="1:8" x14ac:dyDescent="0.15">
      <c r="A1203">
        <v>51</v>
      </c>
      <c r="B1203">
        <v>8</v>
      </c>
      <c r="C1203">
        <v>1076171.875</v>
      </c>
      <c r="D1203">
        <v>-37749574.136324093</v>
      </c>
      <c r="E1203">
        <v>7.5405691486347069E-6</v>
      </c>
      <c r="F1203">
        <v>8.5960371149621762E-6</v>
      </c>
      <c r="G1203">
        <v>-1.0554679663274692E-6</v>
      </c>
      <c r="H1203" t="b">
        <v>1</v>
      </c>
    </row>
    <row r="1204" spans="1:8" x14ac:dyDescent="0.15">
      <c r="A1204">
        <v>51</v>
      </c>
      <c r="B1204">
        <v>9</v>
      </c>
      <c r="C1204">
        <v>1099414.0625</v>
      </c>
      <c r="D1204">
        <v>26572672.164886363</v>
      </c>
      <c r="E1204">
        <v>9.0265722621537641E-6</v>
      </c>
      <c r="F1204">
        <v>8.5960371149621762E-6</v>
      </c>
      <c r="G1204">
        <v>4.3053514719158791E-7</v>
      </c>
      <c r="H1204" t="b">
        <v>0</v>
      </c>
    </row>
    <row r="1205" spans="1:8" x14ac:dyDescent="0.15">
      <c r="A1205">
        <v>51</v>
      </c>
      <c r="B1205">
        <v>10</v>
      </c>
      <c r="C1205">
        <v>1087792.96875</v>
      </c>
      <c r="D1205">
        <v>-16537559.117062509</v>
      </c>
      <c r="E1205">
        <v>8.2525409942522867E-6</v>
      </c>
      <c r="F1205">
        <v>8.5960371149621762E-6</v>
      </c>
      <c r="G1205">
        <v>-3.434961207098895E-7</v>
      </c>
      <c r="H1205" t="b">
        <v>1</v>
      </c>
    </row>
    <row r="1206" spans="1:8" x14ac:dyDescent="0.15">
      <c r="A1206">
        <v>51</v>
      </c>
      <c r="B1206">
        <v>11</v>
      </c>
      <c r="C1206">
        <v>1093603.515625</v>
      </c>
      <c r="D1206">
        <v>1944262.8070798304</v>
      </c>
      <c r="E1206">
        <v>8.6315220226704815E-6</v>
      </c>
      <c r="F1206">
        <v>8.5960371149621762E-6</v>
      </c>
      <c r="G1206">
        <v>3.5484907708305372E-8</v>
      </c>
      <c r="H1206" t="b">
        <v>0</v>
      </c>
    </row>
    <row r="1207" spans="1:8" x14ac:dyDescent="0.15">
      <c r="A1207">
        <v>51</v>
      </c>
      <c r="B1207">
        <v>12</v>
      </c>
      <c r="C1207">
        <v>1090698.2421875</v>
      </c>
      <c r="D1207">
        <v>-8022268.4038810097</v>
      </c>
      <c r="E1207">
        <v>8.4400584083824182E-6</v>
      </c>
      <c r="F1207">
        <v>8.5960371149621762E-6</v>
      </c>
      <c r="G1207">
        <v>-1.5597870657975796E-7</v>
      </c>
      <c r="H1207" t="b">
        <v>1</v>
      </c>
    </row>
    <row r="1208" spans="1:8" x14ac:dyDescent="0.15">
      <c r="A1208">
        <v>51</v>
      </c>
      <c r="B1208">
        <v>13</v>
      </c>
      <c r="C1208">
        <v>1092150.87890625</v>
      </c>
      <c r="D1208">
        <v>-3225697.7813030565</v>
      </c>
      <c r="E1208">
        <v>8.5352924897007643E-6</v>
      </c>
      <c r="F1208">
        <v>8.5960371149621762E-6</v>
      </c>
      <c r="G1208">
        <v>-6.0744625261411833E-8</v>
      </c>
      <c r="H1208" t="b">
        <v>1</v>
      </c>
    </row>
    <row r="1209" spans="1:8" x14ac:dyDescent="0.15">
      <c r="A1209">
        <v>51</v>
      </c>
      <c r="B1209">
        <v>14</v>
      </c>
      <c r="C1209">
        <v>1092650.87890625</v>
      </c>
      <c r="D1209">
        <v>-1488868.8031914546</v>
      </c>
      <c r="E1209">
        <v>8.5683020582142665E-6</v>
      </c>
      <c r="F1209">
        <v>8.5960371149621762E-6</v>
      </c>
      <c r="G1209">
        <v>-2.7735056747909626E-8</v>
      </c>
      <c r="H1209" t="b">
        <v>1</v>
      </c>
    </row>
    <row r="1210" spans="1:8" x14ac:dyDescent="0.15">
      <c r="A1210">
        <v>51</v>
      </c>
      <c r="B1210">
        <v>15</v>
      </c>
      <c r="C1210">
        <v>1093150.87890625</v>
      </c>
      <c r="D1210">
        <v>292598.16069097898</v>
      </c>
      <c r="E1210">
        <v>8.6014293206586757E-6</v>
      </c>
      <c r="F1210">
        <v>8.5960371149621762E-6</v>
      </c>
      <c r="G1210">
        <v>5.392205696499498E-9</v>
      </c>
      <c r="H1210" t="b">
        <v>0</v>
      </c>
    </row>
    <row r="1211" spans="1:8" x14ac:dyDescent="0.15">
      <c r="A1211">
        <v>51</v>
      </c>
      <c r="B1211">
        <v>16</v>
      </c>
      <c r="C1211">
        <v>1093750.87890625</v>
      </c>
      <c r="D1211">
        <v>2490008.7777740089</v>
      </c>
      <c r="E1211">
        <v>8.6413400206882741E-6</v>
      </c>
      <c r="F1211">
        <v>8.5960371149621762E-6</v>
      </c>
      <c r="G1211">
        <v>4.5302905726097889E-8</v>
      </c>
      <c r="H1211" t="b">
        <v>0</v>
      </c>
    </row>
    <row r="1212" spans="1:8" x14ac:dyDescent="0.15">
      <c r="A1212">
        <v>51</v>
      </c>
      <c r="B1212">
        <v>17</v>
      </c>
      <c r="C1212">
        <v>1093450.87890625</v>
      </c>
      <c r="D1212">
        <v>1383120.9562407974</v>
      </c>
      <c r="E1212">
        <v>8.6213629800399623E-6</v>
      </c>
      <c r="F1212">
        <v>8.5960371149621762E-6</v>
      </c>
      <c r="G1212">
        <v>2.5325865077786117E-8</v>
      </c>
      <c r="H1212" t="b">
        <v>0</v>
      </c>
    </row>
    <row r="1213" spans="1:8" x14ac:dyDescent="0.15">
      <c r="A1213">
        <v>51</v>
      </c>
      <c r="B1213">
        <v>18</v>
      </c>
      <c r="C1213">
        <v>1093090.87890625</v>
      </c>
      <c r="D1213">
        <v>76445.321318267204</v>
      </c>
      <c r="E1213">
        <v>8.5974477197324083E-6</v>
      </c>
      <c r="F1213">
        <v>8.5960371149621762E-6</v>
      </c>
      <c r="G1213">
        <v>1.4106047702320775E-9</v>
      </c>
      <c r="H1213" t="b">
        <v>0</v>
      </c>
    </row>
    <row r="1214" spans="1:8" x14ac:dyDescent="0.15">
      <c r="A1214">
        <v>51</v>
      </c>
      <c r="B1214">
        <v>19</v>
      </c>
      <c r="C1214">
        <v>1093270.87890625</v>
      </c>
      <c r="D1214">
        <v>726886.73295167275</v>
      </c>
      <c r="E1214">
        <v>8.6093982635272088E-6</v>
      </c>
      <c r="F1214">
        <v>8.5960371149621762E-6</v>
      </c>
      <c r="G1214">
        <v>1.3361148565032641E-8</v>
      </c>
      <c r="H1214" t="b">
        <v>0</v>
      </c>
    </row>
    <row r="1215" spans="1:8" x14ac:dyDescent="0.15">
      <c r="A1215">
        <v>51</v>
      </c>
      <c r="B1215">
        <v>20</v>
      </c>
      <c r="C1215">
        <v>1093486.87890625</v>
      </c>
      <c r="D1215">
        <v>1515079.260601046</v>
      </c>
      <c r="E1215">
        <v>8.6237578915318462E-6</v>
      </c>
      <c r="F1215">
        <v>8.5960371149621762E-6</v>
      </c>
      <c r="G1215">
        <v>2.7720776569670045E-8</v>
      </c>
      <c r="H1215" t="b">
        <v>0</v>
      </c>
    </row>
    <row r="1216" spans="1:8" x14ac:dyDescent="0.15">
      <c r="A1216">
        <v>51</v>
      </c>
      <c r="B1216">
        <v>21</v>
      </c>
      <c r="C1216">
        <v>1093378.87890625</v>
      </c>
      <c r="D1216">
        <v>1119942.7144923834</v>
      </c>
      <c r="E1216">
        <v>8.616575606407868E-6</v>
      </c>
      <c r="F1216">
        <v>8.5960371149621762E-6</v>
      </c>
      <c r="G1216">
        <v>2.0538491445691825E-8</v>
      </c>
      <c r="H1216" t="b">
        <v>0</v>
      </c>
    </row>
    <row r="1217" spans="1:8" x14ac:dyDescent="0.15">
      <c r="A1217">
        <v>51</v>
      </c>
      <c r="B1217">
        <v>22</v>
      </c>
      <c r="C1217">
        <v>1093249.2789062499</v>
      </c>
      <c r="D1217">
        <v>648496.03982767405</v>
      </c>
      <c r="E1217">
        <v>8.6079628597776191E-6</v>
      </c>
      <c r="F1217">
        <v>8.5960371149621762E-6</v>
      </c>
      <c r="G1217">
        <v>1.1925744815442901E-8</v>
      </c>
      <c r="H1217" t="b">
        <v>0</v>
      </c>
    </row>
    <row r="1218" spans="1:8" x14ac:dyDescent="0.15">
      <c r="A1218">
        <v>51</v>
      </c>
      <c r="B1218">
        <v>23</v>
      </c>
      <c r="C1218">
        <v>1093314.07890625</v>
      </c>
      <c r="D1218">
        <v>883855.75978589826</v>
      </c>
      <c r="E1218">
        <v>8.6122685356765968E-6</v>
      </c>
      <c r="F1218">
        <v>8.5960371149621762E-6</v>
      </c>
      <c r="G1218">
        <v>1.6231420714420618E-8</v>
      </c>
      <c r="H1218" t="b">
        <v>0</v>
      </c>
    </row>
    <row r="1219" spans="1:8" x14ac:dyDescent="0.15">
      <c r="A1219">
        <v>51</v>
      </c>
      <c r="B1219">
        <v>24</v>
      </c>
      <c r="C1219">
        <v>1093391.83890625</v>
      </c>
      <c r="D1219">
        <v>1167251.3880209553</v>
      </c>
      <c r="E1219">
        <v>8.6174372600141572E-6</v>
      </c>
      <c r="F1219">
        <v>8.5960371149621762E-6</v>
      </c>
      <c r="G1219">
        <v>2.1400145051981052E-8</v>
      </c>
      <c r="H1219" t="b">
        <v>0</v>
      </c>
    </row>
    <row r="1220" spans="1:8" x14ac:dyDescent="0.15">
      <c r="A1220">
        <v>51</v>
      </c>
      <c r="B1220">
        <v>25</v>
      </c>
      <c r="C1220">
        <v>1093352.9589062501</v>
      </c>
      <c r="D1220">
        <v>1025416.672837634</v>
      </c>
      <c r="E1220">
        <v>8.6148525386746836E-6</v>
      </c>
      <c r="F1220">
        <v>8.5960371149621762E-6</v>
      </c>
      <c r="G1220">
        <v>1.8815423712507465E-8</v>
      </c>
      <c r="H1220" t="b">
        <v>0</v>
      </c>
    </row>
    <row r="1221" spans="1:8" x14ac:dyDescent="0.15">
      <c r="A1221">
        <v>51</v>
      </c>
      <c r="B1221">
        <v>26</v>
      </c>
      <c r="C1221">
        <v>1093372.39890625</v>
      </c>
      <c r="D1221">
        <v>1096299.7923444812</v>
      </c>
      <c r="E1221">
        <v>8.6161448095411319E-6</v>
      </c>
      <c r="F1221">
        <v>8.5960371149621762E-6</v>
      </c>
      <c r="G1221">
        <v>2.0107694578955687E-8</v>
      </c>
      <c r="H1221" t="b">
        <v>0</v>
      </c>
    </row>
    <row r="1222" spans="1:8" x14ac:dyDescent="0.15">
      <c r="A1222">
        <v>52</v>
      </c>
      <c r="B1222">
        <v>1</v>
      </c>
      <c r="C1222">
        <v>6050000</v>
      </c>
      <c r="D1222">
        <v>1.2838823453908214E+18</v>
      </c>
      <c r="E1222">
        <v>536.87092200000006</v>
      </c>
      <c r="F1222">
        <v>2.5998049750342034E-5</v>
      </c>
      <c r="G1222">
        <v>536.87089600195031</v>
      </c>
      <c r="H1222" t="b">
        <v>0</v>
      </c>
    </row>
    <row r="1223" spans="1:8" x14ac:dyDescent="0.15">
      <c r="A1223">
        <v>52</v>
      </c>
      <c r="B1223">
        <v>2</v>
      </c>
      <c r="C1223">
        <v>3075000</v>
      </c>
      <c r="D1223">
        <v>1.2838823453908214E+18</v>
      </c>
      <c r="E1223">
        <v>536.87092200000006</v>
      </c>
      <c r="F1223">
        <v>2.5998049750342034E-5</v>
      </c>
      <c r="G1223">
        <v>536.87089600195031</v>
      </c>
      <c r="H1223" t="b">
        <v>0</v>
      </c>
    </row>
    <row r="1224" spans="1:8" x14ac:dyDescent="0.15">
      <c r="A1224">
        <v>52</v>
      </c>
      <c r="B1224">
        <v>3</v>
      </c>
      <c r="C1224">
        <v>1587500</v>
      </c>
      <c r="D1224">
        <v>1.2838823453908214E+18</v>
      </c>
      <c r="E1224">
        <v>536.87092200000006</v>
      </c>
      <c r="F1224">
        <v>2.5998049750342034E-5</v>
      </c>
      <c r="G1224">
        <v>536.87089600195031</v>
      </c>
      <c r="H1224" t="b">
        <v>0</v>
      </c>
    </row>
    <row r="1225" spans="1:8" x14ac:dyDescent="0.15">
      <c r="A1225">
        <v>52</v>
      </c>
      <c r="B1225">
        <v>4</v>
      </c>
      <c r="C1225">
        <v>843750</v>
      </c>
      <c r="D1225">
        <v>512242186050855.13</v>
      </c>
      <c r="E1225">
        <v>0.60636229012421117</v>
      </c>
      <c r="F1225">
        <v>2.5998049742792517E-5</v>
      </c>
      <c r="G1225">
        <v>0.60633629207446837</v>
      </c>
      <c r="H1225" t="b">
        <v>0</v>
      </c>
    </row>
    <row r="1226" spans="1:8" x14ac:dyDescent="0.15">
      <c r="A1226">
        <v>52</v>
      </c>
      <c r="B1226">
        <v>5</v>
      </c>
      <c r="C1226">
        <v>471875</v>
      </c>
      <c r="D1226">
        <v>-923012.01568210556</v>
      </c>
      <c r="E1226">
        <v>8.4778811099145226E-6</v>
      </c>
      <c r="F1226">
        <v>2.5998049742769597E-5</v>
      </c>
      <c r="G1226">
        <v>-1.7520168632855074E-5</v>
      </c>
      <c r="H1226" t="b">
        <v>1</v>
      </c>
    </row>
    <row r="1227" spans="1:8" x14ac:dyDescent="0.15">
      <c r="A1227">
        <v>52</v>
      </c>
      <c r="B1227">
        <v>6</v>
      </c>
      <c r="C1227">
        <v>657812.5</v>
      </c>
      <c r="D1227">
        <v>2377502018068.9473</v>
      </c>
      <c r="E1227">
        <v>7.2311471681609845E-3</v>
      </c>
      <c r="F1227">
        <v>2.5998049742769966E-5</v>
      </c>
      <c r="G1227">
        <v>7.2051491184182146E-3</v>
      </c>
      <c r="H1227" t="b">
        <v>0</v>
      </c>
    </row>
    <row r="1228" spans="1:8" x14ac:dyDescent="0.15">
      <c r="A1228">
        <v>52</v>
      </c>
      <c r="B1228">
        <v>7</v>
      </c>
      <c r="C1228">
        <v>564843.75</v>
      </c>
      <c r="D1228">
        <v>29919288081.356327</v>
      </c>
      <c r="E1228">
        <v>2.6457547812291167E-4</v>
      </c>
      <c r="F1228">
        <v>2.5998049742769586E-5</v>
      </c>
      <c r="G1228">
        <v>2.3857742838014209E-4</v>
      </c>
      <c r="H1228" t="b">
        <v>0</v>
      </c>
    </row>
    <row r="1229" spans="1:8" x14ac:dyDescent="0.15">
      <c r="A1229">
        <v>52</v>
      </c>
      <c r="B1229">
        <v>8</v>
      </c>
      <c r="C1229">
        <v>518359.375</v>
      </c>
      <c r="D1229">
        <v>585969738.65094829</v>
      </c>
      <c r="E1229">
        <v>3.7473537265613114E-5</v>
      </c>
      <c r="F1229">
        <v>2.5998049742769597E-5</v>
      </c>
      <c r="G1229">
        <v>1.1475487522843518E-5</v>
      </c>
      <c r="H1229" t="b">
        <v>0</v>
      </c>
    </row>
    <row r="1230" spans="1:8" x14ac:dyDescent="0.15">
      <c r="A1230">
        <v>52</v>
      </c>
      <c r="B1230">
        <v>9</v>
      </c>
      <c r="C1230">
        <v>495117.1875</v>
      </c>
      <c r="D1230">
        <v>-27595978.550373618</v>
      </c>
      <c r="E1230">
        <v>1.4706549717832858E-5</v>
      </c>
      <c r="F1230">
        <v>2.5998049742769597E-5</v>
      </c>
      <c r="G1230">
        <v>-1.1291500024936738E-5</v>
      </c>
      <c r="H1230" t="b">
        <v>1</v>
      </c>
    </row>
    <row r="1231" spans="1:8" x14ac:dyDescent="0.15">
      <c r="A1231">
        <v>52</v>
      </c>
      <c r="B1231">
        <v>10</v>
      </c>
      <c r="C1231">
        <v>506738.28125</v>
      </c>
      <c r="D1231">
        <v>-88276753.39287369</v>
      </c>
      <c r="E1231">
        <v>2.2201373346396804E-5</v>
      </c>
      <c r="F1231">
        <v>2.5998049742769597E-5</v>
      </c>
      <c r="G1231">
        <v>-3.7966763963727927E-6</v>
      </c>
      <c r="H1231" t="b">
        <v>1</v>
      </c>
    </row>
    <row r="1232" spans="1:8" x14ac:dyDescent="0.15">
      <c r="A1232">
        <v>52</v>
      </c>
      <c r="B1232">
        <v>11</v>
      </c>
      <c r="C1232">
        <v>512548.828125</v>
      </c>
      <c r="D1232">
        <v>118132971.15376744</v>
      </c>
      <c r="E1232">
        <v>2.8901196552543399E-5</v>
      </c>
      <c r="F1232">
        <v>2.5998049742769597E-5</v>
      </c>
      <c r="G1232">
        <v>2.9031468097738028E-6</v>
      </c>
      <c r="H1232" t="b">
        <v>0</v>
      </c>
    </row>
    <row r="1233" spans="1:8" x14ac:dyDescent="0.15">
      <c r="A1233">
        <v>52</v>
      </c>
      <c r="B1233">
        <v>12</v>
      </c>
      <c r="C1233">
        <v>509643.5546875</v>
      </c>
      <c r="D1233">
        <v>-20778040.832898621</v>
      </c>
      <c r="E1233">
        <v>2.5343545952779724E-5</v>
      </c>
      <c r="F1233">
        <v>2.5998049742769597E-5</v>
      </c>
      <c r="G1233">
        <v>-6.5450378998987269E-7</v>
      </c>
      <c r="H1233" t="b">
        <v>1</v>
      </c>
    </row>
    <row r="1234" spans="1:8" x14ac:dyDescent="0.15">
      <c r="A1234">
        <v>52</v>
      </c>
      <c r="B1234">
        <v>13</v>
      </c>
      <c r="C1234">
        <v>511096.19140625</v>
      </c>
      <c r="D1234">
        <v>38672243.661542907</v>
      </c>
      <c r="E1234">
        <v>2.7067369902422386E-5</v>
      </c>
      <c r="F1234">
        <v>2.5998049742769597E-5</v>
      </c>
      <c r="G1234">
        <v>1.0693201596527897E-6</v>
      </c>
      <c r="H1234" t="b">
        <v>0</v>
      </c>
    </row>
    <row r="1235" spans="1:8" x14ac:dyDescent="0.15">
      <c r="A1235">
        <v>52</v>
      </c>
      <c r="B1235">
        <v>14</v>
      </c>
      <c r="C1235">
        <v>509896.19140625</v>
      </c>
      <c r="D1235">
        <v>-11778123.939701444</v>
      </c>
      <c r="E1235">
        <v>2.5635723156533138E-5</v>
      </c>
      <c r="F1235">
        <v>2.5998049742769597E-5</v>
      </c>
      <c r="G1235">
        <v>-3.6232658623645898E-7</v>
      </c>
      <c r="H1235" t="b">
        <v>1</v>
      </c>
    </row>
    <row r="1236" spans="1:8" x14ac:dyDescent="0.15">
      <c r="A1236">
        <v>52</v>
      </c>
      <c r="B1236">
        <v>15</v>
      </c>
      <c r="C1236">
        <v>510496.19140625</v>
      </c>
      <c r="D1236">
        <v>11820018.081213847</v>
      </c>
      <c r="E1236">
        <v>2.6342387322305945E-5</v>
      </c>
      <c r="F1236">
        <v>2.5998049742769597E-5</v>
      </c>
      <c r="G1236">
        <v>3.4433757953634833E-7</v>
      </c>
      <c r="H1236" t="b">
        <v>0</v>
      </c>
    </row>
    <row r="1237" spans="1:8" x14ac:dyDescent="0.15">
      <c r="A1237">
        <v>52</v>
      </c>
      <c r="B1237">
        <v>16</v>
      </c>
      <c r="C1237">
        <v>510196.19140625</v>
      </c>
      <c r="D1237">
        <v>-376255.28837068565</v>
      </c>
      <c r="E1237">
        <v>2.5986789514634128E-5</v>
      </c>
      <c r="F1237">
        <v>2.5998049742769597E-5</v>
      </c>
      <c r="G1237">
        <v>-1.1260228135468033E-8</v>
      </c>
      <c r="H1237" t="b">
        <v>1</v>
      </c>
    </row>
    <row r="1238" spans="1:8" x14ac:dyDescent="0.15">
      <c r="A1238">
        <v>52</v>
      </c>
      <c r="B1238">
        <v>17</v>
      </c>
      <c r="C1238">
        <v>510346.19140625</v>
      </c>
      <c r="D1238">
        <v>5621472.7523890883</v>
      </c>
      <c r="E1238">
        <v>2.6164021252269596E-5</v>
      </c>
      <c r="F1238">
        <v>2.5998049742769597E-5</v>
      </c>
      <c r="G1238">
        <v>1.6597150949999981E-7</v>
      </c>
      <c r="H1238" t="b">
        <v>0</v>
      </c>
    </row>
    <row r="1239" spans="1:8" x14ac:dyDescent="0.15">
      <c r="A1239">
        <v>52</v>
      </c>
      <c r="B1239">
        <v>18</v>
      </c>
      <c r="C1239">
        <v>510271.19140625</v>
      </c>
      <c r="D1239">
        <v>2597574.7184264078</v>
      </c>
      <c r="E1239">
        <v>2.6075261607938278E-5</v>
      </c>
      <c r="F1239">
        <v>2.5998049742769597E-5</v>
      </c>
      <c r="G1239">
        <v>7.7211865168681559E-8</v>
      </c>
      <c r="H1239" t="b">
        <v>0</v>
      </c>
    </row>
    <row r="1240" spans="1:8" x14ac:dyDescent="0.15">
      <c r="A1240">
        <v>52</v>
      </c>
      <c r="B1240">
        <v>19</v>
      </c>
      <c r="C1240">
        <v>510181.19140625</v>
      </c>
      <c r="D1240">
        <v>-965057.15461214795</v>
      </c>
      <c r="E1240">
        <v>2.596912901058133E-5</v>
      </c>
      <c r="F1240">
        <v>2.5998049742769597E-5</v>
      </c>
      <c r="G1240">
        <v>-2.892073218826671E-8</v>
      </c>
      <c r="H1240" t="b">
        <v>1</v>
      </c>
    </row>
    <row r="1241" spans="1:8" x14ac:dyDescent="0.15">
      <c r="A1241">
        <v>52</v>
      </c>
      <c r="B1241">
        <v>20</v>
      </c>
      <c r="C1241">
        <v>510226.19140625</v>
      </c>
      <c r="D1241">
        <v>807299.61549624288</v>
      </c>
      <c r="E1241">
        <v>2.6022144244189495E-5</v>
      </c>
      <c r="F1241">
        <v>2.5998049742769597E-5</v>
      </c>
      <c r="G1241">
        <v>2.4094501419898552E-8</v>
      </c>
      <c r="H1241" t="b">
        <v>0</v>
      </c>
    </row>
    <row r="1242" spans="1:8" x14ac:dyDescent="0.15">
      <c r="A1242">
        <v>52</v>
      </c>
      <c r="B1242">
        <v>21</v>
      </c>
      <c r="C1242">
        <v>510203.69140625</v>
      </c>
      <c r="D1242">
        <v>-81109.986608805935</v>
      </c>
      <c r="E1242">
        <v>2.5995624007987732E-5</v>
      </c>
      <c r="F1242">
        <v>2.5998049742769597E-5</v>
      </c>
      <c r="G1242">
        <v>-2.4257347818644947E-9</v>
      </c>
      <c r="H1242" t="b">
        <v>1</v>
      </c>
    </row>
    <row r="1243" spans="1:8" x14ac:dyDescent="0.15">
      <c r="A1243">
        <v>52</v>
      </c>
      <c r="B1243">
        <v>22</v>
      </c>
      <c r="C1243">
        <v>510214.94140625</v>
      </c>
      <c r="D1243">
        <v>362534.68623078405</v>
      </c>
      <c r="E1243">
        <v>2.6008880915320408E-5</v>
      </c>
      <c r="F1243">
        <v>2.5998049742769597E-5</v>
      </c>
      <c r="G1243">
        <v>1.0831172550811088E-8</v>
      </c>
      <c r="H1243" t="b">
        <v>0</v>
      </c>
    </row>
    <row r="1244" spans="1:8" x14ac:dyDescent="0.15">
      <c r="A1244">
        <v>52</v>
      </c>
      <c r="B1244">
        <v>23</v>
      </c>
      <c r="C1244">
        <v>510228.44140625</v>
      </c>
      <c r="D1244">
        <v>896387.41562919668</v>
      </c>
      <c r="E1244">
        <v>2.6024797689546534E-5</v>
      </c>
      <c r="F1244">
        <v>2.5998049742769597E-5</v>
      </c>
      <c r="G1244">
        <v>2.6747946776937753E-8</v>
      </c>
      <c r="H1244" t="b">
        <v>0</v>
      </c>
    </row>
    <row r="1245" spans="1:8" x14ac:dyDescent="0.15">
      <c r="A1245">
        <v>52</v>
      </c>
      <c r="B1245">
        <v>24</v>
      </c>
      <c r="C1245">
        <v>510221.69140625</v>
      </c>
      <c r="D1245">
        <v>629387.45463386457</v>
      </c>
      <c r="E1245">
        <v>2.6016841967333113E-5</v>
      </c>
      <c r="F1245">
        <v>2.5998049742769597E-5</v>
      </c>
      <c r="G1245">
        <v>1.879222456351693E-8</v>
      </c>
      <c r="H1245" t="b">
        <v>0</v>
      </c>
    </row>
    <row r="1246" spans="1:8" x14ac:dyDescent="0.15">
      <c r="A1246">
        <v>52</v>
      </c>
      <c r="B1246">
        <v>25</v>
      </c>
      <c r="C1246">
        <v>510213.59140625002</v>
      </c>
      <c r="D1246">
        <v>309356.77539480035</v>
      </c>
      <c r="E1246">
        <v>2.6007293288060481E-5</v>
      </c>
      <c r="F1246">
        <v>2.5998049742769597E-5</v>
      </c>
      <c r="G1246">
        <v>9.2435452908843925E-9</v>
      </c>
      <c r="H1246" t="b">
        <v>0</v>
      </c>
    </row>
    <row r="1247" spans="1:8" x14ac:dyDescent="0.15">
      <c r="A1247">
        <v>52</v>
      </c>
      <c r="B1247">
        <v>26</v>
      </c>
      <c r="C1247">
        <v>510217.64140625001</v>
      </c>
      <c r="D1247">
        <v>469178.96345993131</v>
      </c>
      <c r="E1247">
        <v>2.6012063615024917E-5</v>
      </c>
      <c r="F1247">
        <v>2.5998049742769597E-5</v>
      </c>
      <c r="G1247">
        <v>1.4013872255320845E-8</v>
      </c>
      <c r="H1247" t="b">
        <v>0</v>
      </c>
    </row>
    <row r="1248" spans="1:8" x14ac:dyDescent="0.15">
      <c r="A1248">
        <v>52</v>
      </c>
      <c r="B1248">
        <v>27</v>
      </c>
      <c r="C1248">
        <v>510222.50140625</v>
      </c>
      <c r="D1248">
        <v>661422.73783162143</v>
      </c>
      <c r="E1248">
        <v>2.6017797026187391E-5</v>
      </c>
      <c r="F1248">
        <v>2.5998049742769597E-5</v>
      </c>
      <c r="G1248">
        <v>1.9747283417794441E-8</v>
      </c>
      <c r="H1248" t="b">
        <v>0</v>
      </c>
    </row>
    <row r="1249" spans="1:8" x14ac:dyDescent="0.15">
      <c r="A1249">
        <v>52</v>
      </c>
      <c r="B1249">
        <v>28</v>
      </c>
      <c r="C1249">
        <v>510220.07140625</v>
      </c>
      <c r="D1249">
        <v>565334.46245607489</v>
      </c>
      <c r="E1249">
        <v>2.6014931953746375E-5</v>
      </c>
      <c r="F1249">
        <v>2.5998049742769597E-5</v>
      </c>
      <c r="G1249">
        <v>1.688221097677833E-8</v>
      </c>
      <c r="H1249" t="b">
        <v>0</v>
      </c>
    </row>
    <row r="1250" spans="1:8" x14ac:dyDescent="0.15">
      <c r="A1250">
        <v>52</v>
      </c>
      <c r="B1250">
        <v>29</v>
      </c>
      <c r="C1250">
        <v>510217.15540624998</v>
      </c>
      <c r="D1250">
        <v>449978.19127843063</v>
      </c>
      <c r="E1250">
        <v>2.6011490700604548E-5</v>
      </c>
      <c r="F1250">
        <v>2.5998049742769597E-5</v>
      </c>
      <c r="G1250">
        <v>1.3440957834951687E-8</v>
      </c>
      <c r="H1250" t="b">
        <v>0</v>
      </c>
    </row>
    <row r="1251" spans="1:8" x14ac:dyDescent="0.15">
      <c r="A1251">
        <v>52</v>
      </c>
      <c r="B1251">
        <v>30</v>
      </c>
      <c r="C1251">
        <v>510218.61340624996</v>
      </c>
      <c r="D1251">
        <v>507706.80231073819</v>
      </c>
      <c r="E1251">
        <v>2.6013213060223388E-5</v>
      </c>
      <c r="F1251">
        <v>2.5998049742769597E-5</v>
      </c>
      <c r="G1251">
        <v>1.5163317453791231E-8</v>
      </c>
      <c r="H1251" t="b">
        <v>0</v>
      </c>
    </row>
    <row r="1252" spans="1:8" x14ac:dyDescent="0.15">
      <c r="A1252">
        <v>53</v>
      </c>
      <c r="B1252">
        <v>1</v>
      </c>
      <c r="C1252">
        <v>6050000</v>
      </c>
      <c r="D1252">
        <v>1.2838823453908214E+18</v>
      </c>
      <c r="E1252">
        <v>536.87092200000006</v>
      </c>
      <c r="F1252">
        <v>2.5998049750342034E-5</v>
      </c>
      <c r="G1252">
        <v>536.87089600195031</v>
      </c>
      <c r="H1252" t="b">
        <v>0</v>
      </c>
    </row>
    <row r="1253" spans="1:8" x14ac:dyDescent="0.15">
      <c r="A1253">
        <v>53</v>
      </c>
      <c r="B1253">
        <v>2</v>
      </c>
      <c r="C1253">
        <v>3075000</v>
      </c>
      <c r="D1253">
        <v>8.9175206042443802E+17</v>
      </c>
      <c r="E1253">
        <v>388.94488440667601</v>
      </c>
      <c r="F1253">
        <v>2.5998049750342034E-5</v>
      </c>
      <c r="G1253">
        <v>388.94485840862626</v>
      </c>
      <c r="H1253" t="b">
        <v>0</v>
      </c>
    </row>
    <row r="1254" spans="1:8" x14ac:dyDescent="0.15">
      <c r="A1254">
        <v>53</v>
      </c>
      <c r="B1254">
        <v>3</v>
      </c>
      <c r="C1254">
        <v>1587500</v>
      </c>
      <c r="D1254">
        <v>1760159616209201.5</v>
      </c>
      <c r="E1254">
        <v>1.7301155876962191</v>
      </c>
      <c r="F1254">
        <v>2.5998049742792517E-5</v>
      </c>
      <c r="G1254">
        <v>1.7300895896464763</v>
      </c>
      <c r="H1254" t="b">
        <v>0</v>
      </c>
    </row>
    <row r="1255" spans="1:8" x14ac:dyDescent="0.15">
      <c r="A1255">
        <v>53</v>
      </c>
      <c r="B1255">
        <v>4</v>
      </c>
      <c r="C1255">
        <v>843750</v>
      </c>
      <c r="D1255">
        <v>6208539594.5230303</v>
      </c>
      <c r="E1255">
        <v>9.8741735478766562E-5</v>
      </c>
      <c r="F1255">
        <v>2.59980497427696E-5</v>
      </c>
      <c r="G1255">
        <v>7.2743685735996962E-5</v>
      </c>
      <c r="H1255" t="b">
        <v>0</v>
      </c>
    </row>
    <row r="1256" spans="1:8" x14ac:dyDescent="0.15">
      <c r="A1256">
        <v>53</v>
      </c>
      <c r="B1256">
        <v>5</v>
      </c>
      <c r="C1256">
        <v>471875</v>
      </c>
      <c r="D1256">
        <v>-34770.262004340759</v>
      </c>
      <c r="E1256">
        <v>-6.6352548072040527E-6</v>
      </c>
      <c r="F1256">
        <v>2.5998049742769597E-5</v>
      </c>
      <c r="G1256">
        <v>-3.263330454997365E-5</v>
      </c>
      <c r="H1256" t="b">
        <v>1</v>
      </c>
    </row>
    <row r="1257" spans="1:8" x14ac:dyDescent="0.15">
      <c r="A1257">
        <v>53</v>
      </c>
      <c r="B1257">
        <v>6</v>
      </c>
      <c r="C1257">
        <v>657812.5</v>
      </c>
      <c r="D1257">
        <v>-188603.17790031651</v>
      </c>
      <c r="E1257">
        <v>3.4875761915751244E-6</v>
      </c>
      <c r="F1257">
        <v>2.5998049742769597E-5</v>
      </c>
      <c r="G1257">
        <v>-2.2510473551194473E-5</v>
      </c>
      <c r="H1257" t="b">
        <v>1</v>
      </c>
    </row>
    <row r="1258" spans="1:8" x14ac:dyDescent="0.15">
      <c r="A1258">
        <v>53</v>
      </c>
      <c r="B1258">
        <v>7</v>
      </c>
      <c r="C1258">
        <v>750781.25</v>
      </c>
      <c r="D1258">
        <v>-9839008.1372328233</v>
      </c>
      <c r="E1258">
        <v>1.2939578481436233E-5</v>
      </c>
      <c r="F1258">
        <v>2.5998049742769597E-5</v>
      </c>
      <c r="G1258">
        <v>-1.3058471261333364E-5</v>
      </c>
      <c r="H1258" t="b">
        <v>1</v>
      </c>
    </row>
    <row r="1259" spans="1:8" x14ac:dyDescent="0.15">
      <c r="A1259">
        <v>53</v>
      </c>
      <c r="B1259">
        <v>8</v>
      </c>
      <c r="C1259">
        <v>797265.625</v>
      </c>
      <c r="D1259">
        <v>322949214.13262308</v>
      </c>
      <c r="E1259">
        <v>3.2932804779261863E-5</v>
      </c>
      <c r="F1259">
        <v>2.5998049742769597E-5</v>
      </c>
      <c r="G1259">
        <v>6.9347550364922668E-6</v>
      </c>
      <c r="H1259" t="b">
        <v>0</v>
      </c>
    </row>
    <row r="1260" spans="1:8" x14ac:dyDescent="0.15">
      <c r="A1260">
        <v>53</v>
      </c>
      <c r="B1260">
        <v>9</v>
      </c>
      <c r="C1260">
        <v>774023.4375</v>
      </c>
      <c r="D1260">
        <v>-92309167.981154948</v>
      </c>
      <c r="E1260">
        <v>1.8324043031241415E-5</v>
      </c>
      <c r="F1260">
        <v>2.5998049742769597E-5</v>
      </c>
      <c r="G1260">
        <v>-7.6740067115281818E-6</v>
      </c>
      <c r="H1260" t="b">
        <v>1</v>
      </c>
    </row>
    <row r="1261" spans="1:8" x14ac:dyDescent="0.15">
      <c r="A1261">
        <v>53</v>
      </c>
      <c r="B1261">
        <v>10</v>
      </c>
      <c r="C1261">
        <v>785644.53125</v>
      </c>
      <c r="D1261">
        <v>-40536422.167701699</v>
      </c>
      <c r="E1261">
        <v>2.4642349508524846E-5</v>
      </c>
      <c r="F1261">
        <v>2.5998049742769597E-5</v>
      </c>
      <c r="G1261">
        <v>-1.3557002342447504E-6</v>
      </c>
      <c r="H1261" t="b">
        <v>1</v>
      </c>
    </row>
    <row r="1262" spans="1:8" x14ac:dyDescent="0.15">
      <c r="A1262">
        <v>53</v>
      </c>
      <c r="B1262">
        <v>11</v>
      </c>
      <c r="C1262">
        <v>791455.078125</v>
      </c>
      <c r="D1262">
        <v>99795556.245462194</v>
      </c>
      <c r="E1262">
        <v>2.8509342056038981E-5</v>
      </c>
      <c r="F1262">
        <v>2.5998049742769597E-5</v>
      </c>
      <c r="G1262">
        <v>2.5112923132693848E-6</v>
      </c>
      <c r="H1262" t="b">
        <v>0</v>
      </c>
    </row>
    <row r="1263" spans="1:8" x14ac:dyDescent="0.15">
      <c r="A1263">
        <v>53</v>
      </c>
      <c r="B1263">
        <v>12</v>
      </c>
      <c r="C1263">
        <v>788549.8046875</v>
      </c>
      <c r="D1263">
        <v>17812010.758298211</v>
      </c>
      <c r="E1263">
        <v>2.651054012867559E-5</v>
      </c>
      <c r="F1263">
        <v>2.5998049742769597E-5</v>
      </c>
      <c r="G1263">
        <v>5.1249038590599314E-7</v>
      </c>
      <c r="H1263" t="b">
        <v>0</v>
      </c>
    </row>
    <row r="1264" spans="1:8" x14ac:dyDescent="0.15">
      <c r="A1264">
        <v>53</v>
      </c>
      <c r="B1264">
        <v>13</v>
      </c>
      <c r="C1264">
        <v>787097.16796875</v>
      </c>
      <c r="D1264">
        <v>-14134143.49022809</v>
      </c>
      <c r="E1264">
        <v>2.5560620817307764E-5</v>
      </c>
      <c r="F1264">
        <v>2.5998049742769597E-5</v>
      </c>
      <c r="G1264">
        <v>-4.3742892546183205E-7</v>
      </c>
      <c r="H1264" t="b">
        <v>1</v>
      </c>
    </row>
    <row r="1265" spans="1:8" x14ac:dyDescent="0.15">
      <c r="A1265">
        <v>53</v>
      </c>
      <c r="B1265">
        <v>14</v>
      </c>
      <c r="C1265">
        <v>787597.16796875</v>
      </c>
      <c r="D1265">
        <v>-3781833.9526321995</v>
      </c>
      <c r="E1265">
        <v>2.5883965283609317E-5</v>
      </c>
      <c r="F1265">
        <v>2.5998049742769597E-5</v>
      </c>
      <c r="G1265">
        <v>-1.1408445916027976E-7</v>
      </c>
      <c r="H1265" t="b">
        <v>1</v>
      </c>
    </row>
    <row r="1266" spans="1:8" x14ac:dyDescent="0.15">
      <c r="A1266">
        <v>53</v>
      </c>
      <c r="B1266">
        <v>15</v>
      </c>
      <c r="C1266">
        <v>788097.16796875</v>
      </c>
      <c r="D1266">
        <v>7241495.2887154231</v>
      </c>
      <c r="E1266">
        <v>2.6211092489658053E-5</v>
      </c>
      <c r="F1266">
        <v>2.5998049742769597E-5</v>
      </c>
      <c r="G1266">
        <v>2.1304274688845642E-7</v>
      </c>
      <c r="H1266" t="b">
        <v>0</v>
      </c>
    </row>
    <row r="1267" spans="1:8" x14ac:dyDescent="0.15">
      <c r="A1267">
        <v>53</v>
      </c>
      <c r="B1267">
        <v>16</v>
      </c>
      <c r="C1267">
        <v>787847.16796875</v>
      </c>
      <c r="D1267">
        <v>1644947.9507802916</v>
      </c>
      <c r="E1267">
        <v>2.6047050813899546E-5</v>
      </c>
      <c r="F1267">
        <v>2.5998049742769597E-5</v>
      </c>
      <c r="G1267">
        <v>4.9001071129949303E-8</v>
      </c>
      <c r="H1267" t="b">
        <v>0</v>
      </c>
    </row>
    <row r="1268" spans="1:8" x14ac:dyDescent="0.15">
      <c r="A1268">
        <v>53</v>
      </c>
      <c r="B1268">
        <v>17</v>
      </c>
      <c r="C1268">
        <v>787547.16796875</v>
      </c>
      <c r="D1268">
        <v>-4847126.6808394687</v>
      </c>
      <c r="E1268">
        <v>2.5851458012988203E-5</v>
      </c>
      <c r="F1268">
        <v>2.5998049742769597E-5</v>
      </c>
      <c r="G1268">
        <v>-1.4659172978139336E-7</v>
      </c>
      <c r="H1268" t="b">
        <v>1</v>
      </c>
    </row>
    <row r="1269" spans="1:8" x14ac:dyDescent="0.15">
      <c r="A1269">
        <v>53</v>
      </c>
      <c r="B1269">
        <v>18</v>
      </c>
      <c r="C1269">
        <v>787697.16796875</v>
      </c>
      <c r="D1269">
        <v>-1631312.6319897675</v>
      </c>
      <c r="E1269">
        <v>2.5949086953172322E-5</v>
      </c>
      <c r="F1269">
        <v>2.5998049742769597E-5</v>
      </c>
      <c r="G1269">
        <v>-4.8962789597274578E-8</v>
      </c>
      <c r="H1269" t="b">
        <v>1</v>
      </c>
    </row>
    <row r="1270" spans="1:8" x14ac:dyDescent="0.15">
      <c r="A1270">
        <v>53</v>
      </c>
      <c r="B1270">
        <v>19</v>
      </c>
      <c r="C1270">
        <v>787847.16796875</v>
      </c>
      <c r="D1270">
        <v>1644947.9507802916</v>
      </c>
      <c r="E1270">
        <v>2.6047050813899546E-5</v>
      </c>
      <c r="F1270">
        <v>2.5998049742769597E-5</v>
      </c>
      <c r="G1270">
        <v>4.9001071129949303E-8</v>
      </c>
      <c r="H1270" t="b">
        <v>0</v>
      </c>
    </row>
    <row r="1271" spans="1:8" x14ac:dyDescent="0.15">
      <c r="A1271">
        <v>53</v>
      </c>
      <c r="B1271">
        <v>20</v>
      </c>
      <c r="C1271">
        <v>787772.16796875</v>
      </c>
      <c r="D1271">
        <v>-731.49494326634181</v>
      </c>
      <c r="E1271">
        <v>2.5998027870193889E-5</v>
      </c>
      <c r="F1271">
        <v>2.5998049742769597E-5</v>
      </c>
      <c r="G1271">
        <v>-2.1872575707684904E-11</v>
      </c>
      <c r="H1271" t="b">
        <v>1</v>
      </c>
    </row>
    <row r="1272" spans="1:8" x14ac:dyDescent="0.15">
      <c r="A1272">
        <v>53</v>
      </c>
      <c r="B1272">
        <v>21</v>
      </c>
      <c r="C1272">
        <v>787809.66796875</v>
      </c>
      <c r="D1272">
        <v>820143.91315658018</v>
      </c>
      <c r="E1272">
        <v>2.6022526873161845E-5</v>
      </c>
      <c r="F1272">
        <v>2.5998049742769597E-5</v>
      </c>
      <c r="G1272">
        <v>2.4477130392248447E-8</v>
      </c>
      <c r="H1272" t="b">
        <v>0</v>
      </c>
    </row>
    <row r="1273" spans="1:8" x14ac:dyDescent="0.15">
      <c r="A1273">
        <v>53</v>
      </c>
      <c r="B1273">
        <v>22</v>
      </c>
      <c r="C1273">
        <v>787790.91796875</v>
      </c>
      <c r="D1273">
        <v>409174.73551801644</v>
      </c>
      <c r="E1273">
        <v>2.6010273035872737E-5</v>
      </c>
      <c r="F1273">
        <v>2.5998049742769597E-5</v>
      </c>
      <c r="G1273">
        <v>1.2223293103139993E-8</v>
      </c>
      <c r="H1273" t="b">
        <v>0</v>
      </c>
    </row>
    <row r="1274" spans="1:8" x14ac:dyDescent="0.15">
      <c r="A1274">
        <v>53</v>
      </c>
      <c r="B1274">
        <v>23</v>
      </c>
      <c r="C1274">
        <v>787800.29296875</v>
      </c>
      <c r="D1274">
        <v>614658.4868875267</v>
      </c>
      <c r="E1274">
        <v>2.6016402809804961E-5</v>
      </c>
      <c r="F1274">
        <v>2.5998049742769597E-5</v>
      </c>
      <c r="G1274">
        <v>1.8353067035364271E-8</v>
      </c>
      <c r="H1274" t="b">
        <v>0</v>
      </c>
    </row>
    <row r="1275" spans="1:8" x14ac:dyDescent="0.15">
      <c r="A1275">
        <v>53</v>
      </c>
      <c r="B1275">
        <v>24</v>
      </c>
      <c r="C1275">
        <v>787811.54296875</v>
      </c>
      <c r="D1275">
        <v>861293.55564913386</v>
      </c>
      <c r="E1275">
        <v>2.6023752561423858E-5</v>
      </c>
      <c r="F1275">
        <v>2.5998049742769597E-5</v>
      </c>
      <c r="G1275">
        <v>2.5702818654261249E-8</v>
      </c>
      <c r="H1275" t="b">
        <v>0</v>
      </c>
    </row>
    <row r="1276" spans="1:8" x14ac:dyDescent="0.15">
      <c r="A1276">
        <v>53</v>
      </c>
      <c r="B1276">
        <v>25</v>
      </c>
      <c r="C1276">
        <v>787805.91796875</v>
      </c>
      <c r="D1276">
        <v>737997.43113705632</v>
      </c>
      <c r="E1276">
        <v>2.6020079359095865E-5</v>
      </c>
      <c r="F1276">
        <v>2.5998049742769597E-5</v>
      </c>
      <c r="G1276">
        <v>2.2029616326268438E-8</v>
      </c>
      <c r="H1276" t="b">
        <v>0</v>
      </c>
    </row>
    <row r="1277" spans="1:8" x14ac:dyDescent="0.15">
      <c r="A1277">
        <v>53</v>
      </c>
      <c r="B1277">
        <v>26</v>
      </c>
      <c r="C1277">
        <v>787808.73046875</v>
      </c>
      <c r="D1277">
        <v>799684.08503111906</v>
      </c>
      <c r="E1277">
        <v>2.6021917368512823E-5</v>
      </c>
      <c r="F1277">
        <v>2.5998049742769597E-5</v>
      </c>
      <c r="G1277">
        <v>2.3867625743226176E-8</v>
      </c>
      <c r="H1277" t="b">
        <v>0</v>
      </c>
    </row>
    <row r="1278" spans="1:8" x14ac:dyDescent="0.15">
      <c r="A1278">
        <v>53</v>
      </c>
      <c r="B1278">
        <v>27</v>
      </c>
      <c r="C1278">
        <v>787807.32421875</v>
      </c>
      <c r="D1278">
        <v>768831.65801644849</v>
      </c>
      <c r="E1278">
        <v>2.6020998157405391E-5</v>
      </c>
      <c r="F1278">
        <v>2.5998049742769597E-5</v>
      </c>
      <c r="G1278">
        <v>2.2948414635794677E-8</v>
      </c>
      <c r="H1278" t="b">
        <v>0</v>
      </c>
    </row>
    <row r="1279" spans="1:8" x14ac:dyDescent="0.15">
      <c r="A1279">
        <v>53</v>
      </c>
      <c r="B1279">
        <v>28</v>
      </c>
      <c r="C1279">
        <v>787808.02734375</v>
      </c>
      <c r="D1279">
        <v>784257.20176150277</v>
      </c>
      <c r="E1279">
        <v>2.6021457759196671E-5</v>
      </c>
      <c r="F1279">
        <v>2.5998049742769597E-5</v>
      </c>
      <c r="G1279">
        <v>2.3408016427074778E-8</v>
      </c>
      <c r="H1279" t="b">
        <v>0</v>
      </c>
    </row>
    <row r="1280" spans="1:8" x14ac:dyDescent="0.15">
      <c r="A1280">
        <v>54</v>
      </c>
      <c r="B1280">
        <v>1</v>
      </c>
      <c r="C1280">
        <v>6050000</v>
      </c>
      <c r="D1280">
        <v>2.3214121461268024E+18</v>
      </c>
      <c r="E1280">
        <v>536.87092200000006</v>
      </c>
      <c r="F1280">
        <v>1.7804228832574154E-5</v>
      </c>
      <c r="G1280">
        <v>536.87090419577123</v>
      </c>
      <c r="H1280" t="b">
        <v>0</v>
      </c>
    </row>
    <row r="1281" spans="1:8" x14ac:dyDescent="0.15">
      <c r="A1281">
        <v>54</v>
      </c>
      <c r="B1281">
        <v>2</v>
      </c>
      <c r="C1281">
        <v>3075000</v>
      </c>
      <c r="D1281">
        <v>2.3214121461268024E+18</v>
      </c>
      <c r="E1281">
        <v>536.87092200000006</v>
      </c>
      <c r="F1281">
        <v>1.7804228832574154E-5</v>
      </c>
      <c r="G1281">
        <v>536.87090419577123</v>
      </c>
      <c r="H1281" t="b">
        <v>0</v>
      </c>
    </row>
    <row r="1282" spans="1:8" x14ac:dyDescent="0.15">
      <c r="A1282">
        <v>54</v>
      </c>
      <c r="B1282">
        <v>3</v>
      </c>
      <c r="C1282">
        <v>1587500</v>
      </c>
      <c r="D1282">
        <v>4.9088284644475184E+16</v>
      </c>
      <c r="E1282">
        <v>18.190028735532302</v>
      </c>
      <c r="F1282">
        <v>1.7804228811257872E-5</v>
      </c>
      <c r="G1282">
        <v>18.19001093130349</v>
      </c>
      <c r="H1282" t="b">
        <v>0</v>
      </c>
    </row>
    <row r="1283" spans="1:8" x14ac:dyDescent="0.15">
      <c r="A1283">
        <v>54</v>
      </c>
      <c r="B1283">
        <v>4</v>
      </c>
      <c r="C1283">
        <v>843750</v>
      </c>
      <c r="D1283">
        <v>260761178079.25934</v>
      </c>
      <c r="E1283">
        <v>7.9943888719333179E-4</v>
      </c>
      <c r="F1283">
        <v>1.7804228812400621E-5</v>
      </c>
      <c r="G1283">
        <v>7.8163465838093117E-4</v>
      </c>
      <c r="H1283" t="b">
        <v>0</v>
      </c>
    </row>
    <row r="1284" spans="1:8" x14ac:dyDescent="0.15">
      <c r="A1284">
        <v>54</v>
      </c>
      <c r="B1284">
        <v>5</v>
      </c>
      <c r="C1284">
        <v>471875</v>
      </c>
      <c r="D1284">
        <v>-51031.424154539593</v>
      </c>
      <c r="E1284">
        <v>-3.4024148071436346E-6</v>
      </c>
      <c r="F1284">
        <v>1.7804228812400648E-5</v>
      </c>
      <c r="G1284">
        <v>-2.1206643619544284E-5</v>
      </c>
      <c r="H1284" t="b">
        <v>1</v>
      </c>
    </row>
    <row r="1285" spans="1:8" x14ac:dyDescent="0.15">
      <c r="A1285">
        <v>54</v>
      </c>
      <c r="B1285">
        <v>6</v>
      </c>
      <c r="C1285">
        <v>657812.5</v>
      </c>
      <c r="D1285">
        <v>-3711721.0478068581</v>
      </c>
      <c r="E1285">
        <v>7.728988823538263E-6</v>
      </c>
      <c r="F1285">
        <v>1.7804228812400651E-5</v>
      </c>
      <c r="G1285">
        <v>-1.0075239988862388E-5</v>
      </c>
      <c r="H1285" t="b">
        <v>1</v>
      </c>
    </row>
    <row r="1286" spans="1:8" x14ac:dyDescent="0.15">
      <c r="A1286">
        <v>54</v>
      </c>
      <c r="B1286">
        <v>7</v>
      </c>
      <c r="C1286">
        <v>750781.25</v>
      </c>
      <c r="D1286">
        <v>7908728141.3164148</v>
      </c>
      <c r="E1286">
        <v>7.33501006398852E-5</v>
      </c>
      <c r="F1286">
        <v>1.7804228812400648E-5</v>
      </c>
      <c r="G1286">
        <v>5.5545871827484552E-5</v>
      </c>
      <c r="H1286" t="b">
        <v>0</v>
      </c>
    </row>
    <row r="1287" spans="1:8" x14ac:dyDescent="0.15">
      <c r="A1287">
        <v>54</v>
      </c>
      <c r="B1287">
        <v>8</v>
      </c>
      <c r="C1287">
        <v>704296.875</v>
      </c>
      <c r="D1287">
        <v>54608212.800690316</v>
      </c>
      <c r="E1287">
        <v>1.8844228812100419E-5</v>
      </c>
      <c r="F1287">
        <v>1.7804228812400651E-5</v>
      </c>
      <c r="G1287">
        <v>1.0399999996997677E-6</v>
      </c>
      <c r="H1287" t="b">
        <v>0</v>
      </c>
    </row>
    <row r="1288" spans="1:8" x14ac:dyDescent="0.15">
      <c r="A1288">
        <v>54</v>
      </c>
      <c r="B1288">
        <v>9</v>
      </c>
      <c r="C1288">
        <v>681054.6875</v>
      </c>
      <c r="D1288">
        <v>-48904378.383677527</v>
      </c>
      <c r="E1288">
        <v>1.1222337765497245E-5</v>
      </c>
      <c r="F1288">
        <v>1.7804228812400651E-5</v>
      </c>
      <c r="G1288">
        <v>-6.5818910469034068E-6</v>
      </c>
      <c r="H1288" t="b">
        <v>1</v>
      </c>
    </row>
    <row r="1289" spans="1:8" x14ac:dyDescent="0.15">
      <c r="A1289">
        <v>54</v>
      </c>
      <c r="B1289">
        <v>10</v>
      </c>
      <c r="C1289">
        <v>692675.78125</v>
      </c>
      <c r="D1289">
        <v>-90004644.063847095</v>
      </c>
      <c r="E1289">
        <v>1.3440301261382089E-5</v>
      </c>
      <c r="F1289">
        <v>1.7804228812400651E-5</v>
      </c>
      <c r="G1289">
        <v>-4.3639275510185622E-6</v>
      </c>
      <c r="H1289" t="b">
        <v>1</v>
      </c>
    </row>
    <row r="1290" spans="1:8" x14ac:dyDescent="0.15">
      <c r="A1290">
        <v>54</v>
      </c>
      <c r="B1290">
        <v>11</v>
      </c>
      <c r="C1290">
        <v>698486.328125</v>
      </c>
      <c r="D1290">
        <v>-71335816.627469167</v>
      </c>
      <c r="E1290">
        <v>1.5745969478401183E-5</v>
      </c>
      <c r="F1290">
        <v>1.7804228812400651E-5</v>
      </c>
      <c r="G1290">
        <v>-2.0582593339994684E-6</v>
      </c>
      <c r="H1290" t="b">
        <v>1</v>
      </c>
    </row>
    <row r="1291" spans="1:8" x14ac:dyDescent="0.15">
      <c r="A1291">
        <v>54</v>
      </c>
      <c r="B1291">
        <v>12</v>
      </c>
      <c r="C1291">
        <v>701391.6015625</v>
      </c>
      <c r="D1291">
        <v>-24895341.430474322</v>
      </c>
      <c r="E1291">
        <v>1.7230313079765149E-5</v>
      </c>
      <c r="F1291">
        <v>1.7804228812400651E-5</v>
      </c>
      <c r="G1291">
        <v>-5.7391573263550216E-7</v>
      </c>
      <c r="H1291" t="b">
        <v>1</v>
      </c>
    </row>
    <row r="1292" spans="1:8" x14ac:dyDescent="0.15">
      <c r="A1292">
        <v>54</v>
      </c>
      <c r="B1292">
        <v>13</v>
      </c>
      <c r="C1292">
        <v>702844.23828125</v>
      </c>
      <c r="D1292">
        <v>10355367.039179143</v>
      </c>
      <c r="E1292">
        <v>1.8020442700861101E-5</v>
      </c>
      <c r="F1292">
        <v>1.7804228812400651E-5</v>
      </c>
      <c r="G1292">
        <v>2.1621388846044978E-7</v>
      </c>
      <c r="H1292" t="b">
        <v>0</v>
      </c>
    </row>
    <row r="1293" spans="1:8" x14ac:dyDescent="0.15">
      <c r="A1293">
        <v>54</v>
      </c>
      <c r="B1293">
        <v>14</v>
      </c>
      <c r="C1293">
        <v>701644.23828125</v>
      </c>
      <c r="D1293">
        <v>-19378475.433136035</v>
      </c>
      <c r="E1293">
        <v>1.7365367385957272E-5</v>
      </c>
      <c r="F1293">
        <v>1.7804228812400651E-5</v>
      </c>
      <c r="G1293">
        <v>-4.3886142644337917E-7</v>
      </c>
      <c r="H1293" t="b">
        <v>1</v>
      </c>
    </row>
    <row r="1294" spans="1:8" x14ac:dyDescent="0.15">
      <c r="A1294">
        <v>54</v>
      </c>
      <c r="B1294">
        <v>15</v>
      </c>
      <c r="C1294">
        <v>702244.23828125</v>
      </c>
      <c r="D1294">
        <v>-5252724.3473089738</v>
      </c>
      <c r="E1294">
        <v>1.769008058547263E-5</v>
      </c>
      <c r="F1294">
        <v>1.7804228812400651E-5</v>
      </c>
      <c r="G1294">
        <v>-1.1414822692802171E-7</v>
      </c>
      <c r="H1294" t="b">
        <v>1</v>
      </c>
    </row>
    <row r="1295" spans="1:8" x14ac:dyDescent="0.15">
      <c r="A1295">
        <v>54</v>
      </c>
      <c r="B1295">
        <v>16</v>
      </c>
      <c r="C1295">
        <v>702844.23828125</v>
      </c>
      <c r="D1295">
        <v>10355367.039179143</v>
      </c>
      <c r="E1295">
        <v>1.8020442700861101E-5</v>
      </c>
      <c r="F1295">
        <v>1.7804228812400651E-5</v>
      </c>
      <c r="G1295">
        <v>2.1621388846044978E-7</v>
      </c>
      <c r="H1295" t="b">
        <v>0</v>
      </c>
    </row>
    <row r="1296" spans="1:8" x14ac:dyDescent="0.15">
      <c r="A1296">
        <v>54</v>
      </c>
      <c r="B1296">
        <v>17</v>
      </c>
      <c r="C1296">
        <v>702544.23828125</v>
      </c>
      <c r="D1296">
        <v>2362728.4018560206</v>
      </c>
      <c r="E1296">
        <v>1.7854549638066139E-5</v>
      </c>
      <c r="F1296">
        <v>1.7804228812400651E-5</v>
      </c>
      <c r="G1296">
        <v>5.0320825665487335E-8</v>
      </c>
      <c r="H1296" t="b">
        <v>0</v>
      </c>
    </row>
    <row r="1297" spans="1:8" x14ac:dyDescent="0.15">
      <c r="A1297">
        <v>54</v>
      </c>
      <c r="B1297">
        <v>18</v>
      </c>
      <c r="C1297">
        <v>702184.23828125</v>
      </c>
      <c r="D1297">
        <v>-6731225.3661002694</v>
      </c>
      <c r="E1297">
        <v>1.7657354626791939E-5</v>
      </c>
      <c r="F1297">
        <v>1.7804228812400651E-5</v>
      </c>
      <c r="G1297">
        <v>-1.4687418560871269E-7</v>
      </c>
      <c r="H1297" t="b">
        <v>1</v>
      </c>
    </row>
    <row r="1298" spans="1:8" x14ac:dyDescent="0.15">
      <c r="A1298">
        <v>54</v>
      </c>
      <c r="B1298">
        <v>19</v>
      </c>
      <c r="C1298">
        <v>702364.23828125</v>
      </c>
      <c r="D1298">
        <v>-2251382.5407935563</v>
      </c>
      <c r="E1298">
        <v>1.7755698043919795E-5</v>
      </c>
      <c r="F1298">
        <v>1.7804228812400651E-5</v>
      </c>
      <c r="G1298">
        <v>-4.8530768480856639E-8</v>
      </c>
      <c r="H1298" t="b">
        <v>1</v>
      </c>
    </row>
    <row r="1299" spans="1:8" x14ac:dyDescent="0.15">
      <c r="A1299">
        <v>54</v>
      </c>
      <c r="B1299">
        <v>20</v>
      </c>
      <c r="C1299">
        <v>702544.23828125</v>
      </c>
      <c r="D1299">
        <v>2362728.4018560206</v>
      </c>
      <c r="E1299">
        <v>1.7854549638066139E-5</v>
      </c>
      <c r="F1299">
        <v>1.7804228812400651E-5</v>
      </c>
      <c r="G1299">
        <v>5.0320825665487335E-8</v>
      </c>
      <c r="H1299" t="b">
        <v>0</v>
      </c>
    </row>
    <row r="1300" spans="1:8" x14ac:dyDescent="0.15">
      <c r="A1300">
        <v>54</v>
      </c>
      <c r="B1300">
        <v>21</v>
      </c>
      <c r="C1300">
        <v>702454.23828125</v>
      </c>
      <c r="D1300">
        <v>38687.229443009215</v>
      </c>
      <c r="E1300">
        <v>1.7805057732250295E-5</v>
      </c>
      <c r="F1300">
        <v>1.7804228812400651E-5</v>
      </c>
      <c r="G1300">
        <v>8.289198496439637E-10</v>
      </c>
      <c r="H1300" t="b">
        <v>0</v>
      </c>
    </row>
    <row r="1301" spans="1:8" x14ac:dyDescent="0.15">
      <c r="A1301">
        <v>54</v>
      </c>
      <c r="B1301">
        <v>22</v>
      </c>
      <c r="C1301">
        <v>702499.23828125</v>
      </c>
      <c r="D1301">
        <v>1196424.0487315112</v>
      </c>
      <c r="E1301">
        <v>1.7829786590907218E-5</v>
      </c>
      <c r="F1301">
        <v>1.7804228812400651E-5</v>
      </c>
      <c r="G1301">
        <v>2.555777850656653E-8</v>
      </c>
      <c r="H1301" t="b">
        <v>0</v>
      </c>
    </row>
    <row r="1302" spans="1:8" x14ac:dyDescent="0.15">
      <c r="A1302">
        <v>54</v>
      </c>
      <c r="B1302">
        <v>23</v>
      </c>
      <c r="C1302">
        <v>702476.73828125</v>
      </c>
      <c r="D1302">
        <v>616601.06999605079</v>
      </c>
      <c r="E1302">
        <v>1.7817420343826673E-5</v>
      </c>
      <c r="F1302">
        <v>1.7804228812400651E-5</v>
      </c>
      <c r="G1302">
        <v>1.319153142602202E-8</v>
      </c>
      <c r="H1302" t="b">
        <v>0</v>
      </c>
    </row>
    <row r="1303" spans="1:8" x14ac:dyDescent="0.15">
      <c r="A1303">
        <v>54</v>
      </c>
      <c r="B1303">
        <v>24</v>
      </c>
      <c r="C1303">
        <v>702487.98828125</v>
      </c>
      <c r="D1303">
        <v>906299.45244202274</v>
      </c>
      <c r="E1303">
        <v>1.7823603558503816E-5</v>
      </c>
      <c r="F1303">
        <v>1.7804228812400651E-5</v>
      </c>
      <c r="G1303">
        <v>1.9374746103165071E-8</v>
      </c>
      <c r="H1303" t="b">
        <v>0</v>
      </c>
    </row>
    <row r="1304" spans="1:8" x14ac:dyDescent="0.15">
      <c r="A1304">
        <v>54</v>
      </c>
      <c r="B1304">
        <v>25</v>
      </c>
      <c r="C1304">
        <v>702482.36328125</v>
      </c>
      <c r="D1304">
        <v>761384.19923787867</v>
      </c>
      <c r="E1304">
        <v>1.7820511701252018E-5</v>
      </c>
      <c r="F1304">
        <v>1.7804228812400651E-5</v>
      </c>
      <c r="G1304">
        <v>1.6282888851366293E-8</v>
      </c>
      <c r="H1304" t="b">
        <v>0</v>
      </c>
    </row>
    <row r="1305" spans="1:8" x14ac:dyDescent="0.15">
      <c r="A1305">
        <v>54</v>
      </c>
      <c r="B1305">
        <v>26</v>
      </c>
      <c r="C1305">
        <v>702475.61328125</v>
      </c>
      <c r="D1305">
        <v>587558.24003159383</v>
      </c>
      <c r="E1305">
        <v>1.7816799952122806E-5</v>
      </c>
      <c r="F1305">
        <v>1.7804228812400651E-5</v>
      </c>
      <c r="G1305">
        <v>1.2571139722155001E-8</v>
      </c>
      <c r="H1305" t="b">
        <v>0</v>
      </c>
    </row>
    <row r="1306" spans="1:8" x14ac:dyDescent="0.15">
      <c r="A1306">
        <v>54</v>
      </c>
      <c r="B1306">
        <v>27</v>
      </c>
      <c r="C1306">
        <v>702478.98828125</v>
      </c>
      <c r="D1306">
        <v>674396.35704713827</v>
      </c>
      <c r="E1306">
        <v>1.7818654646387393E-5</v>
      </c>
      <c r="F1306">
        <v>1.7804228812400651E-5</v>
      </c>
      <c r="G1306">
        <v>1.4425833986741955E-8</v>
      </c>
      <c r="H1306" t="b">
        <v>0</v>
      </c>
    </row>
    <row r="1307" spans="1:8" x14ac:dyDescent="0.15">
      <c r="A1307">
        <v>54</v>
      </c>
      <c r="B1307">
        <v>28</v>
      </c>
      <c r="C1307">
        <v>702483.03828125005</v>
      </c>
      <c r="D1307">
        <v>778664.87126683968</v>
      </c>
      <c r="E1307">
        <v>1.7820880517004828E-5</v>
      </c>
      <c r="F1307">
        <v>1.7804228812400651E-5</v>
      </c>
      <c r="G1307">
        <v>1.6651704604176234E-8</v>
      </c>
      <c r="H1307" t="b">
        <v>0</v>
      </c>
    </row>
    <row r="1308" spans="1:8" x14ac:dyDescent="0.15">
      <c r="A1308">
        <v>54</v>
      </c>
      <c r="B1308">
        <v>29</v>
      </c>
      <c r="C1308">
        <v>702481.01328125002</v>
      </c>
      <c r="D1308">
        <v>726522.05320364097</v>
      </c>
      <c r="E1308">
        <v>1.7819767549308508E-5</v>
      </c>
      <c r="F1308">
        <v>1.7804228812400651E-5</v>
      </c>
      <c r="G1308">
        <v>1.5538736907856702E-8</v>
      </c>
      <c r="H1308" t="b">
        <v>0</v>
      </c>
    </row>
    <row r="1309" spans="1:8" x14ac:dyDescent="0.15">
      <c r="A1309">
        <v>54</v>
      </c>
      <c r="B1309">
        <v>30</v>
      </c>
      <c r="C1309">
        <v>702478.58328124997</v>
      </c>
      <c r="D1309">
        <v>664075.37793192279</v>
      </c>
      <c r="E1309">
        <v>1.7818434253981588E-5</v>
      </c>
      <c r="F1309">
        <v>1.7804228812400651E-5</v>
      </c>
      <c r="G1309">
        <v>1.4205441580936222E-8</v>
      </c>
      <c r="H1309" t="b">
        <v>0</v>
      </c>
    </row>
    <row r="1310" spans="1:8" x14ac:dyDescent="0.15">
      <c r="A1310">
        <v>54</v>
      </c>
      <c r="B1310">
        <v>31</v>
      </c>
      <c r="C1310">
        <v>702479.79828124994</v>
      </c>
      <c r="D1310">
        <v>695244.5810042558</v>
      </c>
      <c r="E1310">
        <v>1.7819099799782892E-5</v>
      </c>
      <c r="F1310">
        <v>1.7804228812400651E-5</v>
      </c>
      <c r="G1310">
        <v>1.4870987382240936E-8</v>
      </c>
      <c r="H1310" t="b">
        <v>0</v>
      </c>
    </row>
    <row r="1311" spans="1:8" x14ac:dyDescent="0.15">
      <c r="A1311">
        <v>54</v>
      </c>
      <c r="B1311">
        <v>32</v>
      </c>
      <c r="C1311">
        <v>702481.25628124992</v>
      </c>
      <c r="D1311">
        <v>732778.28725599847</v>
      </c>
      <c r="E1311">
        <v>1.7819901102011046E-5</v>
      </c>
      <c r="F1311">
        <v>1.7804228812400651E-5</v>
      </c>
      <c r="G1311">
        <v>1.5672289610394255E-8</v>
      </c>
      <c r="H1311" t="b">
        <v>0</v>
      </c>
    </row>
    <row r="1312" spans="1:8" x14ac:dyDescent="0.15">
      <c r="A1312">
        <v>54</v>
      </c>
      <c r="B1312">
        <v>33</v>
      </c>
      <c r="C1312">
        <v>702480.52728124987</v>
      </c>
      <c r="D1312">
        <v>714010.32471776416</v>
      </c>
      <c r="E1312">
        <v>1.7819500446700776E-5</v>
      </c>
      <c r="F1312">
        <v>1.7804228812400651E-5</v>
      </c>
      <c r="G1312">
        <v>1.5271634300124845E-8</v>
      </c>
      <c r="H1312" t="b">
        <v>0</v>
      </c>
    </row>
    <row r="1313" spans="1:8" x14ac:dyDescent="0.15">
      <c r="A1313">
        <v>54</v>
      </c>
      <c r="B1313">
        <v>34</v>
      </c>
      <c r="C1313">
        <v>702479.65248124988</v>
      </c>
      <c r="D1313">
        <v>691491.69856578705</v>
      </c>
      <c r="E1313">
        <v>1.7819019671407532E-5</v>
      </c>
      <c r="F1313">
        <v>1.7804228812400651E-5</v>
      </c>
      <c r="G1313">
        <v>1.4790859006880695E-8</v>
      </c>
      <c r="H1313" t="b">
        <v>0</v>
      </c>
    </row>
    <row r="1314" spans="1:8" x14ac:dyDescent="0.15">
      <c r="A1314">
        <v>54</v>
      </c>
      <c r="B1314">
        <v>35</v>
      </c>
      <c r="C1314">
        <v>702480.08988124994</v>
      </c>
      <c r="D1314">
        <v>702750.61217032222</v>
      </c>
      <c r="E1314">
        <v>1.7819260057541551E-5</v>
      </c>
      <c r="F1314">
        <v>1.7804228812400651E-5</v>
      </c>
      <c r="G1314">
        <v>1.5031245140900132E-8</v>
      </c>
      <c r="H1314" t="b">
        <v>0</v>
      </c>
    </row>
    <row r="1315" spans="1:8" x14ac:dyDescent="0.15">
      <c r="A1315">
        <v>55</v>
      </c>
      <c r="B1315">
        <v>1</v>
      </c>
      <c r="C1315">
        <v>6050000</v>
      </c>
      <c r="D1315">
        <v>3.7403077314942991E+18</v>
      </c>
      <c r="E1315">
        <v>536.87092200000006</v>
      </c>
      <c r="F1315">
        <v>1.3051628798166348E-5</v>
      </c>
      <c r="G1315">
        <v>536.87090894837127</v>
      </c>
      <c r="H1315" t="b">
        <v>0</v>
      </c>
    </row>
    <row r="1316" spans="1:8" x14ac:dyDescent="0.15">
      <c r="A1316">
        <v>55</v>
      </c>
      <c r="B1316">
        <v>2</v>
      </c>
      <c r="C1316">
        <v>3075000</v>
      </c>
      <c r="D1316">
        <v>3.7403077314942991E+18</v>
      </c>
      <c r="E1316">
        <v>536.87092200000006</v>
      </c>
      <c r="F1316">
        <v>1.3051628798166348E-5</v>
      </c>
      <c r="G1316">
        <v>536.87090894837127</v>
      </c>
      <c r="H1316" t="b">
        <v>0</v>
      </c>
    </row>
    <row r="1317" spans="1:8" x14ac:dyDescent="0.15">
      <c r="A1317">
        <v>55</v>
      </c>
      <c r="B1317">
        <v>3</v>
      </c>
      <c r="C1317">
        <v>1587500</v>
      </c>
      <c r="D1317">
        <v>1.4853031384172422E+16</v>
      </c>
      <c r="E1317">
        <v>4.268549922825267</v>
      </c>
      <c r="F1317">
        <v>1.3051628850568875E-5</v>
      </c>
      <c r="G1317">
        <v>4.2685368711964164</v>
      </c>
      <c r="H1317" t="b">
        <v>0</v>
      </c>
    </row>
    <row r="1318" spans="1:8" x14ac:dyDescent="0.15">
      <c r="A1318">
        <v>55</v>
      </c>
      <c r="B1318">
        <v>4</v>
      </c>
      <c r="C1318">
        <v>843750</v>
      </c>
      <c r="D1318">
        <v>26912834262.328205</v>
      </c>
      <c r="E1318">
        <v>1.091928114145474E-4</v>
      </c>
      <c r="F1318">
        <v>1.3051628850669109E-5</v>
      </c>
      <c r="G1318">
        <v>9.6141182563878294E-5</v>
      </c>
      <c r="H1318" t="b">
        <v>0</v>
      </c>
    </row>
    <row r="1319" spans="1:8" x14ac:dyDescent="0.15">
      <c r="A1319">
        <v>55</v>
      </c>
      <c r="B1319">
        <v>5</v>
      </c>
      <c r="C1319">
        <v>471875</v>
      </c>
      <c r="D1319">
        <v>-32765.766742171152</v>
      </c>
      <c r="E1319">
        <v>-5.1905924139439321E-6</v>
      </c>
      <c r="F1319">
        <v>1.3051628850669109E-5</v>
      </c>
      <c r="G1319">
        <v>-1.8242221264613042E-5</v>
      </c>
      <c r="H1319" t="b">
        <v>1</v>
      </c>
    </row>
    <row r="1320" spans="1:8" x14ac:dyDescent="0.15">
      <c r="A1320">
        <v>55</v>
      </c>
      <c r="B1320">
        <v>6</v>
      </c>
      <c r="C1320">
        <v>657812.5</v>
      </c>
      <c r="D1320">
        <v>-370786.7325939883</v>
      </c>
      <c r="E1320">
        <v>2.5215961128207779E-6</v>
      </c>
      <c r="F1320">
        <v>1.3051628850669111E-5</v>
      </c>
      <c r="G1320">
        <v>-1.0530032737848334E-5</v>
      </c>
      <c r="H1320" t="b">
        <v>1</v>
      </c>
    </row>
    <row r="1321" spans="1:8" x14ac:dyDescent="0.15">
      <c r="A1321">
        <v>55</v>
      </c>
      <c r="B1321">
        <v>7</v>
      </c>
      <c r="C1321">
        <v>750781.25</v>
      </c>
      <c r="D1321">
        <v>-80802498.530750468</v>
      </c>
      <c r="E1321">
        <v>1.0398394278727922E-5</v>
      </c>
      <c r="F1321">
        <v>1.3051628850669111E-5</v>
      </c>
      <c r="G1321">
        <v>-2.6532345719411896E-6</v>
      </c>
      <c r="H1321" t="b">
        <v>1</v>
      </c>
    </row>
    <row r="1322" spans="1:8" x14ac:dyDescent="0.15">
      <c r="A1322">
        <v>55</v>
      </c>
      <c r="B1322">
        <v>8</v>
      </c>
      <c r="C1322">
        <v>797265.625</v>
      </c>
      <c r="D1322">
        <v>3300372242.6057358</v>
      </c>
      <c r="E1322">
        <v>3.3189727939638991E-5</v>
      </c>
      <c r="F1322">
        <v>1.3051628850669109E-5</v>
      </c>
      <c r="G1322">
        <v>2.0138099088969881E-5</v>
      </c>
      <c r="H1322" t="b">
        <v>0</v>
      </c>
    </row>
    <row r="1323" spans="1:8" x14ac:dyDescent="0.15">
      <c r="A1323">
        <v>55</v>
      </c>
      <c r="B1323">
        <v>9</v>
      </c>
      <c r="C1323">
        <v>774023.4375</v>
      </c>
      <c r="D1323">
        <v>476421371.02547127</v>
      </c>
      <c r="E1323">
        <v>1.7596359753754268E-5</v>
      </c>
      <c r="F1323">
        <v>1.3051628850669111E-5</v>
      </c>
      <c r="G1323">
        <v>4.5447309030851572E-6</v>
      </c>
      <c r="H1323" t="b">
        <v>0</v>
      </c>
    </row>
    <row r="1324" spans="1:8" x14ac:dyDescent="0.15">
      <c r="A1324">
        <v>55</v>
      </c>
      <c r="B1324">
        <v>10</v>
      </c>
      <c r="C1324">
        <v>762402.34375</v>
      </c>
      <c r="D1324">
        <v>-21045369.729256611</v>
      </c>
      <c r="E1324">
        <v>1.2671296235586806E-5</v>
      </c>
      <c r="F1324">
        <v>1.3051628850669111E-5</v>
      </c>
      <c r="G1324">
        <v>-3.8033261508230516E-7</v>
      </c>
      <c r="H1324" t="b">
        <v>1</v>
      </c>
    </row>
    <row r="1325" spans="1:8" x14ac:dyDescent="0.15">
      <c r="A1325">
        <v>55</v>
      </c>
      <c r="B1325">
        <v>11</v>
      </c>
      <c r="C1325">
        <v>768212.890625</v>
      </c>
      <c r="D1325">
        <v>150361940.84216326</v>
      </c>
      <c r="E1325">
        <v>1.4952352793068446E-5</v>
      </c>
      <c r="F1325">
        <v>1.3051628850669111E-5</v>
      </c>
      <c r="G1325">
        <v>1.9007239423993346E-6</v>
      </c>
      <c r="H1325" t="b">
        <v>0</v>
      </c>
    </row>
    <row r="1326" spans="1:8" x14ac:dyDescent="0.15">
      <c r="A1326">
        <v>55</v>
      </c>
      <c r="B1326">
        <v>12</v>
      </c>
      <c r="C1326">
        <v>765307.6171875</v>
      </c>
      <c r="D1326">
        <v>48077308.534343861</v>
      </c>
      <c r="E1326">
        <v>1.3769592971067893E-5</v>
      </c>
      <c r="F1326">
        <v>1.3051628850669111E-5</v>
      </c>
      <c r="G1326">
        <v>7.1796412039878144E-7</v>
      </c>
      <c r="H1326" t="b">
        <v>0</v>
      </c>
    </row>
    <row r="1327" spans="1:8" x14ac:dyDescent="0.15">
      <c r="A1327">
        <v>55</v>
      </c>
      <c r="B1327">
        <v>13</v>
      </c>
      <c r="C1327">
        <v>763854.98046875</v>
      </c>
      <c r="D1327">
        <v>9660716.9992916491</v>
      </c>
      <c r="E1327">
        <v>1.3209801533220418E-5</v>
      </c>
      <c r="F1327">
        <v>1.3051628850669111E-5</v>
      </c>
      <c r="G1327">
        <v>1.5817268255130689E-7</v>
      </c>
      <c r="H1327" t="b">
        <v>0</v>
      </c>
    </row>
    <row r="1328" spans="1:8" x14ac:dyDescent="0.15">
      <c r="A1328">
        <v>55</v>
      </c>
      <c r="B1328">
        <v>14</v>
      </c>
      <c r="C1328">
        <v>762654.98046875</v>
      </c>
      <c r="D1328">
        <v>-16230684.154405391</v>
      </c>
      <c r="E1328">
        <v>1.2763453831209142E-5</v>
      </c>
      <c r="F1328">
        <v>1.3051628850669111E-5</v>
      </c>
      <c r="G1328">
        <v>-2.8817501945996871E-7</v>
      </c>
      <c r="H1328" t="b">
        <v>1</v>
      </c>
    </row>
    <row r="1329" spans="1:8" x14ac:dyDescent="0.15">
      <c r="A1329">
        <v>55</v>
      </c>
      <c r="B1329">
        <v>15</v>
      </c>
      <c r="C1329">
        <v>763254.98046875</v>
      </c>
      <c r="D1329">
        <v>-3919711.819217829</v>
      </c>
      <c r="E1329">
        <v>1.298483898750686E-5</v>
      </c>
      <c r="F1329">
        <v>1.3051628850669111E-5</v>
      </c>
      <c r="G1329">
        <v>-6.6789863162250971E-8</v>
      </c>
      <c r="H1329" t="b">
        <v>1</v>
      </c>
    </row>
    <row r="1330" spans="1:8" x14ac:dyDescent="0.15">
      <c r="A1330">
        <v>55</v>
      </c>
      <c r="B1330">
        <v>16</v>
      </c>
      <c r="C1330">
        <v>763854.98046875</v>
      </c>
      <c r="D1330">
        <v>9660716.9992916491</v>
      </c>
      <c r="E1330">
        <v>1.3209801533220418E-5</v>
      </c>
      <c r="F1330">
        <v>1.3051628850669111E-5</v>
      </c>
      <c r="G1330">
        <v>1.5817268255130689E-7</v>
      </c>
      <c r="H1330" t="b">
        <v>0</v>
      </c>
    </row>
    <row r="1331" spans="1:8" x14ac:dyDescent="0.15">
      <c r="A1331">
        <v>55</v>
      </c>
      <c r="B1331">
        <v>17</v>
      </c>
      <c r="C1331">
        <v>763554.98046875</v>
      </c>
      <c r="D1331">
        <v>2708982.1494826814</v>
      </c>
      <c r="E1331">
        <v>1.3096869756596502E-5</v>
      </c>
      <c r="F1331">
        <v>1.3051628850669111E-5</v>
      </c>
      <c r="G1331">
        <v>4.5240905927390593E-8</v>
      </c>
      <c r="H1331" t="b">
        <v>0</v>
      </c>
    </row>
    <row r="1332" spans="1:8" x14ac:dyDescent="0.15">
      <c r="A1332">
        <v>55</v>
      </c>
      <c r="B1332">
        <v>18</v>
      </c>
      <c r="C1332">
        <v>763194.98046875</v>
      </c>
      <c r="D1332">
        <v>-5207087.8744851649</v>
      </c>
      <c r="E1332">
        <v>1.2962542089727216E-5</v>
      </c>
      <c r="F1332">
        <v>1.3051628850669111E-5</v>
      </c>
      <c r="G1332">
        <v>-8.9086760941894667E-8</v>
      </c>
      <c r="H1332" t="b">
        <v>1</v>
      </c>
    </row>
    <row r="1333" spans="1:8" x14ac:dyDescent="0.15">
      <c r="A1333">
        <v>55</v>
      </c>
      <c r="B1333">
        <v>19</v>
      </c>
      <c r="C1333">
        <v>763374.98046875</v>
      </c>
      <c r="D1333">
        <v>-1306634.1588972739</v>
      </c>
      <c r="E1333">
        <v>1.3029543602628504E-5</v>
      </c>
      <c r="F1333">
        <v>1.3051628850669111E-5</v>
      </c>
      <c r="G1333">
        <v>-2.2085248040606788E-8</v>
      </c>
      <c r="H1333" t="b">
        <v>1</v>
      </c>
    </row>
    <row r="1334" spans="1:8" x14ac:dyDescent="0.15">
      <c r="A1334">
        <v>55</v>
      </c>
      <c r="B1334">
        <v>20</v>
      </c>
      <c r="C1334">
        <v>763554.98046875</v>
      </c>
      <c r="D1334">
        <v>2708982.1494826814</v>
      </c>
      <c r="E1334">
        <v>1.3096869756596502E-5</v>
      </c>
      <c r="F1334">
        <v>1.3051628850669111E-5</v>
      </c>
      <c r="G1334">
        <v>4.5240905927390593E-8</v>
      </c>
      <c r="H1334" t="b">
        <v>0</v>
      </c>
    </row>
    <row r="1335" spans="1:8" x14ac:dyDescent="0.15">
      <c r="A1335">
        <v>55</v>
      </c>
      <c r="B1335">
        <v>21</v>
      </c>
      <c r="C1335">
        <v>763464.98046875</v>
      </c>
      <c r="D1335">
        <v>686815.66348991729</v>
      </c>
      <c r="E1335">
        <v>1.3063167924408013E-5</v>
      </c>
      <c r="F1335">
        <v>1.3051628850669111E-5</v>
      </c>
      <c r="G1335">
        <v>1.1539073738901974E-8</v>
      </c>
      <c r="H1335" t="b">
        <v>0</v>
      </c>
    </row>
    <row r="1336" spans="1:8" x14ac:dyDescent="0.15">
      <c r="A1336">
        <v>55</v>
      </c>
      <c r="B1336">
        <v>22</v>
      </c>
      <c r="C1336">
        <v>763509.98046875</v>
      </c>
      <c r="D1336">
        <v>1694325.7992393365</v>
      </c>
      <c r="E1336">
        <v>1.3080009567644278E-5</v>
      </c>
      <c r="F1336">
        <v>1.3051628850669111E-5</v>
      </c>
      <c r="G1336">
        <v>2.838071697516653E-8</v>
      </c>
      <c r="H1336" t="b">
        <v>0</v>
      </c>
    </row>
    <row r="1337" spans="1:8" x14ac:dyDescent="0.15">
      <c r="A1337">
        <v>55</v>
      </c>
      <c r="B1337">
        <v>23</v>
      </c>
      <c r="C1337">
        <v>763487.48046875</v>
      </c>
      <c r="D1337">
        <v>1189564.053928647</v>
      </c>
      <c r="E1337">
        <v>1.3071584515412667E-5</v>
      </c>
      <c r="F1337">
        <v>1.3051628850669111E-5</v>
      </c>
      <c r="G1337">
        <v>1.995566474355593E-8</v>
      </c>
      <c r="H1337" t="b">
        <v>0</v>
      </c>
    </row>
    <row r="1338" spans="1:8" x14ac:dyDescent="0.15">
      <c r="A1338">
        <v>55</v>
      </c>
      <c r="B1338">
        <v>24</v>
      </c>
      <c r="C1338">
        <v>763460.48046875</v>
      </c>
      <c r="D1338">
        <v>586462.60884022573</v>
      </c>
      <c r="E1338">
        <v>1.3061484872965532E-5</v>
      </c>
      <c r="F1338">
        <v>1.3051628850669111E-5</v>
      </c>
      <c r="G1338">
        <v>9.856022296420483E-9</v>
      </c>
      <c r="H1338" t="b">
        <v>0</v>
      </c>
    </row>
    <row r="1339" spans="1:8" x14ac:dyDescent="0.15">
      <c r="A1339">
        <v>55</v>
      </c>
      <c r="B1339">
        <v>25</v>
      </c>
      <c r="C1339">
        <v>763473.98046875</v>
      </c>
      <c r="D1339">
        <v>887637.1671389488</v>
      </c>
      <c r="E1339">
        <v>1.3066532934061114E-5</v>
      </c>
      <c r="F1339">
        <v>1.3051628850669111E-5</v>
      </c>
      <c r="G1339">
        <v>1.4904083392002767E-8</v>
      </c>
      <c r="H1339" t="b">
        <v>0</v>
      </c>
    </row>
    <row r="1340" spans="1:8" x14ac:dyDescent="0.15">
      <c r="A1340">
        <v>55</v>
      </c>
      <c r="B1340">
        <v>26</v>
      </c>
      <c r="C1340">
        <v>763467.23046875</v>
      </c>
      <c r="D1340">
        <v>737019.30158268753</v>
      </c>
      <c r="E1340">
        <v>1.3064009525981382E-5</v>
      </c>
      <c r="F1340">
        <v>1.3051628850669111E-5</v>
      </c>
      <c r="G1340">
        <v>1.2380675312270947E-8</v>
      </c>
      <c r="H1340" t="b">
        <v>0</v>
      </c>
    </row>
    <row r="1341" spans="1:8" x14ac:dyDescent="0.15">
      <c r="A1341">
        <v>55</v>
      </c>
      <c r="B1341">
        <v>27</v>
      </c>
      <c r="C1341">
        <v>763470.60546875</v>
      </c>
      <c r="D1341">
        <v>812358.65389180463</v>
      </c>
      <c r="E1341">
        <v>1.3065272023163714E-5</v>
      </c>
      <c r="F1341">
        <v>1.3051628850669111E-5</v>
      </c>
      <c r="G1341">
        <v>1.3643172494602523E-8</v>
      </c>
      <c r="H1341" t="b">
        <v>0</v>
      </c>
    </row>
    <row r="1342" spans="1:8" x14ac:dyDescent="0.15">
      <c r="A1342">
        <v>55</v>
      </c>
      <c r="B1342">
        <v>28</v>
      </c>
      <c r="C1342">
        <v>763468.91796875</v>
      </c>
      <c r="D1342">
        <v>774683.89311308018</v>
      </c>
      <c r="E1342">
        <v>1.3064640760349508E-5</v>
      </c>
      <c r="F1342">
        <v>1.3051628850669111E-5</v>
      </c>
      <c r="G1342">
        <v>1.3011909680396604E-8</v>
      </c>
      <c r="H1342" t="b">
        <v>0</v>
      </c>
    </row>
    <row r="1343" spans="1:8" x14ac:dyDescent="0.15">
      <c r="A1343">
        <v>55</v>
      </c>
      <c r="B1343">
        <v>29</v>
      </c>
      <c r="C1343">
        <v>763466.89296874998</v>
      </c>
      <c r="D1343">
        <v>729487.60359724646</v>
      </c>
      <c r="E1343">
        <v>1.306388328252286E-5</v>
      </c>
      <c r="F1343">
        <v>1.3051628850669111E-5</v>
      </c>
      <c r="G1343">
        <v>1.2254431853748489E-8</v>
      </c>
      <c r="H1343" t="b">
        <v>0</v>
      </c>
    </row>
    <row r="1344" spans="1:8" x14ac:dyDescent="0.15">
      <c r="A1344">
        <v>55</v>
      </c>
      <c r="B1344">
        <v>30</v>
      </c>
      <c r="C1344">
        <v>763467.90546874993</v>
      </c>
      <c r="D1344">
        <v>751982.49829053425</v>
      </c>
      <c r="E1344">
        <v>1.3064260316548066E-5</v>
      </c>
      <c r="F1344">
        <v>1.3051628850669111E-5</v>
      </c>
      <c r="G1344">
        <v>1.2631465878954861E-8</v>
      </c>
      <c r="H1344" t="b">
        <v>0</v>
      </c>
    </row>
    <row r="1345" spans="1:8" x14ac:dyDescent="0.15">
      <c r="A1345">
        <v>55</v>
      </c>
      <c r="B1345">
        <v>31</v>
      </c>
      <c r="C1345">
        <v>763469.1204687499</v>
      </c>
      <c r="D1345">
        <v>779204.32749251742</v>
      </c>
      <c r="E1345">
        <v>1.3064716510385944E-5</v>
      </c>
      <c r="F1345">
        <v>1.3051628850669111E-5</v>
      </c>
      <c r="G1345">
        <v>1.3087659716833129E-8</v>
      </c>
      <c r="H1345" t="b">
        <v>0</v>
      </c>
    </row>
    <row r="1346" spans="1:8" x14ac:dyDescent="0.15">
      <c r="A1346">
        <v>55</v>
      </c>
      <c r="B1346">
        <v>32</v>
      </c>
      <c r="C1346">
        <v>763468.51296874986</v>
      </c>
      <c r="D1346">
        <v>765542.03403313283</v>
      </c>
      <c r="E1346">
        <v>1.3064487561708907E-5</v>
      </c>
      <c r="F1346">
        <v>1.3051628850669111E-5</v>
      </c>
      <c r="G1346">
        <v>1.2858711039796314E-8</v>
      </c>
      <c r="H1346" t="b">
        <v>0</v>
      </c>
    </row>
    <row r="1347" spans="1:8" x14ac:dyDescent="0.15">
      <c r="A1347">
        <v>56</v>
      </c>
      <c r="B1347">
        <v>1</v>
      </c>
      <c r="C1347">
        <v>6050000</v>
      </c>
      <c r="D1347">
        <v>3.6348235974924406E+18</v>
      </c>
      <c r="E1347">
        <v>536.87092200000006</v>
      </c>
      <c r="F1347">
        <v>1.3313705153450428E-5</v>
      </c>
      <c r="G1347">
        <v>536.87090868629491</v>
      </c>
      <c r="H1347" t="b">
        <v>0</v>
      </c>
    </row>
    <row r="1348" spans="1:8" x14ac:dyDescent="0.15">
      <c r="A1348">
        <v>56</v>
      </c>
      <c r="B1348">
        <v>2</v>
      </c>
      <c r="C1348">
        <v>3075000</v>
      </c>
      <c r="D1348">
        <v>6.1192386400125368E+16</v>
      </c>
      <c r="E1348">
        <v>14.888733018797698</v>
      </c>
      <c r="F1348">
        <v>1.3313705165884926E-5</v>
      </c>
      <c r="G1348">
        <v>14.888719705092532</v>
      </c>
      <c r="H1348" t="b">
        <v>0</v>
      </c>
    </row>
    <row r="1349" spans="1:8" x14ac:dyDescent="0.15">
      <c r="A1349">
        <v>56</v>
      </c>
      <c r="B1349">
        <v>3</v>
      </c>
      <c r="C1349">
        <v>1587500</v>
      </c>
      <c r="D1349">
        <v>419746092714.6474</v>
      </c>
      <c r="E1349">
        <v>8.0219581341077094E-4</v>
      </c>
      <c r="F1349">
        <v>1.3313705165212178E-5</v>
      </c>
      <c r="G1349">
        <v>7.8888210824555876E-4</v>
      </c>
      <c r="H1349" t="b">
        <v>0</v>
      </c>
    </row>
    <row r="1350" spans="1:8" x14ac:dyDescent="0.15">
      <c r="A1350">
        <v>56</v>
      </c>
      <c r="B1350">
        <v>4</v>
      </c>
      <c r="C1350">
        <v>843750</v>
      </c>
      <c r="D1350">
        <v>-69714.698289565131</v>
      </c>
      <c r="E1350">
        <v>-1.8966921632286318E-6</v>
      </c>
      <c r="F1350">
        <v>1.3313705165212129E-5</v>
      </c>
      <c r="G1350">
        <v>-1.5210397328440762E-5</v>
      </c>
      <c r="H1350" t="b">
        <v>1</v>
      </c>
    </row>
    <row r="1351" spans="1:8" x14ac:dyDescent="0.15">
      <c r="A1351">
        <v>56</v>
      </c>
      <c r="B1351">
        <v>5</v>
      </c>
      <c r="C1351">
        <v>1215625</v>
      </c>
      <c r="D1351">
        <v>-76753199.793229476</v>
      </c>
      <c r="E1351">
        <v>9.8336841749422648E-6</v>
      </c>
      <c r="F1351">
        <v>1.3313705165212129E-5</v>
      </c>
      <c r="G1351">
        <v>-3.4800209902698645E-6</v>
      </c>
      <c r="H1351" t="b">
        <v>1</v>
      </c>
    </row>
    <row r="1352" spans="1:8" x14ac:dyDescent="0.15">
      <c r="A1352">
        <v>56</v>
      </c>
      <c r="B1352">
        <v>6</v>
      </c>
      <c r="C1352">
        <v>1401562.5</v>
      </c>
      <c r="D1352">
        <v>23897014446.489624</v>
      </c>
      <c r="E1352">
        <v>1.0323655610223305E-4</v>
      </c>
      <c r="F1352">
        <v>1.3313705165212124E-5</v>
      </c>
      <c r="G1352">
        <v>8.992285093702093E-5</v>
      </c>
      <c r="H1352" t="b">
        <v>0</v>
      </c>
    </row>
    <row r="1353" spans="1:8" x14ac:dyDescent="0.15">
      <c r="A1353">
        <v>56</v>
      </c>
      <c r="B1353">
        <v>7</v>
      </c>
      <c r="C1353">
        <v>1308593.75</v>
      </c>
      <c r="D1353">
        <v>2722947836.9277453</v>
      </c>
      <c r="E1353">
        <v>3.1090929883774638E-5</v>
      </c>
      <c r="F1353">
        <v>1.3313705165212131E-5</v>
      </c>
      <c r="G1353">
        <v>1.7777224718562507E-5</v>
      </c>
      <c r="H1353" t="b">
        <v>0</v>
      </c>
    </row>
    <row r="1354" spans="1:8" x14ac:dyDescent="0.15">
      <c r="A1354">
        <v>56</v>
      </c>
      <c r="B1354">
        <v>8</v>
      </c>
      <c r="C1354">
        <v>1262109.375</v>
      </c>
      <c r="D1354">
        <v>242804376.62097761</v>
      </c>
      <c r="E1354">
        <v>1.6121055346768805E-5</v>
      </c>
      <c r="F1354">
        <v>1.3313705165212129E-5</v>
      </c>
      <c r="G1354">
        <v>2.8073501815566752E-6</v>
      </c>
      <c r="H1354" t="b">
        <v>0</v>
      </c>
    </row>
    <row r="1355" spans="1:8" x14ac:dyDescent="0.15">
      <c r="A1355">
        <v>56</v>
      </c>
      <c r="B1355">
        <v>9</v>
      </c>
      <c r="C1355">
        <v>1238867.1875</v>
      </c>
      <c r="D1355">
        <v>-67894778.059714392</v>
      </c>
      <c r="E1355">
        <v>1.1688950309428911E-5</v>
      </c>
      <c r="F1355">
        <v>1.3313705165212129E-5</v>
      </c>
      <c r="G1355">
        <v>-1.6247548557832187E-6</v>
      </c>
      <c r="H1355" t="b">
        <v>1</v>
      </c>
    </row>
    <row r="1356" spans="1:8" x14ac:dyDescent="0.15">
      <c r="A1356">
        <v>56</v>
      </c>
      <c r="B1356">
        <v>10</v>
      </c>
      <c r="C1356">
        <v>1250488.28125</v>
      </c>
      <c r="D1356">
        <v>16864609.871036626</v>
      </c>
      <c r="E1356">
        <v>1.3587636935820872E-5</v>
      </c>
      <c r="F1356">
        <v>1.3313705165212129E-5</v>
      </c>
      <c r="G1356">
        <v>2.7393177060874297E-7</v>
      </c>
      <c r="H1356" t="b">
        <v>0</v>
      </c>
    </row>
    <row r="1357" spans="1:8" x14ac:dyDescent="0.15">
      <c r="A1357">
        <v>56</v>
      </c>
      <c r="B1357">
        <v>11</v>
      </c>
      <c r="C1357">
        <v>1244677.734375</v>
      </c>
      <c r="D1357">
        <v>-42547294.270704858</v>
      </c>
      <c r="E1357">
        <v>1.2461646666689777E-5</v>
      </c>
      <c r="F1357">
        <v>1.3313705165212129E-5</v>
      </c>
      <c r="G1357">
        <v>-8.5205849852235238E-7</v>
      </c>
      <c r="H1357" t="b">
        <v>1</v>
      </c>
    </row>
    <row r="1358" spans="1:8" x14ac:dyDescent="0.15">
      <c r="A1358">
        <v>56</v>
      </c>
      <c r="B1358">
        <v>12</v>
      </c>
      <c r="C1358">
        <v>1247583.0078125</v>
      </c>
      <c r="D1358">
        <v>-16709073.628655836</v>
      </c>
      <c r="E1358">
        <v>1.3013588686846685E-5</v>
      </c>
      <c r="F1358">
        <v>1.3313705165212129E-5</v>
      </c>
      <c r="G1358">
        <v>-3.0011647836544448E-7</v>
      </c>
      <c r="H1358" t="b">
        <v>1</v>
      </c>
    </row>
    <row r="1359" spans="1:8" x14ac:dyDescent="0.15">
      <c r="A1359">
        <v>56</v>
      </c>
      <c r="B1359">
        <v>13</v>
      </c>
      <c r="C1359">
        <v>1249035.64453125</v>
      </c>
      <c r="D1359">
        <v>-932023.09568783373</v>
      </c>
      <c r="E1359">
        <v>1.3297800877331145E-5</v>
      </c>
      <c r="F1359">
        <v>1.3313705165212129E-5</v>
      </c>
      <c r="G1359">
        <v>-1.5904287880984691E-8</v>
      </c>
      <c r="H1359" t="b">
        <v>1</v>
      </c>
    </row>
    <row r="1360" spans="1:8" x14ac:dyDescent="0.15">
      <c r="A1360">
        <v>56</v>
      </c>
      <c r="B1360">
        <v>14</v>
      </c>
      <c r="C1360">
        <v>1249535.64453125</v>
      </c>
      <c r="D1360">
        <v>4961354.8555245157</v>
      </c>
      <c r="E1360">
        <v>1.3396924474478832E-5</v>
      </c>
      <c r="F1360">
        <v>1.3313705165212129E-5</v>
      </c>
      <c r="G1360">
        <v>8.3219309266702678E-8</v>
      </c>
      <c r="H1360" t="b">
        <v>0</v>
      </c>
    </row>
    <row r="1361" spans="1:8" x14ac:dyDescent="0.15">
      <c r="A1361">
        <v>56</v>
      </c>
      <c r="B1361">
        <v>15</v>
      </c>
      <c r="C1361">
        <v>1249285.64453125</v>
      </c>
      <c r="D1361">
        <v>1984499.2338061298</v>
      </c>
      <c r="E1361">
        <v>1.3347278506563799E-5</v>
      </c>
      <c r="F1361">
        <v>1.3313705165212129E-5</v>
      </c>
      <c r="G1361">
        <v>3.3573341351669179E-8</v>
      </c>
      <c r="H1361" t="b">
        <v>0</v>
      </c>
    </row>
    <row r="1362" spans="1:8" x14ac:dyDescent="0.15">
      <c r="A1362">
        <v>56</v>
      </c>
      <c r="B1362">
        <v>16</v>
      </c>
      <c r="C1362">
        <v>1248985.64453125</v>
      </c>
      <c r="D1362">
        <v>-1508062.6197054836</v>
      </c>
      <c r="E1362">
        <v>1.3287926611353805E-5</v>
      </c>
      <c r="F1362">
        <v>1.3313705165212129E-5</v>
      </c>
      <c r="G1362">
        <v>-2.5778553858324163E-8</v>
      </c>
      <c r="H1362" t="b">
        <v>1</v>
      </c>
    </row>
    <row r="1363" spans="1:8" x14ac:dyDescent="0.15">
      <c r="A1363">
        <v>56</v>
      </c>
      <c r="B1363">
        <v>17</v>
      </c>
      <c r="C1363">
        <v>1249135.64453125</v>
      </c>
      <c r="D1363">
        <v>227457.4639434907</v>
      </c>
      <c r="E1363">
        <v>1.3317573171373299E-5</v>
      </c>
      <c r="F1363">
        <v>1.3313705165212129E-5</v>
      </c>
      <c r="G1363">
        <v>3.8680061611694725E-9</v>
      </c>
      <c r="H1363" t="b">
        <v>0</v>
      </c>
    </row>
    <row r="1364" spans="1:8" x14ac:dyDescent="0.15">
      <c r="A1364">
        <v>56</v>
      </c>
      <c r="B1364">
        <v>18</v>
      </c>
      <c r="C1364">
        <v>1249315.64453125</v>
      </c>
      <c r="D1364">
        <v>2338522.422113081</v>
      </c>
      <c r="E1364">
        <v>1.3353227039349949E-5</v>
      </c>
      <c r="F1364">
        <v>1.3313705165212129E-5</v>
      </c>
      <c r="G1364">
        <v>3.9521874137819613E-8</v>
      </c>
      <c r="H1364" t="b">
        <v>0</v>
      </c>
    </row>
    <row r="1365" spans="1:8" x14ac:dyDescent="0.15">
      <c r="A1365">
        <v>56</v>
      </c>
      <c r="B1365">
        <v>19</v>
      </c>
      <c r="C1365">
        <v>1249225.64453125</v>
      </c>
      <c r="D1365">
        <v>1279055.1755084682</v>
      </c>
      <c r="E1365">
        <v>1.3335388657618662E-5</v>
      </c>
      <c r="F1365">
        <v>1.3313705165212129E-5</v>
      </c>
      <c r="G1365">
        <v>2.1683492406532597E-8</v>
      </c>
      <c r="H1365" t="b">
        <v>0</v>
      </c>
    </row>
    <row r="1366" spans="1:8" x14ac:dyDescent="0.15">
      <c r="A1366">
        <v>56</v>
      </c>
      <c r="B1366">
        <v>20</v>
      </c>
      <c r="C1366">
        <v>1249117.64453125</v>
      </c>
      <c r="D1366">
        <v>17982.679410228786</v>
      </c>
      <c r="E1366">
        <v>1.3314011158050444E-5</v>
      </c>
      <c r="F1366">
        <v>1.3313705165212129E-5</v>
      </c>
      <c r="G1366">
        <v>3.0599283831480803E-10</v>
      </c>
      <c r="H1366" t="b">
        <v>0</v>
      </c>
    </row>
    <row r="1367" spans="1:8" x14ac:dyDescent="0.15">
      <c r="A1367">
        <v>56</v>
      </c>
      <c r="B1367">
        <v>21</v>
      </c>
      <c r="C1367">
        <v>1249171.64453125</v>
      </c>
      <c r="D1367">
        <v>647192.26900651003</v>
      </c>
      <c r="E1367">
        <v>1.332469727516899E-5</v>
      </c>
      <c r="F1367">
        <v>1.3313705165212129E-5</v>
      </c>
      <c r="G1367">
        <v>1.0992109956860558E-8</v>
      </c>
      <c r="H1367" t="b">
        <v>0</v>
      </c>
    </row>
    <row r="1368" spans="1:8" x14ac:dyDescent="0.15">
      <c r="A1368">
        <v>56</v>
      </c>
      <c r="B1368">
        <v>22</v>
      </c>
      <c r="C1368">
        <v>1249236.44453125</v>
      </c>
      <c r="D1368">
        <v>1405779.2368624075</v>
      </c>
      <c r="E1368">
        <v>1.3337528120539191E-5</v>
      </c>
      <c r="F1368">
        <v>1.3313705165212129E-5</v>
      </c>
      <c r="G1368">
        <v>2.382295532706148E-8</v>
      </c>
      <c r="H1368" t="b">
        <v>0</v>
      </c>
    </row>
    <row r="1369" spans="1:8" x14ac:dyDescent="0.15">
      <c r="A1369">
        <v>56</v>
      </c>
      <c r="B1369">
        <v>23</v>
      </c>
      <c r="C1369">
        <v>1249204.0445312501</v>
      </c>
      <c r="D1369">
        <v>1026018.27979401</v>
      </c>
      <c r="E1369">
        <v>1.3331111926526073E-5</v>
      </c>
      <c r="F1369">
        <v>1.3313705165212129E-5</v>
      </c>
      <c r="G1369">
        <v>1.740676131394376E-8</v>
      </c>
      <c r="H1369" t="b">
        <v>0</v>
      </c>
    </row>
    <row r="1370" spans="1:8" x14ac:dyDescent="0.15">
      <c r="A1370">
        <v>56</v>
      </c>
      <c r="B1370">
        <v>24</v>
      </c>
      <c r="C1370">
        <v>1249220.2445312501</v>
      </c>
      <c r="D1370">
        <v>1215809.8436237653</v>
      </c>
      <c r="E1370">
        <v>1.3334320303410409E-5</v>
      </c>
      <c r="F1370">
        <v>1.3313705165212129E-5</v>
      </c>
      <c r="G1370">
        <v>2.0615138198279323E-8</v>
      </c>
      <c r="H1370" t="b">
        <v>0</v>
      </c>
    </row>
    <row r="1371" spans="1:8" x14ac:dyDescent="0.15">
      <c r="A1371">
        <v>56</v>
      </c>
      <c r="B1371">
        <v>25</v>
      </c>
      <c r="C1371">
        <v>1249239.68453125</v>
      </c>
      <c r="D1371">
        <v>1443893.0743612072</v>
      </c>
      <c r="E1371">
        <v>1.3338171280985788E-5</v>
      </c>
      <c r="F1371">
        <v>1.3313705165212129E-5</v>
      </c>
      <c r="G1371">
        <v>2.4466115773659085E-8</v>
      </c>
      <c r="H1371" t="b">
        <v>0</v>
      </c>
    </row>
    <row r="1372" spans="1:8" x14ac:dyDescent="0.15">
      <c r="A1372">
        <v>56</v>
      </c>
      <c r="B1372">
        <v>26</v>
      </c>
      <c r="C1372">
        <v>1249229.9645312501</v>
      </c>
      <c r="D1372">
        <v>1329731.327502765</v>
      </c>
      <c r="E1372">
        <v>1.3336244405396535E-5</v>
      </c>
      <c r="F1372">
        <v>1.3313705165212129E-5</v>
      </c>
      <c r="G1372">
        <v>2.2539240184405251E-8</v>
      </c>
      <c r="H1372" t="b">
        <v>0</v>
      </c>
    </row>
    <row r="1373" spans="1:8" x14ac:dyDescent="0.15">
      <c r="A1373">
        <v>56</v>
      </c>
      <c r="B1373">
        <v>27</v>
      </c>
      <c r="C1373">
        <v>1249218.30053125</v>
      </c>
      <c r="D1373">
        <v>1193021.5245961703</v>
      </c>
      <c r="E1373">
        <v>1.3333935261174859E-5</v>
      </c>
      <c r="F1373">
        <v>1.3313705165212129E-5</v>
      </c>
      <c r="G1373">
        <v>2.0230095962729856E-8</v>
      </c>
      <c r="H1373" t="b">
        <v>0</v>
      </c>
    </row>
    <row r="1374" spans="1:8" x14ac:dyDescent="0.15">
      <c r="A1374">
        <v>56</v>
      </c>
      <c r="B1374">
        <v>28</v>
      </c>
      <c r="C1374">
        <v>1249224.1325312499</v>
      </c>
      <c r="D1374">
        <v>1261322.7656665966</v>
      </c>
      <c r="E1374">
        <v>1.3335089157674064E-5</v>
      </c>
      <c r="F1374">
        <v>1.3313705165212129E-5</v>
      </c>
      <c r="G1374">
        <v>2.1383992461934367E-8</v>
      </c>
      <c r="H1374" t="b">
        <v>0</v>
      </c>
    </row>
    <row r="1375" spans="1:8" x14ac:dyDescent="0.15">
      <c r="A1375">
        <v>57</v>
      </c>
      <c r="B1375">
        <v>1</v>
      </c>
      <c r="C1375">
        <v>6050000</v>
      </c>
      <c r="D1375">
        <v>6.4125706067523328E+17</v>
      </c>
      <c r="E1375">
        <v>199.38351489277468</v>
      </c>
      <c r="F1375">
        <v>1.7411654511079178E-5</v>
      </c>
      <c r="G1375">
        <v>199.38349748112017</v>
      </c>
      <c r="H1375" t="b">
        <v>0</v>
      </c>
    </row>
    <row r="1376" spans="1:8" x14ac:dyDescent="0.15">
      <c r="A1376">
        <v>57</v>
      </c>
      <c r="B1376">
        <v>2</v>
      </c>
      <c r="C1376">
        <v>3075000</v>
      </c>
      <c r="D1376">
        <v>488554960220567.94</v>
      </c>
      <c r="E1376">
        <v>0.40696878997918923</v>
      </c>
      <c r="F1376">
        <v>1.7411654504362328E-5</v>
      </c>
      <c r="G1376">
        <v>0.40695137832468486</v>
      </c>
      <c r="H1376" t="b">
        <v>0</v>
      </c>
    </row>
    <row r="1377" spans="1:8" x14ac:dyDescent="0.15">
      <c r="A1377">
        <v>57</v>
      </c>
      <c r="B1377">
        <v>3</v>
      </c>
      <c r="C1377">
        <v>1587500</v>
      </c>
      <c r="D1377">
        <v>25014835780.336735</v>
      </c>
      <c r="E1377">
        <v>1.7133449405067318E-4</v>
      </c>
      <c r="F1377">
        <v>1.7411654504353546E-5</v>
      </c>
      <c r="G1377">
        <v>1.5392283954631964E-4</v>
      </c>
      <c r="H1377" t="b">
        <v>0</v>
      </c>
    </row>
    <row r="1378" spans="1:8" x14ac:dyDescent="0.15">
      <c r="A1378">
        <v>57</v>
      </c>
      <c r="B1378">
        <v>4</v>
      </c>
      <c r="C1378">
        <v>843750</v>
      </c>
      <c r="D1378">
        <v>-94659.181024959369</v>
      </c>
      <c r="E1378">
        <v>-1.6613307487587095E-6</v>
      </c>
      <c r="F1378">
        <v>1.741165450435356E-5</v>
      </c>
      <c r="G1378">
        <v>-1.907298525311227E-5</v>
      </c>
      <c r="H1378" t="b">
        <v>1</v>
      </c>
    </row>
    <row r="1379" spans="1:8" x14ac:dyDescent="0.15">
      <c r="A1379">
        <v>57</v>
      </c>
      <c r="B1379">
        <v>5</v>
      </c>
      <c r="C1379">
        <v>1215625</v>
      </c>
      <c r="D1379">
        <v>-3991088.7233443917</v>
      </c>
      <c r="E1379">
        <v>7.7818739096674019E-6</v>
      </c>
      <c r="F1379">
        <v>1.741165450435356E-5</v>
      </c>
      <c r="G1379">
        <v>-9.6297805946861579E-6</v>
      </c>
      <c r="H1379" t="b">
        <v>1</v>
      </c>
    </row>
    <row r="1380" spans="1:8" x14ac:dyDescent="0.15">
      <c r="A1380">
        <v>57</v>
      </c>
      <c r="B1380">
        <v>6</v>
      </c>
      <c r="C1380">
        <v>1401562.5</v>
      </c>
      <c r="D1380">
        <v>902604830.56119907</v>
      </c>
      <c r="E1380">
        <v>3.0069319844348563E-5</v>
      </c>
      <c r="F1380">
        <v>1.741165450435356E-5</v>
      </c>
      <c r="G1380">
        <v>1.2657665339995003E-5</v>
      </c>
      <c r="H1380" t="b">
        <v>0</v>
      </c>
    </row>
    <row r="1381" spans="1:8" x14ac:dyDescent="0.15">
      <c r="A1381">
        <v>57</v>
      </c>
      <c r="B1381">
        <v>7</v>
      </c>
      <c r="C1381">
        <v>1308593.75</v>
      </c>
      <c r="D1381">
        <v>-57341674.207509324</v>
      </c>
      <c r="E1381">
        <v>1.3409403880566808E-5</v>
      </c>
      <c r="F1381">
        <v>1.741165450435356E-5</v>
      </c>
      <c r="G1381">
        <v>-4.0022506237867521E-6</v>
      </c>
      <c r="H1381" t="b">
        <v>1</v>
      </c>
    </row>
    <row r="1382" spans="1:8" x14ac:dyDescent="0.15">
      <c r="A1382">
        <v>57</v>
      </c>
      <c r="B1382">
        <v>8</v>
      </c>
      <c r="C1382">
        <v>1355078.125</v>
      </c>
      <c r="D1382">
        <v>26716641.065929923</v>
      </c>
      <c r="E1382">
        <v>1.8173712799189529E-5</v>
      </c>
      <c r="F1382">
        <v>1.741165450435356E-5</v>
      </c>
      <c r="G1382">
        <v>7.6205829483596941E-7</v>
      </c>
      <c r="H1382" t="b">
        <v>0</v>
      </c>
    </row>
    <row r="1383" spans="1:8" x14ac:dyDescent="0.15">
      <c r="A1383">
        <v>57</v>
      </c>
      <c r="B1383">
        <v>9</v>
      </c>
      <c r="C1383">
        <v>1331835.9375</v>
      </c>
      <c r="D1383">
        <v>-48599593.13459558</v>
      </c>
      <c r="E1383">
        <v>1.5244162467812832E-5</v>
      </c>
      <c r="F1383">
        <v>1.741165450435356E-5</v>
      </c>
      <c r="G1383">
        <v>-2.1674920365407275E-6</v>
      </c>
      <c r="H1383" t="b">
        <v>1</v>
      </c>
    </row>
    <row r="1384" spans="1:8" x14ac:dyDescent="0.15">
      <c r="A1384">
        <v>57</v>
      </c>
      <c r="B1384">
        <v>10</v>
      </c>
      <c r="C1384">
        <v>1343457.03125</v>
      </c>
      <c r="D1384">
        <v>-31514025.939703509</v>
      </c>
      <c r="E1384">
        <v>1.6233771583024796E-5</v>
      </c>
      <c r="F1384">
        <v>1.741165450435356E-5</v>
      </c>
      <c r="G1384">
        <v>-1.1778829213287635E-6</v>
      </c>
      <c r="H1384" t="b">
        <v>1</v>
      </c>
    </row>
    <row r="1385" spans="1:8" x14ac:dyDescent="0.15">
      <c r="A1385">
        <v>57</v>
      </c>
      <c r="B1385">
        <v>11</v>
      </c>
      <c r="C1385">
        <v>1349267.578125</v>
      </c>
      <c r="D1385">
        <v>-11632251.564715175</v>
      </c>
      <c r="E1385">
        <v>1.7026237661369984E-5</v>
      </c>
      <c r="F1385">
        <v>1.741165450435356E-5</v>
      </c>
      <c r="G1385">
        <v>-3.8541684298357598E-7</v>
      </c>
      <c r="H1385" t="b">
        <v>1</v>
      </c>
    </row>
    <row r="1386" spans="1:8" x14ac:dyDescent="0.15">
      <c r="A1386">
        <v>57</v>
      </c>
      <c r="B1386">
        <v>12</v>
      </c>
      <c r="C1386">
        <v>1352172.8515625</v>
      </c>
      <c r="D1386">
        <v>5870826.8883999716</v>
      </c>
      <c r="E1386">
        <v>1.759175344035984E-5</v>
      </c>
      <c r="F1386">
        <v>1.741165450435356E-5</v>
      </c>
      <c r="G1386">
        <v>1.8009893600628047E-7</v>
      </c>
      <c r="H1386" t="b">
        <v>0</v>
      </c>
    </row>
    <row r="1387" spans="1:8" x14ac:dyDescent="0.15">
      <c r="A1387">
        <v>57</v>
      </c>
      <c r="B1387">
        <v>13</v>
      </c>
      <c r="C1387">
        <v>1350720.21484375</v>
      </c>
      <c r="D1387">
        <v>-3285486.4325353722</v>
      </c>
      <c r="E1387">
        <v>1.7306967106983997E-5</v>
      </c>
      <c r="F1387">
        <v>1.741165450435356E-5</v>
      </c>
      <c r="G1387">
        <v>-1.0468739736956296E-7</v>
      </c>
      <c r="H1387" t="b">
        <v>1</v>
      </c>
    </row>
    <row r="1388" spans="1:8" x14ac:dyDescent="0.15">
      <c r="A1388">
        <v>57</v>
      </c>
      <c r="B1388">
        <v>14</v>
      </c>
      <c r="C1388">
        <v>1351220.21484375</v>
      </c>
      <c r="D1388">
        <v>-226535.40165127741</v>
      </c>
      <c r="E1388">
        <v>1.740453083801485E-5</v>
      </c>
      <c r="F1388">
        <v>1.741165450435356E-5</v>
      </c>
      <c r="G1388">
        <v>-7.1236663387102487E-9</v>
      </c>
      <c r="H1388" t="b">
        <v>1</v>
      </c>
    </row>
    <row r="1389" spans="1:8" x14ac:dyDescent="0.15">
      <c r="A1389">
        <v>57</v>
      </c>
      <c r="B1389">
        <v>15</v>
      </c>
      <c r="C1389">
        <v>1351720.21484375</v>
      </c>
      <c r="D1389">
        <v>2929334.6625540862</v>
      </c>
      <c r="E1389">
        <v>1.7502575907525864E-5</v>
      </c>
      <c r="F1389">
        <v>1.741165450435356E-5</v>
      </c>
      <c r="G1389">
        <v>9.0921403172304372E-8</v>
      </c>
      <c r="H1389" t="b">
        <v>0</v>
      </c>
    </row>
    <row r="1390" spans="1:8" x14ac:dyDescent="0.15">
      <c r="A1390">
        <v>57</v>
      </c>
      <c r="B1390">
        <v>16</v>
      </c>
      <c r="C1390">
        <v>1351470.21484375</v>
      </c>
      <c r="D1390">
        <v>1339183.1358655822</v>
      </c>
      <c r="E1390">
        <v>1.7453491964297398E-5</v>
      </c>
      <c r="F1390">
        <v>1.741165450435356E-5</v>
      </c>
      <c r="G1390">
        <v>4.183745994383844E-8</v>
      </c>
      <c r="H1390" t="b">
        <v>0</v>
      </c>
    </row>
    <row r="1391" spans="1:8" x14ac:dyDescent="0.15">
      <c r="A1391">
        <v>58</v>
      </c>
      <c r="B1391">
        <v>1</v>
      </c>
      <c r="C1391">
        <v>6050000</v>
      </c>
      <c r="D1391">
        <v>3.6851858444484946E+18</v>
      </c>
      <c r="E1391">
        <v>536.87092200000006</v>
      </c>
      <c r="F1391">
        <v>1.3176498327993613E-5</v>
      </c>
      <c r="G1391">
        <v>536.87090882350174</v>
      </c>
      <c r="H1391" t="b">
        <v>0</v>
      </c>
    </row>
    <row r="1392" spans="1:8" x14ac:dyDescent="0.15">
      <c r="A1392">
        <v>58</v>
      </c>
      <c r="B1392">
        <v>2</v>
      </c>
      <c r="C1392">
        <v>3075000</v>
      </c>
      <c r="D1392">
        <v>2.8683928526442296E+16</v>
      </c>
      <c r="E1392">
        <v>7.6296866601810951</v>
      </c>
      <c r="F1392">
        <v>1.3176498316447294E-5</v>
      </c>
      <c r="G1392">
        <v>7.6296734836827786</v>
      </c>
      <c r="H1392" t="b">
        <v>0</v>
      </c>
    </row>
    <row r="1393" spans="1:8" x14ac:dyDescent="0.15">
      <c r="A1393">
        <v>58</v>
      </c>
      <c r="B1393">
        <v>3</v>
      </c>
      <c r="C1393">
        <v>1587500</v>
      </c>
      <c r="D1393">
        <v>131582074377.85423</v>
      </c>
      <c r="E1393">
        <v>3.3390426625566437E-4</v>
      </c>
      <c r="F1393">
        <v>1.3176498316423441E-5</v>
      </c>
      <c r="G1393">
        <v>3.2072776793924093E-4</v>
      </c>
      <c r="H1393" t="b">
        <v>0</v>
      </c>
    </row>
    <row r="1394" spans="1:8" x14ac:dyDescent="0.15">
      <c r="A1394">
        <v>58</v>
      </c>
      <c r="B1394">
        <v>4</v>
      </c>
      <c r="C1394">
        <v>843750</v>
      </c>
      <c r="D1394">
        <v>-54083.5279670612</v>
      </c>
      <c r="E1394">
        <v>-2.8989072143183023E-6</v>
      </c>
      <c r="F1394">
        <v>1.3176498316423431E-5</v>
      </c>
      <c r="G1394">
        <v>-1.6075405530741733E-5</v>
      </c>
      <c r="H1394" t="b">
        <v>1</v>
      </c>
    </row>
    <row r="1395" spans="1:8" x14ac:dyDescent="0.15">
      <c r="A1395">
        <v>58</v>
      </c>
      <c r="B1395">
        <v>5</v>
      </c>
      <c r="C1395">
        <v>1215625</v>
      </c>
      <c r="D1395">
        <v>-5841429.9075657073</v>
      </c>
      <c r="E1395">
        <v>6.1985981932045736E-6</v>
      </c>
      <c r="F1395">
        <v>1.3176498316423431E-5</v>
      </c>
      <c r="G1395">
        <v>-6.9779001232188575E-6</v>
      </c>
      <c r="H1395" t="b">
        <v>1</v>
      </c>
    </row>
    <row r="1396" spans="1:8" x14ac:dyDescent="0.15">
      <c r="A1396">
        <v>58</v>
      </c>
      <c r="B1396">
        <v>6</v>
      </c>
      <c r="C1396">
        <v>1401562.5</v>
      </c>
      <c r="D1396">
        <v>5222624054.6575356</v>
      </c>
      <c r="E1396">
        <v>4.1910310820442847E-5</v>
      </c>
      <c r="F1396">
        <v>1.3176498316423431E-5</v>
      </c>
      <c r="G1396">
        <v>2.8733812504019415E-5</v>
      </c>
      <c r="H1396" t="b">
        <v>0</v>
      </c>
    </row>
    <row r="1397" spans="1:8" x14ac:dyDescent="0.15">
      <c r="A1397">
        <v>58</v>
      </c>
      <c r="B1397">
        <v>7</v>
      </c>
      <c r="C1397">
        <v>1308593.75</v>
      </c>
      <c r="D1397">
        <v>-43158219.446910061</v>
      </c>
      <c r="E1397">
        <v>1.231006218084611E-5</v>
      </c>
      <c r="F1397">
        <v>1.3176498316423431E-5</v>
      </c>
      <c r="G1397">
        <v>-8.6643613557732091E-7</v>
      </c>
      <c r="H1397" t="b">
        <v>1</v>
      </c>
    </row>
    <row r="1398" spans="1:8" x14ac:dyDescent="0.15">
      <c r="A1398">
        <v>58</v>
      </c>
      <c r="B1398">
        <v>8</v>
      </c>
      <c r="C1398">
        <v>1355078.125</v>
      </c>
      <c r="D1398">
        <v>1299020455.6770082</v>
      </c>
      <c r="E1398">
        <v>2.3139149039183088E-5</v>
      </c>
      <c r="F1398">
        <v>1.3176498316423431E-5</v>
      </c>
      <c r="G1398">
        <v>9.9626507227596565E-6</v>
      </c>
      <c r="H1398" t="b">
        <v>0</v>
      </c>
    </row>
    <row r="1399" spans="1:8" x14ac:dyDescent="0.15">
      <c r="A1399">
        <v>58</v>
      </c>
      <c r="B1399">
        <v>9</v>
      </c>
      <c r="C1399">
        <v>1331835.9375</v>
      </c>
      <c r="D1399">
        <v>365014058.35551941</v>
      </c>
      <c r="E1399">
        <v>1.696119962557166E-5</v>
      </c>
      <c r="F1399">
        <v>1.3176498316423431E-5</v>
      </c>
      <c r="G1399">
        <v>3.784701309148229E-6</v>
      </c>
      <c r="H1399" t="b">
        <v>0</v>
      </c>
    </row>
    <row r="1400" spans="1:8" x14ac:dyDescent="0.15">
      <c r="A1400">
        <v>58</v>
      </c>
      <c r="B1400">
        <v>10</v>
      </c>
      <c r="C1400">
        <v>1320214.84375</v>
      </c>
      <c r="D1400">
        <v>93173501.891922265</v>
      </c>
      <c r="E1400">
        <v>1.4467328225464827E-5</v>
      </c>
      <c r="F1400">
        <v>1.3176498316423431E-5</v>
      </c>
      <c r="G1400">
        <v>1.2908299090413957E-6</v>
      </c>
      <c r="H1400" t="b">
        <v>0</v>
      </c>
    </row>
    <row r="1401" spans="1:8" x14ac:dyDescent="0.15">
      <c r="A1401">
        <v>58</v>
      </c>
      <c r="B1401">
        <v>11</v>
      </c>
      <c r="C1401">
        <v>1314404.296875</v>
      </c>
      <c r="D1401">
        <v>10496341.409661058</v>
      </c>
      <c r="E1401">
        <v>1.3349300669638654E-5</v>
      </c>
      <c r="F1401">
        <v>1.3176498316423431E-5</v>
      </c>
      <c r="G1401">
        <v>1.7280235321522241E-7</v>
      </c>
      <c r="H1401" t="b">
        <v>0</v>
      </c>
    </row>
    <row r="1402" spans="1:8" x14ac:dyDescent="0.15">
      <c r="A1402">
        <v>58</v>
      </c>
      <c r="B1402">
        <v>12</v>
      </c>
      <c r="C1402">
        <v>1311499.0234375</v>
      </c>
      <c r="D1402">
        <v>-19673914.594862815</v>
      </c>
      <c r="E1402">
        <v>1.2820151142591568E-5</v>
      </c>
      <c r="F1402">
        <v>1.3176498316423431E-5</v>
      </c>
      <c r="G1402">
        <v>-3.563471738318628E-7</v>
      </c>
      <c r="H1402" t="b">
        <v>1</v>
      </c>
    </row>
    <row r="1403" spans="1:8" x14ac:dyDescent="0.15">
      <c r="A1403">
        <v>58</v>
      </c>
      <c r="B1403">
        <v>13</v>
      </c>
      <c r="C1403">
        <v>1312951.66015625</v>
      </c>
      <c r="D1403">
        <v>-5459386.2470662566</v>
      </c>
      <c r="E1403">
        <v>1.3082305552410062E-5</v>
      </c>
      <c r="F1403">
        <v>1.3176498316423431E-5</v>
      </c>
      <c r="G1403">
        <v>-9.4192764013369031E-8</v>
      </c>
      <c r="H1403" t="b">
        <v>1</v>
      </c>
    </row>
    <row r="1404" spans="1:8" x14ac:dyDescent="0.15">
      <c r="A1404">
        <v>58</v>
      </c>
      <c r="B1404">
        <v>14</v>
      </c>
      <c r="C1404">
        <v>1313451.66015625</v>
      </c>
      <c r="D1404">
        <v>-167478.05091163056</v>
      </c>
      <c r="E1404">
        <v>1.317365554870397E-5</v>
      </c>
      <c r="F1404">
        <v>1.3176498316423431E-5</v>
      </c>
      <c r="G1404">
        <v>-2.8427677194613378E-9</v>
      </c>
      <c r="H1404" t="b">
        <v>1</v>
      </c>
    </row>
    <row r="1405" spans="1:8" x14ac:dyDescent="0.15">
      <c r="A1405">
        <v>58</v>
      </c>
      <c r="B1405">
        <v>15</v>
      </c>
      <c r="C1405">
        <v>1313951.66015625</v>
      </c>
      <c r="D1405">
        <v>5333612.2779755648</v>
      </c>
      <c r="E1405">
        <v>1.3265582566545749E-5</v>
      </c>
      <c r="F1405">
        <v>1.3176498316423431E-5</v>
      </c>
      <c r="G1405">
        <v>8.9084250122317446E-8</v>
      </c>
      <c r="H1405" t="b">
        <v>0</v>
      </c>
    </row>
    <row r="1406" spans="1:8" x14ac:dyDescent="0.15">
      <c r="A1406">
        <v>58</v>
      </c>
      <c r="B1406">
        <v>16</v>
      </c>
      <c r="C1406">
        <v>1313701.66015625</v>
      </c>
      <c r="D1406">
        <v>2556738.3758433512</v>
      </c>
      <c r="E1406">
        <v>1.3219546727109303E-5</v>
      </c>
      <c r="F1406">
        <v>1.3176498316423431E-5</v>
      </c>
      <c r="G1406">
        <v>4.3048410685871702E-8</v>
      </c>
      <c r="H1406" t="b">
        <v>0</v>
      </c>
    </row>
    <row r="1407" spans="1:8" x14ac:dyDescent="0.15">
      <c r="A1407">
        <v>58</v>
      </c>
      <c r="B1407">
        <v>17</v>
      </c>
      <c r="C1407">
        <v>1313401.66015625</v>
      </c>
      <c r="D1407">
        <v>-706106.00423547404</v>
      </c>
      <c r="E1407">
        <v>1.3164493415400665E-5</v>
      </c>
      <c r="F1407">
        <v>1.3176498316423431E-5</v>
      </c>
      <c r="G1407">
        <v>-1.2004901022766491E-8</v>
      </c>
      <c r="H1407" t="b">
        <v>1</v>
      </c>
    </row>
    <row r="1408" spans="1:8" x14ac:dyDescent="0.15">
      <c r="A1408">
        <v>58</v>
      </c>
      <c r="B1408">
        <v>18</v>
      </c>
      <c r="C1408">
        <v>1313551.66015625</v>
      </c>
      <c r="D1408">
        <v>915912.82366741379</v>
      </c>
      <c r="E1408">
        <v>1.3191994686740734E-5</v>
      </c>
      <c r="F1408">
        <v>1.3176498316423431E-5</v>
      </c>
      <c r="G1408">
        <v>1.5496370317303056E-8</v>
      </c>
      <c r="H1408" t="b">
        <v>0</v>
      </c>
    </row>
    <row r="1409" spans="1:8" x14ac:dyDescent="0.15">
      <c r="A1409">
        <v>58</v>
      </c>
      <c r="B1409">
        <v>19</v>
      </c>
      <c r="C1409">
        <v>1313731.66015625</v>
      </c>
      <c r="D1409">
        <v>2887175.7800788931</v>
      </c>
      <c r="E1409">
        <v>1.3225063381728009E-5</v>
      </c>
      <c r="F1409">
        <v>1.3176498316423431E-5</v>
      </c>
      <c r="G1409">
        <v>4.856506530457744E-8</v>
      </c>
      <c r="H1409" t="b">
        <v>0</v>
      </c>
    </row>
    <row r="1410" spans="1:8" x14ac:dyDescent="0.15">
      <c r="A1410">
        <v>58</v>
      </c>
      <c r="B1410">
        <v>20</v>
      </c>
      <c r="C1410">
        <v>1313641.66015625</v>
      </c>
      <c r="D1410">
        <v>1898064.6764143903</v>
      </c>
      <c r="E1410">
        <v>1.3208518440844364E-5</v>
      </c>
      <c r="F1410">
        <v>1.3176498316423431E-5</v>
      </c>
      <c r="G1410">
        <v>3.2020124420932617E-8</v>
      </c>
      <c r="H1410" t="b">
        <v>0</v>
      </c>
    </row>
    <row r="1411" spans="1:8" x14ac:dyDescent="0.15">
      <c r="A1411">
        <v>58</v>
      </c>
      <c r="B1411">
        <v>21</v>
      </c>
      <c r="C1411">
        <v>1313533.66015625</v>
      </c>
      <c r="D1411">
        <v>720283.92750778177</v>
      </c>
      <c r="E1411">
        <v>1.3188691937367918E-5</v>
      </c>
      <c r="F1411">
        <v>1.3176498316423431E-5</v>
      </c>
      <c r="G1411">
        <v>1.2193620944487272E-8</v>
      </c>
      <c r="H1411" t="b">
        <v>0</v>
      </c>
    </row>
    <row r="1412" spans="1:8" x14ac:dyDescent="0.15">
      <c r="A1412">
        <v>58</v>
      </c>
      <c r="B1412">
        <v>22</v>
      </c>
      <c r="C1412">
        <v>1313587.66015625</v>
      </c>
      <c r="D1412">
        <v>1307986.2975773658</v>
      </c>
      <c r="E1412">
        <v>1.3198602431615086E-5</v>
      </c>
      <c r="F1412">
        <v>1.3176498316423431E-5</v>
      </c>
      <c r="G1412">
        <v>2.2104115191654721E-8</v>
      </c>
      <c r="H1412" t="b">
        <v>0</v>
      </c>
    </row>
    <row r="1413" spans="1:8" x14ac:dyDescent="0.15">
      <c r="A1413">
        <v>59</v>
      </c>
      <c r="B1413">
        <v>1</v>
      </c>
      <c r="C1413">
        <v>6050000</v>
      </c>
      <c r="D1413">
        <v>1.3803951205305485E+18</v>
      </c>
      <c r="E1413">
        <v>536.87092200000018</v>
      </c>
      <c r="F1413">
        <v>2.4778381430223817E-5</v>
      </c>
      <c r="G1413">
        <v>536.87089722161875</v>
      </c>
      <c r="H1413" t="b">
        <v>0</v>
      </c>
    </row>
    <row r="1414" spans="1:8" x14ac:dyDescent="0.15">
      <c r="A1414">
        <v>59</v>
      </c>
      <c r="B1414">
        <v>2</v>
      </c>
      <c r="C1414">
        <v>3075000</v>
      </c>
      <c r="D1414">
        <v>7.4747127072702438E+17</v>
      </c>
      <c r="E1414">
        <v>312.15693600931809</v>
      </c>
      <c r="F1414">
        <v>2.4778381430223817E-5</v>
      </c>
      <c r="G1414">
        <v>312.15691123093666</v>
      </c>
      <c r="H1414" t="b">
        <v>0</v>
      </c>
    </row>
    <row r="1415" spans="1:8" x14ac:dyDescent="0.15">
      <c r="A1415">
        <v>59</v>
      </c>
      <c r="B1415">
        <v>3</v>
      </c>
      <c r="C1415">
        <v>1587500</v>
      </c>
      <c r="D1415">
        <v>11768655737732.064</v>
      </c>
      <c r="E1415">
        <v>2.4774102090796481E-2</v>
      </c>
      <c r="F1415">
        <v>2.4778381409830408E-5</v>
      </c>
      <c r="G1415">
        <v>2.474932370938665E-2</v>
      </c>
      <c r="H1415" t="b">
        <v>0</v>
      </c>
    </row>
    <row r="1416" spans="1:8" x14ac:dyDescent="0.15">
      <c r="A1416">
        <v>59</v>
      </c>
      <c r="B1416">
        <v>4</v>
      </c>
      <c r="C1416">
        <v>843750</v>
      </c>
      <c r="D1416">
        <v>-179328.45320933952</v>
      </c>
      <c r="E1416">
        <v>3.0268339318621677E-6</v>
      </c>
      <c r="F1416">
        <v>2.4778381409831509E-5</v>
      </c>
      <c r="G1416">
        <v>-2.175154747796934E-5</v>
      </c>
      <c r="H1416" t="b">
        <v>1</v>
      </c>
    </row>
    <row r="1417" spans="1:8" x14ac:dyDescent="0.15">
      <c r="A1417">
        <v>59</v>
      </c>
      <c r="B1417">
        <v>5</v>
      </c>
      <c r="C1417">
        <v>1215625</v>
      </c>
      <c r="D1417">
        <v>61002887611.444794</v>
      </c>
      <c r="E1417">
        <v>4.1232486914777344E-4</v>
      </c>
      <c r="F1417">
        <v>2.4778381409831492E-5</v>
      </c>
      <c r="G1417">
        <v>3.8754648773794195E-4</v>
      </c>
      <c r="H1417" t="b">
        <v>0</v>
      </c>
    </row>
    <row r="1418" spans="1:8" x14ac:dyDescent="0.15">
      <c r="A1418">
        <v>59</v>
      </c>
      <c r="B1418">
        <v>6</v>
      </c>
      <c r="C1418">
        <v>1029687.5</v>
      </c>
      <c r="D1418">
        <v>-43268692.282931454</v>
      </c>
      <c r="E1418">
        <v>2.3366990158374203E-5</v>
      </c>
      <c r="F1418">
        <v>2.4778381409831509E-5</v>
      </c>
      <c r="G1418">
        <v>-1.4113912514573058E-6</v>
      </c>
      <c r="H1418" t="b">
        <v>1</v>
      </c>
    </row>
    <row r="1419" spans="1:8" x14ac:dyDescent="0.15">
      <c r="A1419">
        <v>59</v>
      </c>
      <c r="B1419">
        <v>7</v>
      </c>
      <c r="C1419">
        <v>1122656.25</v>
      </c>
      <c r="D1419">
        <v>8071399753.5252676</v>
      </c>
      <c r="E1419">
        <v>1.0873780854778175E-4</v>
      </c>
      <c r="F1419">
        <v>2.4778381409831506E-5</v>
      </c>
      <c r="G1419">
        <v>8.3959427137950241E-5</v>
      </c>
      <c r="H1419" t="b">
        <v>0</v>
      </c>
    </row>
    <row r="1420" spans="1:8" x14ac:dyDescent="0.15">
      <c r="A1420">
        <v>59</v>
      </c>
      <c r="B1420">
        <v>8</v>
      </c>
      <c r="C1420">
        <v>1076171.875</v>
      </c>
      <c r="D1420">
        <v>1833977629.44839</v>
      </c>
      <c r="E1420">
        <v>5.1899621169699979E-5</v>
      </c>
      <c r="F1420">
        <v>2.4778381409831509E-5</v>
      </c>
      <c r="G1420">
        <v>2.712123975986847E-5</v>
      </c>
      <c r="H1420" t="b">
        <v>0</v>
      </c>
    </row>
    <row r="1421" spans="1:8" x14ac:dyDescent="0.15">
      <c r="A1421">
        <v>59</v>
      </c>
      <c r="B1421">
        <v>9</v>
      </c>
      <c r="C1421">
        <v>1052929.6875</v>
      </c>
      <c r="D1421">
        <v>549473494.14927578</v>
      </c>
      <c r="E1421">
        <v>3.5097526411865446E-5</v>
      </c>
      <c r="F1421">
        <v>2.4778381409831509E-5</v>
      </c>
      <c r="G1421">
        <v>1.0319145002033937E-5</v>
      </c>
      <c r="H1421" t="b">
        <v>0</v>
      </c>
    </row>
    <row r="1422" spans="1:8" x14ac:dyDescent="0.15">
      <c r="A1422">
        <v>59</v>
      </c>
      <c r="B1422">
        <v>10</v>
      </c>
      <c r="C1422">
        <v>1041308.59375</v>
      </c>
      <c r="D1422">
        <v>179231330.72716564</v>
      </c>
      <c r="E1422">
        <v>2.8694648958420313E-5</v>
      </c>
      <c r="F1422">
        <v>2.4778381409831509E-5</v>
      </c>
      <c r="G1422">
        <v>3.9162675485888045E-6</v>
      </c>
      <c r="H1422" t="b">
        <v>0</v>
      </c>
    </row>
    <row r="1423" spans="1:8" x14ac:dyDescent="0.15">
      <c r="A1423">
        <v>59</v>
      </c>
      <c r="B1423">
        <v>11</v>
      </c>
      <c r="C1423">
        <v>1035498.046875</v>
      </c>
      <c r="D1423">
        <v>42775401.051205479</v>
      </c>
      <c r="E1423">
        <v>2.5907443657946648E-5</v>
      </c>
      <c r="F1423">
        <v>2.4778381409831509E-5</v>
      </c>
      <c r="G1423">
        <v>1.1290622481151391E-6</v>
      </c>
      <c r="H1423" t="b">
        <v>0</v>
      </c>
    </row>
    <row r="1424" spans="1:8" x14ac:dyDescent="0.15">
      <c r="A1424">
        <v>59</v>
      </c>
      <c r="B1424">
        <v>12</v>
      </c>
      <c r="C1424">
        <v>1032592.7734375</v>
      </c>
      <c r="D1424">
        <v>-5838883.5340206632</v>
      </c>
      <c r="E1424">
        <v>2.4607846023282348E-5</v>
      </c>
      <c r="F1424">
        <v>2.4778381409831509E-5</v>
      </c>
      <c r="G1424">
        <v>-1.7053538654916082E-7</v>
      </c>
      <c r="H1424" t="b">
        <v>1</v>
      </c>
    </row>
    <row r="1425" spans="1:8" x14ac:dyDescent="0.15">
      <c r="A1425">
        <v>59</v>
      </c>
      <c r="B1425">
        <v>13</v>
      </c>
      <c r="C1425">
        <v>1034045.41015625</v>
      </c>
      <c r="D1425">
        <v>17006579.131884336</v>
      </c>
      <c r="E1425">
        <v>2.5250079172511345E-5</v>
      </c>
      <c r="F1425">
        <v>2.4778381409831509E-5</v>
      </c>
      <c r="G1425">
        <v>4.7169776267983563E-7</v>
      </c>
      <c r="H1425" t="b">
        <v>0</v>
      </c>
    </row>
    <row r="1426" spans="1:8" x14ac:dyDescent="0.15">
      <c r="A1426">
        <v>59</v>
      </c>
      <c r="B1426">
        <v>14</v>
      </c>
      <c r="C1426">
        <v>1032845.41015625</v>
      </c>
      <c r="D1426">
        <v>-2070216.6559065224</v>
      </c>
      <c r="E1426">
        <v>2.4718467320565962E-5</v>
      </c>
      <c r="F1426">
        <v>2.4778381409831509E-5</v>
      </c>
      <c r="G1426">
        <v>-5.991408926554718E-8</v>
      </c>
      <c r="H1426" t="b">
        <v>1</v>
      </c>
    </row>
    <row r="1427" spans="1:8" x14ac:dyDescent="0.15">
      <c r="A1427">
        <v>59</v>
      </c>
      <c r="B1427">
        <v>15</v>
      </c>
      <c r="C1427">
        <v>1033445.41015625</v>
      </c>
      <c r="D1427">
        <v>7223238.5601953156</v>
      </c>
      <c r="E1427">
        <v>2.4982993438004215E-5</v>
      </c>
      <c r="F1427">
        <v>2.4778381409831509E-5</v>
      </c>
      <c r="G1427">
        <v>2.0461202817270634E-7</v>
      </c>
      <c r="H1427" t="b">
        <v>0</v>
      </c>
    </row>
    <row r="1428" spans="1:8" x14ac:dyDescent="0.15">
      <c r="A1428">
        <v>59</v>
      </c>
      <c r="B1428">
        <v>16</v>
      </c>
      <c r="C1428">
        <v>1033145.41015625</v>
      </c>
      <c r="D1428">
        <v>2515824.8845620095</v>
      </c>
      <c r="E1428">
        <v>2.4850411842291215E-5</v>
      </c>
      <c r="F1428">
        <v>2.4778381409831509E-5</v>
      </c>
      <c r="G1428">
        <v>7.2030432459705714E-8</v>
      </c>
      <c r="H1428" t="b">
        <v>0</v>
      </c>
    </row>
    <row r="1429" spans="1:8" x14ac:dyDescent="0.15">
      <c r="A1429">
        <v>59</v>
      </c>
      <c r="B1429">
        <v>17</v>
      </c>
      <c r="C1429">
        <v>1032785.41015625</v>
      </c>
      <c r="D1429">
        <v>-2972878.2137842234</v>
      </c>
      <c r="E1429">
        <v>2.4692156904135396E-5</v>
      </c>
      <c r="F1429">
        <v>2.4778381409831509E-5</v>
      </c>
      <c r="G1429">
        <v>-8.6224505696113246E-8</v>
      </c>
      <c r="H1429" t="b">
        <v>1</v>
      </c>
    </row>
    <row r="1430" spans="1:8" x14ac:dyDescent="0.15">
      <c r="A1430">
        <v>59</v>
      </c>
      <c r="B1430">
        <v>18</v>
      </c>
      <c r="C1430">
        <v>1032965.41015625</v>
      </c>
      <c r="D1430">
        <v>-250294.8761647543</v>
      </c>
      <c r="E1430">
        <v>2.4771168855156261E-5</v>
      </c>
      <c r="F1430">
        <v>2.4778381409831509E-5</v>
      </c>
      <c r="G1430">
        <v>-7.2125546752480182E-9</v>
      </c>
      <c r="H1430" t="b">
        <v>1</v>
      </c>
    </row>
    <row r="1431" spans="1:8" x14ac:dyDescent="0.15">
      <c r="A1431">
        <v>59</v>
      </c>
      <c r="B1431">
        <v>19</v>
      </c>
      <c r="C1431">
        <v>1033145.41015625</v>
      </c>
      <c r="D1431">
        <v>2515824.8845620095</v>
      </c>
      <c r="E1431">
        <v>2.4850411842291215E-5</v>
      </c>
      <c r="F1431">
        <v>2.4778381409831509E-5</v>
      </c>
      <c r="G1431">
        <v>7.2030432459705714E-8</v>
      </c>
      <c r="H1431" t="b">
        <v>0</v>
      </c>
    </row>
    <row r="1432" spans="1:8" x14ac:dyDescent="0.15">
      <c r="A1432">
        <v>59</v>
      </c>
      <c r="B1432">
        <v>20</v>
      </c>
      <c r="C1432">
        <v>1033055.41015625</v>
      </c>
      <c r="D1432">
        <v>1127397.9833366333</v>
      </c>
      <c r="E1432">
        <v>2.4810764008525334E-5</v>
      </c>
      <c r="F1432">
        <v>2.4778381409831509E-5</v>
      </c>
      <c r="G1432">
        <v>3.2382598693824676E-8</v>
      </c>
      <c r="H1432" t="b">
        <v>0</v>
      </c>
    </row>
    <row r="1433" spans="1:8" x14ac:dyDescent="0.15">
      <c r="A1433">
        <v>59</v>
      </c>
      <c r="B1433">
        <v>21</v>
      </c>
      <c r="C1433">
        <v>1032947.41015625</v>
      </c>
      <c r="D1433">
        <v>-524433.56556608994</v>
      </c>
      <c r="E1433">
        <v>2.4763259434212225E-5</v>
      </c>
      <c r="F1433">
        <v>2.4778381409831509E-5</v>
      </c>
      <c r="G1433">
        <v>-1.5121975619284274E-8</v>
      </c>
      <c r="H1433" t="b">
        <v>1</v>
      </c>
    </row>
    <row r="1434" spans="1:8" x14ac:dyDescent="0.15">
      <c r="A1434">
        <v>59</v>
      </c>
      <c r="B1434">
        <v>22</v>
      </c>
      <c r="C1434">
        <v>1033001.41015625</v>
      </c>
      <c r="D1434">
        <v>299444.87919474329</v>
      </c>
      <c r="E1434">
        <v>2.4786999133184448E-5</v>
      </c>
      <c r="F1434">
        <v>2.4778381409831509E-5</v>
      </c>
      <c r="G1434">
        <v>8.6177233529385444E-9</v>
      </c>
      <c r="H1434" t="b">
        <v>0</v>
      </c>
    </row>
    <row r="1435" spans="1:8" x14ac:dyDescent="0.15">
      <c r="A1435">
        <v>59</v>
      </c>
      <c r="B1435">
        <v>23</v>
      </c>
      <c r="C1435">
        <v>1033066.21015625</v>
      </c>
      <c r="D1435">
        <v>1293363.0462717225</v>
      </c>
      <c r="E1435">
        <v>2.4815516707362927E-5</v>
      </c>
      <c r="F1435">
        <v>2.4778381409831509E-5</v>
      </c>
      <c r="G1435">
        <v>3.7135297531417949E-8</v>
      </c>
      <c r="H1435" t="b">
        <v>0</v>
      </c>
    </row>
    <row r="1436" spans="1:8" x14ac:dyDescent="0.15">
      <c r="A1436">
        <v>59</v>
      </c>
      <c r="B1436">
        <v>24</v>
      </c>
      <c r="C1436">
        <v>1033033.81015625</v>
      </c>
      <c r="D1436">
        <v>795778.31166588608</v>
      </c>
      <c r="E1436">
        <v>2.4801256501054268E-5</v>
      </c>
      <c r="F1436">
        <v>2.4778381409831509E-5</v>
      </c>
      <c r="G1436">
        <v>2.2875091222759273E-8</v>
      </c>
      <c r="H1436" t="b">
        <v>0</v>
      </c>
    </row>
    <row r="1437" spans="1:8" x14ac:dyDescent="0.15">
      <c r="A1437">
        <v>59</v>
      </c>
      <c r="B1437">
        <v>25</v>
      </c>
      <c r="C1437">
        <v>1033050.01015625</v>
      </c>
      <c r="D1437">
        <v>1044354.3136416235</v>
      </c>
      <c r="E1437">
        <v>2.4808384531487026E-5</v>
      </c>
      <c r="F1437">
        <v>2.4778381409831509E-5</v>
      </c>
      <c r="G1437">
        <v>3.0003121655516597E-8</v>
      </c>
      <c r="H1437" t="b">
        <v>0</v>
      </c>
    </row>
    <row r="1438" spans="1:8" x14ac:dyDescent="0.15">
      <c r="A1438">
        <v>59</v>
      </c>
      <c r="B1438">
        <v>26</v>
      </c>
      <c r="C1438">
        <v>1033041.91015625</v>
      </c>
      <c r="D1438">
        <v>919982.29868209176</v>
      </c>
      <c r="E1438">
        <v>2.4804819139266513E-5</v>
      </c>
      <c r="F1438">
        <v>2.4778381409831509E-5</v>
      </c>
      <c r="G1438">
        <v>2.6437729435004184E-8</v>
      </c>
      <c r="H1438" t="b">
        <v>0</v>
      </c>
    </row>
    <row r="1439" spans="1:8" x14ac:dyDescent="0.15">
      <c r="A1439">
        <v>59</v>
      </c>
      <c r="B1439">
        <v>27</v>
      </c>
      <c r="C1439">
        <v>1033045.96015625</v>
      </c>
      <c r="D1439">
        <v>982237.18973859958</v>
      </c>
      <c r="E1439">
        <v>2.4806604068215922E-5</v>
      </c>
      <c r="F1439">
        <v>2.4778381409831509E-5</v>
      </c>
      <c r="G1439">
        <v>2.8222658384413016E-8</v>
      </c>
      <c r="H1439" t="b">
        <v>0</v>
      </c>
    </row>
    <row r="1440" spans="1:8" x14ac:dyDescent="0.15">
      <c r="A1440">
        <v>59</v>
      </c>
      <c r="B1440">
        <v>28</v>
      </c>
      <c r="C1440">
        <v>1033050.82015625</v>
      </c>
      <c r="D1440">
        <v>1056876.313215018</v>
      </c>
      <c r="E1440">
        <v>2.4808743387243182E-5</v>
      </c>
      <c r="F1440">
        <v>2.4778381409831509E-5</v>
      </c>
      <c r="G1440">
        <v>3.0361977411672611E-8</v>
      </c>
      <c r="H1440" t="b">
        <v>0</v>
      </c>
    </row>
    <row r="1441" spans="1:8" x14ac:dyDescent="0.15">
      <c r="A1441">
        <v>59</v>
      </c>
      <c r="B1441">
        <v>29</v>
      </c>
      <c r="C1441">
        <v>1033048.39015625</v>
      </c>
      <c r="D1441">
        <v>1019472.8532034787</v>
      </c>
      <c r="E1441">
        <v>2.4807671415942119E-5</v>
      </c>
      <c r="F1441">
        <v>2.4778381409831509E-5</v>
      </c>
      <c r="G1441">
        <v>2.929000611061005E-8</v>
      </c>
      <c r="H1441" t="b">
        <v>0</v>
      </c>
    </row>
    <row r="1442" spans="1:8" x14ac:dyDescent="0.15">
      <c r="A1442">
        <v>59</v>
      </c>
      <c r="B1442">
        <v>30</v>
      </c>
      <c r="C1442">
        <v>1033049.6051562499</v>
      </c>
      <c r="D1442">
        <v>1038133.6177103469</v>
      </c>
      <c r="E1442">
        <v>2.4808206250862252E-5</v>
      </c>
      <c r="F1442">
        <v>2.4778381409831509E-5</v>
      </c>
      <c r="G1442">
        <v>2.9824841030742978E-8</v>
      </c>
      <c r="H144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SatProp</vt:lpstr>
      <vt:lpstr>Cp_T_low</vt:lpstr>
      <vt:lpstr>Cp_T_mid</vt:lpstr>
      <vt:lpstr>Cp_T_high</vt:lpstr>
      <vt:lpstr>tm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2026-06-16T06:11:20Z</dcterms:modified>
</cp:coreProperties>
</file>