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306AEFBA-6DC2-4C1A-8778-3800CF4CF6B1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9" i="3" l="1"/>
  <c r="C59" i="3" a="1"/>
  <c r="C59" i="3" l="1"/>
  <c r="D59" i="3" a="1"/>
  <c r="D59" i="3"/>
  <c r="E59" i="3" a="1"/>
  <c r="E59" i="3"/>
  <c r="F59" i="3" a="1"/>
  <c r="F59" i="3"/>
  <c r="G59" i="3" a="1"/>
  <c r="G59" i="3"/>
  <c r="H59" i="3" a="1"/>
  <c r="H59" i="3"/>
  <c r="I59" i="3" a="1"/>
  <c r="I59" i="3"/>
  <c r="J59" i="3" a="1"/>
  <c r="J59" i="3"/>
  <c r="K59" i="3" a="1"/>
  <c r="K59" i="3"/>
  <c r="L59" i="3" a="1"/>
  <c r="L59" i="3"/>
  <c r="U59" i="3"/>
  <c r="W59" i="3"/>
  <c r="Y59" i="3"/>
  <c r="Z59" i="3"/>
  <c r="AA59" i="3" s="1"/>
  <c r="AB59" i="3"/>
  <c r="AH59" i="3"/>
  <c r="AI59" i="3" s="1"/>
  <c r="AD59" i="3" s="1"/>
  <c r="AL59" i="3"/>
  <c r="AK59" i="3" a="1"/>
  <c r="AK59" i="3"/>
  <c r="BL59" i="3"/>
  <c r="BP59" i="3" s="1"/>
  <c r="BK59" i="3" s="1"/>
  <c r="AE59" i="3"/>
  <c r="AF59" i="3"/>
  <c r="AJ59" i="3"/>
  <c r="AM59" i="3"/>
  <c r="AN59" i="3"/>
  <c r="AR59" i="3"/>
  <c r="AS59" i="3" s="1"/>
  <c r="AQ59" i="3"/>
  <c r="AT59" i="3"/>
  <c r="AU59" i="3"/>
  <c r="AV59" i="3" s="1"/>
  <c r="AW59" i="3"/>
  <c r="AX59" i="3"/>
  <c r="AZ59" i="3"/>
  <c r="BA59" i="3"/>
  <c r="BN59" i="3"/>
  <c r="BO59" i="3"/>
  <c r="C58" i="3" a="1"/>
  <c r="BB59" i="3" l="1"/>
  <c r="BC59" i="3" s="1"/>
  <c r="AY59" i="3"/>
  <c r="BM59" i="3"/>
  <c r="BF59" i="3"/>
  <c r="BD59" i="3"/>
  <c r="C58" i="3"/>
  <c r="D58" i="3" a="1"/>
  <c r="D58" i="3"/>
  <c r="E58" i="3" a="1"/>
  <c r="E58" i="3"/>
  <c r="F58" i="3" a="1"/>
  <c r="F58" i="3" l="1"/>
  <c r="G58" i="3" a="1"/>
  <c r="G58" i="3"/>
  <c r="H58" i="3" a="1"/>
  <c r="H58" i="3"/>
  <c r="I58" i="3" a="1"/>
  <c r="I58" i="3"/>
  <c r="J58" i="3" a="1"/>
  <c r="J58" i="3"/>
  <c r="K58" i="3" a="1"/>
  <c r="K58" i="3"/>
  <c r="L58" i="3" a="1"/>
  <c r="L58" i="3"/>
  <c r="U58" i="3"/>
  <c r="W58" i="3"/>
  <c r="Y58" i="3"/>
  <c r="AH58" i="3"/>
  <c r="AI58" i="3" s="1"/>
  <c r="AD58" i="3" s="1"/>
  <c r="AL58" i="3"/>
  <c r="AK58" i="3" a="1"/>
  <c r="Z58" i="3" l="1"/>
  <c r="AA58" i="3" s="1"/>
  <c r="AB58" i="3"/>
  <c r="AO58" i="3" s="1"/>
  <c r="AK58" i="3"/>
  <c r="BL58" i="3"/>
  <c r="BP58" i="3" s="1"/>
  <c r="BK58" i="3" s="1"/>
  <c r="AE58" i="3"/>
  <c r="AF58" i="3"/>
  <c r="AJ58" i="3"/>
  <c r="AM58" i="3"/>
  <c r="AN58" i="3"/>
  <c r="AR58" i="3"/>
  <c r="AS58" i="3" s="1"/>
  <c r="AQ58" i="3"/>
  <c r="AT58" i="3"/>
  <c r="AU58" i="3"/>
  <c r="AV58" i="3" s="1"/>
  <c r="AW58" i="3"/>
  <c r="AX58" i="3" s="1"/>
  <c r="AZ58" i="3"/>
  <c r="BA58" i="3"/>
  <c r="BN58" i="3"/>
  <c r="BO58" i="3"/>
  <c r="C57" i="3" a="1"/>
  <c r="BB58" i="3" l="1"/>
  <c r="BC58" i="3" s="1"/>
  <c r="AY58" i="3"/>
  <c r="C57" i="3"/>
  <c r="D57" i="3" a="1"/>
  <c r="BF58" i="3" l="1"/>
  <c r="BD58" i="3"/>
  <c r="BM58" i="3"/>
  <c r="D57" i="3"/>
  <c r="E57" i="3" a="1"/>
  <c r="E57" i="3"/>
  <c r="F57" i="3" a="1"/>
  <c r="F57" i="3" l="1"/>
  <c r="G57" i="3" a="1"/>
  <c r="G57" i="3"/>
  <c r="H57" i="3" a="1"/>
  <c r="H57" i="3"/>
  <c r="I57" i="3" a="1"/>
  <c r="I57" i="3"/>
  <c r="J57" i="3" a="1"/>
  <c r="J57" i="3"/>
  <c r="K57" i="3" a="1"/>
  <c r="K57" i="3"/>
  <c r="L57" i="3" a="1"/>
  <c r="L57" i="3"/>
  <c r="U57" i="3"/>
  <c r="W57" i="3"/>
  <c r="Y57" i="3"/>
  <c r="AH57" i="3"/>
  <c r="AI57" i="3" s="1"/>
  <c r="AD57" i="3" s="1"/>
  <c r="AL57" i="3"/>
  <c r="AK57" i="3" a="1"/>
  <c r="Z57" i="3" l="1"/>
  <c r="AA57" i="3" s="1"/>
  <c r="AB57" i="3"/>
  <c r="AO57" i="3" s="1"/>
  <c r="AK57" i="3"/>
  <c r="BL57" i="3"/>
  <c r="BP57" i="3" s="1"/>
  <c r="BK57" i="3" s="1"/>
  <c r="AE57" i="3"/>
  <c r="AF57" i="3" l="1"/>
  <c r="AJ57" i="3"/>
  <c r="AM57" i="3"/>
  <c r="AN57" i="3"/>
  <c r="AR57" i="3"/>
  <c r="AS57" i="3" s="1"/>
  <c r="AQ57" i="3"/>
  <c r="AT57" i="3"/>
  <c r="AU57" i="3"/>
  <c r="AV57" i="3" s="1"/>
  <c r="AW57" i="3"/>
  <c r="AX57" i="3" s="1"/>
  <c r="AZ57" i="3"/>
  <c r="BA57" i="3"/>
  <c r="BN57" i="3"/>
  <c r="BO57" i="3"/>
  <c r="C56" i="3" a="1"/>
  <c r="BB57" i="3" l="1"/>
  <c r="BC57" i="3" s="1"/>
  <c r="AY57" i="3"/>
  <c r="C56" i="3"/>
  <c r="D56" i="3" a="1"/>
  <c r="BM57" i="3" l="1"/>
  <c r="BD57" i="3"/>
  <c r="BF57" i="3"/>
  <c r="D56" i="3"/>
  <c r="E56" i="3" a="1"/>
  <c r="E56" i="3"/>
  <c r="F56" i="3" a="1"/>
  <c r="F56" i="3" l="1"/>
  <c r="G56" i="3" a="1"/>
  <c r="G56" i="3"/>
  <c r="H56" i="3" a="1"/>
  <c r="H56" i="3"/>
  <c r="I56" i="3" a="1"/>
  <c r="I56" i="3"/>
  <c r="J56" i="3" a="1"/>
  <c r="J56" i="3"/>
  <c r="K56" i="3" a="1"/>
  <c r="K56" i="3"/>
  <c r="L56" i="3" a="1"/>
  <c r="L56" i="3"/>
  <c r="U56" i="3"/>
  <c r="W56" i="3"/>
  <c r="Y56" i="3"/>
  <c r="AH56" i="3"/>
  <c r="AI56" i="3" s="1"/>
  <c r="AD56" i="3" s="1"/>
  <c r="AL56" i="3"/>
  <c r="AK56" i="3" a="1"/>
  <c r="Z56" i="3" l="1"/>
  <c r="AA56" i="3" s="1"/>
  <c r="AB56" i="3"/>
  <c r="AO56" i="3" s="1"/>
  <c r="AK56" i="3"/>
  <c r="BL56" i="3"/>
  <c r="BP56" i="3" s="1"/>
  <c r="BK56" i="3" s="1"/>
  <c r="AE56" i="3"/>
  <c r="AF56" i="3"/>
  <c r="AJ56" i="3"/>
  <c r="AM56" i="3"/>
  <c r="AN56" i="3"/>
  <c r="AQ56" i="3"/>
  <c r="AR56" i="3"/>
  <c r="AS56" i="3" s="1"/>
  <c r="AT56" i="3"/>
  <c r="AU56" i="3"/>
  <c r="AV56" i="3" s="1"/>
  <c r="AW56" i="3"/>
  <c r="AX56" i="3" s="1"/>
  <c r="AZ56" i="3"/>
  <c r="BA56" i="3"/>
  <c r="BN56" i="3"/>
  <c r="BO56" i="3"/>
  <c r="C55" i="3" a="1"/>
  <c r="BB56" i="3" l="1"/>
  <c r="BC56" i="3" s="1"/>
  <c r="AY56" i="3"/>
  <c r="C55" i="3"/>
  <c r="D55" i="3" a="1"/>
  <c r="BD56" i="3" l="1"/>
  <c r="BF56" i="3"/>
  <c r="BM56" i="3"/>
  <c r="D55" i="3"/>
  <c r="E55" i="3" a="1"/>
  <c r="E55" i="3"/>
  <c r="F55" i="3" a="1"/>
  <c r="F55" i="3" l="1"/>
  <c r="G55" i="3" a="1"/>
  <c r="G55" i="3"/>
  <c r="H55" i="3" a="1"/>
  <c r="H55" i="3"/>
  <c r="I55" i="3" a="1"/>
  <c r="I55" i="3"/>
  <c r="J55" i="3" a="1"/>
  <c r="J55" i="3"/>
  <c r="K55" i="3" a="1"/>
  <c r="K55" i="3"/>
  <c r="L55" i="3" a="1"/>
  <c r="L55" i="3"/>
  <c r="U55" i="3"/>
  <c r="W55" i="3"/>
  <c r="Y55" i="3"/>
  <c r="AH55" i="3"/>
  <c r="AI55" i="3" s="1"/>
  <c r="AD55" i="3" s="1"/>
  <c r="AL55" i="3"/>
  <c r="AK55" i="3" a="1"/>
  <c r="Z55" i="3" l="1"/>
  <c r="AA55" i="3" s="1"/>
  <c r="AB55" i="3"/>
  <c r="AO55" i="3" s="1"/>
  <c r="AK55" i="3"/>
  <c r="BL55" i="3"/>
  <c r="BP55" i="3" s="1"/>
  <c r="BK55" i="3" s="1"/>
  <c r="AE55" i="3"/>
  <c r="AF55" i="3" l="1"/>
  <c r="AJ55" i="3"/>
  <c r="AM55" i="3"/>
  <c r="AN55" i="3"/>
  <c r="AR55" i="3"/>
  <c r="AS55" i="3" s="1"/>
  <c r="AQ55" i="3"/>
  <c r="AT55" i="3"/>
  <c r="AU55" i="3"/>
  <c r="AV55" i="3" s="1"/>
  <c r="AW55" i="3"/>
  <c r="AX55" i="3" s="1"/>
  <c r="AZ55" i="3"/>
  <c r="BA55" i="3"/>
  <c r="BN55" i="3"/>
  <c r="BO55" i="3"/>
  <c r="C54" i="3" a="1"/>
  <c r="BB55" i="3" l="1"/>
  <c r="BC55" i="3" s="1"/>
  <c r="AY55" i="3"/>
  <c r="C54" i="3"/>
  <c r="D54" i="3" a="1"/>
  <c r="BM55" i="3" l="1"/>
  <c r="BF55" i="3"/>
  <c r="BD55" i="3"/>
  <c r="D54" i="3"/>
  <c r="E54" i="3" a="1"/>
  <c r="E54" i="3"/>
  <c r="F54" i="3" a="1"/>
  <c r="F54" i="3" l="1"/>
  <c r="G54" i="3" a="1"/>
  <c r="G54" i="3"/>
  <c r="H54" i="3" a="1"/>
  <c r="H54" i="3"/>
  <c r="I54" i="3" a="1"/>
  <c r="I54" i="3"/>
  <c r="J54" i="3" a="1"/>
  <c r="J54" i="3"/>
  <c r="K54" i="3" a="1"/>
  <c r="K54" i="3"/>
  <c r="L54" i="3" a="1"/>
  <c r="L54" i="3"/>
  <c r="U54" i="3"/>
  <c r="W54" i="3"/>
  <c r="Y54" i="3"/>
  <c r="AH54" i="3"/>
  <c r="AI54" i="3" s="1"/>
  <c r="AD54" i="3" s="1"/>
  <c r="AL54" i="3"/>
  <c r="AK54" i="3" a="1"/>
  <c r="Z54" i="3" l="1"/>
  <c r="AA54" i="3" s="1"/>
  <c r="AB54" i="3"/>
  <c r="AO54" i="3" s="1"/>
  <c r="AK54" i="3"/>
  <c r="BL54" i="3"/>
  <c r="BP54" i="3" s="1"/>
  <c r="BK54" i="3" s="1"/>
  <c r="AE54" i="3"/>
  <c r="AF54" i="3" l="1"/>
  <c r="AJ54" i="3"/>
  <c r="AM54" i="3"/>
  <c r="AN54" i="3"/>
  <c r="AQ54" i="3"/>
  <c r="AR54" i="3"/>
  <c r="AS54" i="3" s="1"/>
  <c r="AT54" i="3"/>
  <c r="AU54" i="3"/>
  <c r="AV54" i="3" s="1"/>
  <c r="AW54" i="3"/>
  <c r="AX54" i="3" s="1"/>
  <c r="AZ54" i="3"/>
  <c r="BA54" i="3"/>
  <c r="BN54" i="3"/>
  <c r="BO54" i="3"/>
  <c r="C53" i="3" a="1"/>
  <c r="BB54" i="3" l="1"/>
  <c r="BC54" i="3" s="1"/>
  <c r="AY54" i="3"/>
  <c r="C53" i="3"/>
  <c r="D53" i="3" a="1"/>
  <c r="BD54" i="3" l="1"/>
  <c r="BF54" i="3"/>
  <c r="BM54" i="3"/>
  <c r="D53" i="3"/>
  <c r="E53" i="3" a="1"/>
  <c r="E53" i="3"/>
  <c r="F53" i="3" a="1"/>
  <c r="F53" i="3" l="1"/>
  <c r="G53" i="3" a="1"/>
  <c r="G53" i="3"/>
  <c r="H53" i="3" a="1"/>
  <c r="H53" i="3"/>
  <c r="I53" i="3" a="1"/>
  <c r="I53" i="3"/>
  <c r="J53" i="3" a="1"/>
  <c r="J53" i="3"/>
  <c r="K53" i="3" a="1"/>
  <c r="K53" i="3"/>
  <c r="L53" i="3" a="1"/>
  <c r="L53" i="3"/>
  <c r="U53" i="3"/>
  <c r="W53" i="3"/>
  <c r="Y53" i="3"/>
  <c r="AH53" i="3"/>
  <c r="AI53" i="3" s="1"/>
  <c r="AD53" i="3" s="1"/>
  <c r="AL53" i="3"/>
  <c r="AK53" i="3" a="1"/>
  <c r="Z53" i="3" l="1"/>
  <c r="AA53" i="3" s="1"/>
  <c r="AB53" i="3"/>
  <c r="AO53" i="3" s="1"/>
  <c r="AK53" i="3"/>
  <c r="BL53" i="3"/>
  <c r="BP53" i="3" s="1"/>
  <c r="BK53" i="3" s="1"/>
  <c r="AE53" i="3"/>
  <c r="AF53" i="3"/>
  <c r="AJ53" i="3"/>
  <c r="AM53" i="3"/>
  <c r="AN53" i="3"/>
  <c r="AR53" i="3"/>
  <c r="AS53" i="3" s="1"/>
  <c r="AQ53" i="3"/>
  <c r="AT53" i="3"/>
  <c r="AU53" i="3"/>
  <c r="AV53" i="3" s="1"/>
  <c r="AW53" i="3"/>
  <c r="AX53" i="3" s="1"/>
  <c r="AZ53" i="3"/>
  <c r="BA53" i="3"/>
  <c r="BN53" i="3"/>
  <c r="BO53" i="3"/>
  <c r="C52" i="3" a="1"/>
  <c r="BB53" i="3" l="1"/>
  <c r="BM53" i="3" s="1"/>
  <c r="AY53" i="3"/>
  <c r="C52" i="3"/>
  <c r="D52" i="3" a="1"/>
  <c r="BD53" i="3" l="1"/>
  <c r="BC53" i="3"/>
  <c r="BF53" i="3"/>
  <c r="D52" i="3"/>
  <c r="E52" i="3" a="1"/>
  <c r="E52" i="3"/>
  <c r="F52" i="3" a="1"/>
  <c r="F52" i="3" l="1"/>
  <c r="G52" i="3" a="1"/>
  <c r="G52" i="3"/>
  <c r="H52" i="3" a="1"/>
  <c r="H52" i="3"/>
  <c r="I52" i="3" a="1"/>
  <c r="I52" i="3"/>
  <c r="J52" i="3" a="1"/>
  <c r="J52" i="3"/>
  <c r="K52" i="3" a="1"/>
  <c r="K52" i="3"/>
  <c r="L52" i="3" a="1"/>
  <c r="L52" i="3"/>
  <c r="U52" i="3"/>
  <c r="W52" i="3"/>
  <c r="Y52" i="3"/>
  <c r="AH52" i="3"/>
  <c r="AI52" i="3" s="1"/>
  <c r="AD52" i="3" s="1"/>
  <c r="AL52" i="3"/>
  <c r="AK52" i="3" a="1"/>
  <c r="Z52" i="3" l="1"/>
  <c r="AA52" i="3" s="1"/>
  <c r="AB52" i="3"/>
  <c r="AO52" i="3" s="1"/>
  <c r="AK52" i="3"/>
  <c r="BL52" i="3"/>
  <c r="BP52" i="3" s="1"/>
  <c r="BK52" i="3" s="1"/>
  <c r="AE52" i="3"/>
  <c r="AF52" i="3" l="1"/>
  <c r="AJ52" i="3"/>
  <c r="AM52" i="3"/>
  <c r="AN52" i="3"/>
  <c r="AR52" i="3"/>
  <c r="AS52" i="3" s="1"/>
  <c r="AQ52" i="3"/>
  <c r="AT52" i="3"/>
  <c r="AU52" i="3"/>
  <c r="AV52" i="3" s="1"/>
  <c r="AW52" i="3"/>
  <c r="AX52" i="3" s="1"/>
  <c r="AZ52" i="3"/>
  <c r="BA52" i="3"/>
  <c r="BN52" i="3"/>
  <c r="BO52" i="3"/>
  <c r="C51" i="3" a="1"/>
  <c r="BB52" i="3" l="1"/>
  <c r="BD52" i="3" s="1"/>
  <c r="AY52" i="3"/>
  <c r="C51" i="3"/>
  <c r="D51" i="3" a="1"/>
  <c r="BF52" i="3" l="1"/>
  <c r="BC52" i="3"/>
  <c r="BM52" i="3"/>
  <c r="D51" i="3"/>
  <c r="E51" i="3" a="1"/>
  <c r="E51" i="3"/>
  <c r="F51" i="3" a="1"/>
  <c r="F51" i="3" l="1"/>
  <c r="G51" i="3" a="1"/>
  <c r="G51" i="3"/>
  <c r="H51" i="3" a="1"/>
  <c r="H51" i="3"/>
  <c r="I51" i="3" a="1"/>
  <c r="I51" i="3"/>
  <c r="J51" i="3" a="1"/>
  <c r="J51" i="3"/>
  <c r="K51" i="3" a="1"/>
  <c r="K51" i="3"/>
  <c r="L51" i="3" a="1"/>
  <c r="L51" i="3"/>
  <c r="AB51" i="3" s="1"/>
  <c r="AO51" i="3" s="1"/>
  <c r="U51" i="3"/>
  <c r="W51" i="3"/>
  <c r="Y51" i="3"/>
  <c r="AH51" i="3"/>
  <c r="AI51" i="3" s="1"/>
  <c r="AD51" i="3" s="1"/>
  <c r="AL51" i="3"/>
  <c r="AK51" i="3" a="1"/>
  <c r="Z51" i="3" l="1"/>
  <c r="AA51" i="3" s="1"/>
  <c r="AK51" i="3"/>
  <c r="BL51" i="3"/>
  <c r="BP51" i="3" s="1"/>
  <c r="BK51" i="3" s="1"/>
  <c r="AE51" i="3"/>
  <c r="AF51" i="3"/>
  <c r="AJ51" i="3"/>
  <c r="AM51" i="3"/>
  <c r="AN51" i="3"/>
  <c r="AR51" i="3"/>
  <c r="AS51" i="3" s="1"/>
  <c r="AQ51" i="3"/>
  <c r="AT51" i="3"/>
  <c r="AU51" i="3"/>
  <c r="AV51" i="3" s="1"/>
  <c r="AW51" i="3"/>
  <c r="AX51" i="3" s="1"/>
  <c r="AZ51" i="3"/>
  <c r="BA51" i="3"/>
  <c r="BN51" i="3"/>
  <c r="BO51" i="3"/>
  <c r="C50" i="3" a="1"/>
  <c r="BB51" i="3" l="1"/>
  <c r="BD51" i="3" s="1"/>
  <c r="AY51" i="3"/>
  <c r="C50" i="3"/>
  <c r="D50" i="3" a="1"/>
  <c r="BF51" i="3" l="1"/>
  <c r="BM51" i="3"/>
  <c r="BC51" i="3"/>
  <c r="D50" i="3"/>
  <c r="E50" i="3" a="1"/>
  <c r="E50" i="3"/>
  <c r="F50" i="3" a="1"/>
  <c r="F50" i="3"/>
  <c r="G50" i="3" a="1"/>
  <c r="G50" i="3"/>
  <c r="H50" i="3" a="1"/>
  <c r="H50" i="3"/>
  <c r="I50" i="3" a="1"/>
  <c r="I50" i="3"/>
  <c r="J50" i="3" a="1"/>
  <c r="J50" i="3"/>
  <c r="K50" i="3" a="1"/>
  <c r="K50" i="3"/>
  <c r="L50" i="3" a="1"/>
  <c r="L50" i="3"/>
  <c r="AB50" i="3" s="1"/>
  <c r="AO50" i="3" s="1"/>
  <c r="U50" i="3"/>
  <c r="W50" i="3"/>
  <c r="Y50" i="3"/>
  <c r="AH50" i="3"/>
  <c r="AI50" i="3" s="1"/>
  <c r="AD50" i="3" s="1"/>
  <c r="AL50" i="3"/>
  <c r="AK50" i="3" a="1"/>
  <c r="Z50" i="3" l="1"/>
  <c r="AA50" i="3" s="1"/>
  <c r="AK50" i="3"/>
  <c r="BL50" i="3"/>
  <c r="BP50" i="3" s="1"/>
  <c r="BK50" i="3" s="1"/>
  <c r="AE50" i="3"/>
  <c r="AF50" i="3"/>
  <c r="AJ50" i="3"/>
  <c r="AM50" i="3"/>
  <c r="AN50" i="3"/>
  <c r="AR50" i="3"/>
  <c r="AS50" i="3" s="1"/>
  <c r="AQ50" i="3"/>
  <c r="AT50" i="3"/>
  <c r="AU50" i="3"/>
  <c r="AV50" i="3" s="1"/>
  <c r="AW50" i="3"/>
  <c r="AX50" i="3" s="1"/>
  <c r="AZ50" i="3"/>
  <c r="BA50" i="3"/>
  <c r="BN50" i="3"/>
  <c r="BO50" i="3"/>
  <c r="C49" i="3" a="1"/>
  <c r="BB50" i="3" l="1"/>
  <c r="BD50" i="3" s="1"/>
  <c r="AY50" i="3"/>
  <c r="C49" i="3"/>
  <c r="D49" i="3" a="1"/>
  <c r="BM50" i="3" l="1"/>
  <c r="BC50" i="3"/>
  <c r="BF50" i="3"/>
  <c r="D49" i="3"/>
  <c r="E49" i="3" a="1"/>
  <c r="E49" i="3"/>
  <c r="F49" i="3" a="1"/>
  <c r="F49" i="3" l="1"/>
  <c r="G49" i="3" a="1"/>
  <c r="G49" i="3"/>
  <c r="H49" i="3" a="1"/>
  <c r="H49" i="3"/>
  <c r="I49" i="3" a="1"/>
  <c r="I49" i="3"/>
  <c r="J49" i="3" a="1"/>
  <c r="J49" i="3"/>
  <c r="K49" i="3" a="1"/>
  <c r="K49" i="3"/>
  <c r="L49" i="3" a="1"/>
  <c r="L49" i="3"/>
  <c r="U49" i="3"/>
  <c r="W49" i="3"/>
  <c r="Y49" i="3"/>
  <c r="AH49" i="3"/>
  <c r="AI49" i="3" s="1"/>
  <c r="AD49" i="3" s="1"/>
  <c r="AL49" i="3"/>
  <c r="AK49" i="3" a="1"/>
  <c r="Z49" i="3" l="1"/>
  <c r="AA49" i="3" s="1"/>
  <c r="AB49" i="3"/>
  <c r="AO49" i="3" s="1"/>
  <c r="AK49" i="3"/>
  <c r="BL49" i="3"/>
  <c r="BP49" i="3" s="1"/>
  <c r="BK49" i="3" s="1"/>
  <c r="AE49" i="3"/>
  <c r="AF49" i="3" l="1"/>
  <c r="AJ49" i="3"/>
  <c r="AM49" i="3"/>
  <c r="AN49" i="3"/>
  <c r="AR49" i="3"/>
  <c r="AS49" i="3" s="1"/>
  <c r="AQ49" i="3"/>
  <c r="AT49" i="3"/>
  <c r="AU49" i="3"/>
  <c r="AV49" i="3" s="1"/>
  <c r="AW49" i="3"/>
  <c r="AX49" i="3" s="1"/>
  <c r="AZ49" i="3"/>
  <c r="BA49" i="3"/>
  <c r="BN49" i="3"/>
  <c r="BO49" i="3"/>
  <c r="C48" i="3" a="1"/>
  <c r="BB49" i="3" l="1"/>
  <c r="BM49" i="3" s="1"/>
  <c r="AY49" i="3"/>
  <c r="C48" i="3"/>
  <c r="D48" i="3" a="1"/>
  <c r="BF49" i="3" l="1"/>
  <c r="BC49" i="3"/>
  <c r="BD49" i="3"/>
  <c r="D48" i="3"/>
  <c r="E48" i="3" a="1"/>
  <c r="E48" i="3"/>
  <c r="F48" i="3" a="1"/>
  <c r="F48" i="3" l="1"/>
  <c r="G48" i="3" a="1"/>
  <c r="G48" i="3"/>
  <c r="H48" i="3" a="1"/>
  <c r="H48" i="3"/>
  <c r="I48" i="3" a="1"/>
  <c r="I48" i="3"/>
  <c r="J48" i="3" a="1"/>
  <c r="J48" i="3"/>
  <c r="K48" i="3" a="1"/>
  <c r="K48" i="3"/>
  <c r="L48" i="3" a="1"/>
  <c r="L48" i="3"/>
  <c r="AB48" i="3" s="1"/>
  <c r="AO48" i="3" s="1"/>
  <c r="U48" i="3"/>
  <c r="W48" i="3"/>
  <c r="Y48" i="3"/>
  <c r="AH48" i="3"/>
  <c r="AI48" i="3" s="1"/>
  <c r="AD48" i="3" s="1"/>
  <c r="AL48" i="3"/>
  <c r="AK48" i="3" a="1"/>
  <c r="Z48" i="3" l="1"/>
  <c r="AA48" i="3" s="1"/>
  <c r="AK48" i="3"/>
  <c r="BL48" i="3"/>
  <c r="BP48" i="3" s="1"/>
  <c r="BK48" i="3" s="1"/>
  <c r="AE48" i="3"/>
  <c r="AF48" i="3"/>
  <c r="AJ48" i="3"/>
  <c r="AM48" i="3"/>
  <c r="AN48" i="3"/>
  <c r="AR48" i="3"/>
  <c r="AS48" i="3" s="1"/>
  <c r="AQ48" i="3"/>
  <c r="AT48" i="3"/>
  <c r="AU48" i="3"/>
  <c r="AV48" i="3" s="1"/>
  <c r="AW48" i="3"/>
  <c r="AX48" i="3" s="1"/>
  <c r="AZ48" i="3"/>
  <c r="BA48" i="3"/>
  <c r="BN48" i="3"/>
  <c r="BO48" i="3"/>
  <c r="C47" i="3" a="1"/>
  <c r="BB48" i="3" l="1"/>
  <c r="BD48" i="3" s="1"/>
  <c r="AY48" i="3"/>
  <c r="C47" i="3"/>
  <c r="D47" i="3" a="1"/>
  <c r="BF48" i="3" l="1"/>
  <c r="BC48" i="3"/>
  <c r="BM48" i="3"/>
  <c r="D47" i="3"/>
  <c r="E47" i="3" a="1"/>
  <c r="E47" i="3"/>
  <c r="F47" i="3" a="1"/>
  <c r="F47" i="3" l="1"/>
  <c r="G47" i="3" a="1"/>
  <c r="G47" i="3"/>
  <c r="H47" i="3" a="1"/>
  <c r="H47" i="3"/>
  <c r="I47" i="3" a="1"/>
  <c r="I47" i="3"/>
  <c r="J47" i="3" a="1"/>
  <c r="J47" i="3"/>
  <c r="K47" i="3" a="1"/>
  <c r="K47" i="3"/>
  <c r="L47" i="3" a="1"/>
  <c r="L47" i="3"/>
  <c r="U47" i="3"/>
  <c r="W47" i="3"/>
  <c r="Y47" i="3"/>
  <c r="AH47" i="3"/>
  <c r="AI47" i="3" s="1"/>
  <c r="AD47" i="3" s="1"/>
  <c r="AL47" i="3"/>
  <c r="AK47" i="3" a="1"/>
  <c r="Z47" i="3" l="1"/>
  <c r="AA47" i="3" s="1"/>
  <c r="AB47" i="3"/>
  <c r="AO47" i="3" s="1"/>
  <c r="AK47" i="3"/>
  <c r="BL47" i="3"/>
  <c r="BP47" i="3" s="1"/>
  <c r="BK47" i="3" s="1"/>
  <c r="AE47" i="3"/>
  <c r="AF47" i="3"/>
  <c r="AJ47" i="3"/>
  <c r="AM47" i="3"/>
  <c r="AN47" i="3"/>
  <c r="AQ47" i="3"/>
  <c r="AR47" i="3"/>
  <c r="AS47" i="3" s="1"/>
  <c r="AT47" i="3"/>
  <c r="AU47" i="3"/>
  <c r="AV47" i="3" s="1"/>
  <c r="AW47" i="3"/>
  <c r="AX47" i="3" s="1"/>
  <c r="AZ47" i="3"/>
  <c r="BA47" i="3"/>
  <c r="BN47" i="3"/>
  <c r="BO47" i="3"/>
  <c r="C46" i="3" a="1"/>
  <c r="BB47" i="3" l="1"/>
  <c r="BC47" i="3" s="1"/>
  <c r="AY47" i="3"/>
  <c r="C46" i="3"/>
  <c r="D46" i="3" a="1"/>
  <c r="BD47" i="3" l="1"/>
  <c r="BF47" i="3"/>
  <c r="BM47" i="3"/>
  <c r="D46" i="3"/>
  <c r="E46" i="3" a="1"/>
  <c r="E46" i="3"/>
  <c r="F46" i="3" a="1"/>
  <c r="F46" i="3" l="1"/>
  <c r="G46" i="3" a="1"/>
  <c r="G46" i="3"/>
  <c r="H46" i="3" a="1"/>
  <c r="H46" i="3"/>
  <c r="I46" i="3" a="1"/>
  <c r="I46" i="3"/>
  <c r="J46" i="3" a="1"/>
  <c r="J46" i="3"/>
  <c r="K46" i="3" a="1"/>
  <c r="K46" i="3"/>
  <c r="L46" i="3" a="1"/>
  <c r="L46" i="3"/>
  <c r="U46" i="3"/>
  <c r="W46" i="3"/>
  <c r="Y46" i="3"/>
  <c r="AH46" i="3"/>
  <c r="AI46" i="3" s="1"/>
  <c r="AD46" i="3" s="1"/>
  <c r="AL46" i="3"/>
  <c r="AK46" i="3" a="1"/>
  <c r="Z46" i="3" l="1"/>
  <c r="AA46" i="3" s="1"/>
  <c r="AB46" i="3"/>
  <c r="AO46" i="3" s="1"/>
  <c r="AK46" i="3"/>
  <c r="BL46" i="3"/>
  <c r="BP46" i="3" s="1"/>
  <c r="BK46" i="3" s="1"/>
  <c r="AE46" i="3"/>
  <c r="AF46" i="3" l="1"/>
  <c r="AJ46" i="3"/>
  <c r="AM46" i="3"/>
  <c r="AN46" i="3"/>
  <c r="AR46" i="3"/>
  <c r="AS46" i="3" s="1"/>
  <c r="AQ46" i="3"/>
  <c r="AT46" i="3"/>
  <c r="AU46" i="3"/>
  <c r="AV46" i="3" s="1"/>
  <c r="AW46" i="3"/>
  <c r="AX46" i="3" s="1"/>
  <c r="AZ46" i="3"/>
  <c r="BA46" i="3"/>
  <c r="BN46" i="3"/>
  <c r="BO46" i="3"/>
  <c r="C45" i="3" a="1"/>
  <c r="BB46" i="3" l="1"/>
  <c r="BD46" i="3" s="1"/>
  <c r="AY46" i="3"/>
  <c r="C45" i="3"/>
  <c r="D45" i="3" a="1"/>
  <c r="BF46" i="3" l="1"/>
  <c r="BM46" i="3"/>
  <c r="BC46" i="3"/>
  <c r="D45" i="3"/>
  <c r="E45" i="3" a="1"/>
  <c r="E45" i="3"/>
  <c r="F45" i="3" a="1"/>
  <c r="F45" i="3" l="1"/>
  <c r="G45" i="3" a="1"/>
  <c r="G45" i="3"/>
  <c r="H45" i="3" a="1"/>
  <c r="H45" i="3"/>
  <c r="I45" i="3" a="1"/>
  <c r="I45" i="3"/>
  <c r="J45" i="3" a="1"/>
  <c r="J45" i="3"/>
  <c r="K45" i="3" a="1"/>
  <c r="K45" i="3"/>
  <c r="L45" i="3" a="1"/>
  <c r="L45" i="3"/>
  <c r="U45" i="3"/>
  <c r="W45" i="3"/>
  <c r="Y45" i="3"/>
  <c r="AH45" i="3"/>
  <c r="AI45" i="3" s="1"/>
  <c r="AD45" i="3" s="1"/>
  <c r="AL45" i="3"/>
  <c r="AK45" i="3" a="1"/>
  <c r="Z45" i="3" l="1"/>
  <c r="AA45" i="3" s="1"/>
  <c r="AB45" i="3"/>
  <c r="AO45" i="3" s="1"/>
  <c r="AK45" i="3"/>
  <c r="BL45" i="3"/>
  <c r="BP45" i="3" s="1"/>
  <c r="BK45" i="3" s="1"/>
  <c r="AE45" i="3"/>
  <c r="AF45" i="3" l="1"/>
  <c r="AJ45" i="3"/>
  <c r="AM45" i="3"/>
  <c r="AN45" i="3"/>
  <c r="AR45" i="3"/>
  <c r="AS45" i="3" s="1"/>
  <c r="AQ45" i="3"/>
  <c r="AT45" i="3"/>
  <c r="AU45" i="3"/>
  <c r="AV45" i="3" s="1"/>
  <c r="AW45" i="3"/>
  <c r="AX45" i="3" s="1"/>
  <c r="AZ45" i="3"/>
  <c r="BA45" i="3"/>
  <c r="BN45" i="3"/>
  <c r="BO45" i="3"/>
  <c r="C44" i="3" a="1"/>
  <c r="BB45" i="3" l="1"/>
  <c r="BM45" i="3" s="1"/>
  <c r="AY45" i="3"/>
  <c r="C44" i="3"/>
  <c r="D44" i="3" a="1"/>
  <c r="BC45" i="3" l="1"/>
  <c r="BD45" i="3"/>
  <c r="BF45" i="3"/>
  <c r="D44" i="3"/>
  <c r="E44" i="3" a="1"/>
  <c r="E44" i="3"/>
  <c r="F44" i="3" a="1"/>
  <c r="F44" i="3" l="1"/>
  <c r="G44" i="3" a="1"/>
  <c r="G44" i="3"/>
  <c r="H44" i="3" a="1"/>
  <c r="H44" i="3"/>
  <c r="I44" i="3" a="1"/>
  <c r="I44" i="3"/>
  <c r="J44" i="3" a="1"/>
  <c r="J44" i="3"/>
  <c r="K44" i="3" a="1"/>
  <c r="K44" i="3"/>
  <c r="L44" i="3" a="1"/>
  <c r="L44" i="3"/>
  <c r="U44" i="3"/>
  <c r="W44" i="3"/>
  <c r="Y44" i="3"/>
  <c r="AH44" i="3"/>
  <c r="AI44" i="3" s="1"/>
  <c r="AD44" i="3" s="1"/>
  <c r="AL44" i="3"/>
  <c r="AK44" i="3" a="1"/>
  <c r="Z44" i="3" l="1"/>
  <c r="AA44" i="3" s="1"/>
  <c r="AB44" i="3"/>
  <c r="AO44" i="3" s="1"/>
  <c r="AK44" i="3"/>
  <c r="BL44" i="3"/>
  <c r="BP44" i="3" s="1"/>
  <c r="BK44" i="3" s="1"/>
  <c r="AE44" i="3"/>
  <c r="AF44" i="3"/>
  <c r="AJ44" i="3"/>
  <c r="AM44" i="3"/>
  <c r="AN44" i="3"/>
  <c r="AQ44" i="3"/>
  <c r="AR44" i="3"/>
  <c r="AS44" i="3" s="1"/>
  <c r="AT44" i="3"/>
  <c r="AU44" i="3"/>
  <c r="AV44" i="3" s="1"/>
  <c r="AW44" i="3"/>
  <c r="AX44" i="3" s="1"/>
  <c r="AZ44" i="3"/>
  <c r="BA44" i="3"/>
  <c r="BN44" i="3"/>
  <c r="BO44" i="3"/>
  <c r="C43" i="3" a="1"/>
  <c r="BB44" i="3" l="1"/>
  <c r="BC44" i="3" s="1"/>
  <c r="AY44" i="3"/>
  <c r="C43" i="3"/>
  <c r="D43" i="3" a="1"/>
  <c r="BD44" i="3" l="1"/>
  <c r="BM44" i="3"/>
  <c r="BF44" i="3"/>
  <c r="D43" i="3"/>
  <c r="E43" i="3" a="1"/>
  <c r="E43" i="3"/>
  <c r="F43" i="3" a="1"/>
  <c r="F43" i="3" l="1"/>
  <c r="G43" i="3" a="1"/>
  <c r="G43" i="3"/>
  <c r="H43" i="3" a="1"/>
  <c r="H43" i="3"/>
  <c r="I43" i="3" a="1"/>
  <c r="I43" i="3"/>
  <c r="J43" i="3" a="1"/>
  <c r="J43" i="3"/>
  <c r="K43" i="3" a="1"/>
  <c r="K43" i="3"/>
  <c r="L43" i="3" a="1"/>
  <c r="L43" i="3"/>
  <c r="U43" i="3"/>
  <c r="W43" i="3"/>
  <c r="Y43" i="3"/>
  <c r="AH43" i="3"/>
  <c r="AI43" i="3" s="1"/>
  <c r="AD43" i="3" s="1"/>
  <c r="AL43" i="3"/>
  <c r="AK43" i="3" a="1"/>
  <c r="Z43" i="3" l="1"/>
  <c r="AA43" i="3" s="1"/>
  <c r="AB43" i="3"/>
  <c r="AO43" i="3" s="1"/>
  <c r="AK43" i="3"/>
  <c r="BL43" i="3"/>
  <c r="BP43" i="3" s="1"/>
  <c r="BK43" i="3" s="1"/>
  <c r="AE43" i="3"/>
  <c r="AF43" i="3"/>
  <c r="AJ43" i="3"/>
  <c r="AM43" i="3"/>
  <c r="AN43" i="3"/>
  <c r="AR43" i="3"/>
  <c r="AS43" i="3" s="1"/>
  <c r="AQ43" i="3"/>
  <c r="AT43" i="3"/>
  <c r="AU43" i="3"/>
  <c r="AV43" i="3" s="1"/>
  <c r="AW43" i="3"/>
  <c r="AX43" i="3" s="1"/>
  <c r="AZ43" i="3"/>
  <c r="BA43" i="3"/>
  <c r="BN43" i="3"/>
  <c r="BO43" i="3"/>
  <c r="C42" i="3" a="1"/>
  <c r="AY43" i="3" l="1"/>
  <c r="BB43" i="3"/>
  <c r="BC43" i="3" s="1"/>
  <c r="C42" i="3"/>
  <c r="D42" i="3" a="1"/>
  <c r="BM43" i="3" l="1"/>
  <c r="BD43" i="3"/>
  <c r="BF43" i="3"/>
  <c r="D42" i="3"/>
  <c r="E42" i="3" a="1"/>
  <c r="E42" i="3"/>
  <c r="F42" i="3" a="1"/>
  <c r="F42" i="3" l="1"/>
  <c r="G42" i="3" a="1"/>
  <c r="G42" i="3"/>
  <c r="H42" i="3" a="1"/>
  <c r="H42" i="3"/>
  <c r="I42" i="3" a="1"/>
  <c r="I42" i="3"/>
  <c r="J42" i="3" a="1"/>
  <c r="J42" i="3"/>
  <c r="K42" i="3" a="1"/>
  <c r="K42" i="3"/>
  <c r="L42" i="3" a="1"/>
  <c r="L42" i="3"/>
  <c r="U42" i="3"/>
  <c r="W42" i="3"/>
  <c r="Y42" i="3"/>
  <c r="AH42" i="3"/>
  <c r="AI42" i="3" s="1"/>
  <c r="AD42" i="3" s="1"/>
  <c r="AL42" i="3"/>
  <c r="AK42" i="3" a="1"/>
  <c r="Z42" i="3" l="1"/>
  <c r="AA42" i="3" s="1"/>
  <c r="AB42" i="3"/>
  <c r="AO42" i="3" s="1"/>
  <c r="AK42" i="3"/>
  <c r="BL42" i="3"/>
  <c r="BP42" i="3" s="1"/>
  <c r="BK42" i="3" s="1"/>
  <c r="AE42" i="3"/>
  <c r="AF42" i="3" l="1"/>
  <c r="AJ42" i="3"/>
  <c r="AM42" i="3"/>
  <c r="AN42" i="3"/>
  <c r="AR42" i="3"/>
  <c r="AS42" i="3" s="1"/>
  <c r="AQ42" i="3"/>
  <c r="AT42" i="3"/>
  <c r="AU42" i="3"/>
  <c r="AV42" i="3" s="1"/>
  <c r="AW42" i="3"/>
  <c r="AX42" i="3" s="1"/>
  <c r="AZ42" i="3"/>
  <c r="BA42" i="3"/>
  <c r="BN42" i="3"/>
  <c r="BO42" i="3"/>
  <c r="C41" i="3" a="1"/>
  <c r="BB42" i="3" l="1"/>
  <c r="BD42" i="3" s="1"/>
  <c r="AY42" i="3"/>
  <c r="C41" i="3"/>
  <c r="D41" i="3" a="1"/>
  <c r="BF42" i="3" l="1"/>
  <c r="BM42" i="3"/>
  <c r="BC42" i="3"/>
  <c r="D41" i="3"/>
  <c r="E41" i="3" a="1"/>
  <c r="E41" i="3"/>
  <c r="F41" i="3" a="1"/>
  <c r="F41" i="3" l="1"/>
  <c r="G41" i="3" a="1"/>
  <c r="G41" i="3"/>
  <c r="H41" i="3" a="1"/>
  <c r="H41" i="3"/>
  <c r="I41" i="3" a="1"/>
  <c r="I41" i="3"/>
  <c r="J41" i="3" a="1"/>
  <c r="J41" i="3"/>
  <c r="K41" i="3" a="1"/>
  <c r="K41" i="3"/>
  <c r="L41" i="3" a="1"/>
  <c r="L41" i="3"/>
  <c r="AB41" i="3" s="1"/>
  <c r="AO41" i="3" s="1"/>
  <c r="U41" i="3"/>
  <c r="W41" i="3"/>
  <c r="Y41" i="3"/>
  <c r="AH41" i="3"/>
  <c r="AI41" i="3" s="1"/>
  <c r="AD41" i="3" s="1"/>
  <c r="AL41" i="3"/>
  <c r="AK41" i="3" a="1"/>
  <c r="Z41" i="3" l="1"/>
  <c r="AA41" i="3" s="1"/>
  <c r="AK41" i="3"/>
  <c r="BL41" i="3"/>
  <c r="BP41" i="3" s="1"/>
  <c r="BK41" i="3" s="1"/>
  <c r="AE41" i="3"/>
  <c r="AF41" i="3"/>
  <c r="AJ41" i="3"/>
  <c r="AM41" i="3"/>
  <c r="AN41" i="3"/>
  <c r="AR41" i="3"/>
  <c r="AS41" i="3" s="1"/>
  <c r="AQ41" i="3"/>
  <c r="AT41" i="3"/>
  <c r="AU41" i="3"/>
  <c r="AV41" i="3" s="1"/>
  <c r="AW41" i="3"/>
  <c r="AX41" i="3" s="1"/>
  <c r="AZ41" i="3"/>
  <c r="BA41" i="3"/>
  <c r="BN41" i="3"/>
  <c r="BO41" i="3"/>
  <c r="C40" i="3" a="1"/>
  <c r="BB41" i="3" l="1"/>
  <c r="BC41" i="3" s="1"/>
  <c r="AY41" i="3"/>
  <c r="C40" i="3"/>
  <c r="D40" i="3" a="1"/>
  <c r="BD41" i="3" l="1"/>
  <c r="BM41" i="3"/>
  <c r="BF41" i="3"/>
  <c r="D40" i="3"/>
  <c r="E40" i="3" a="1"/>
  <c r="E40" i="3"/>
  <c r="F40" i="3" a="1"/>
  <c r="F40" i="3" l="1"/>
  <c r="G40" i="3" a="1"/>
  <c r="G40" i="3"/>
  <c r="H40" i="3" a="1"/>
  <c r="H40" i="3"/>
  <c r="I40" i="3" a="1"/>
  <c r="I40" i="3"/>
  <c r="J40" i="3" a="1"/>
  <c r="J40" i="3"/>
  <c r="K40" i="3" a="1"/>
  <c r="K40" i="3"/>
  <c r="L40" i="3" a="1"/>
  <c r="L40" i="3"/>
  <c r="U40" i="3"/>
  <c r="W40" i="3"/>
  <c r="Y40" i="3"/>
  <c r="AH40" i="3"/>
  <c r="AI40" i="3" s="1"/>
  <c r="AD40" i="3" s="1"/>
  <c r="AL40" i="3"/>
  <c r="AK40" i="3" a="1"/>
  <c r="Z40" i="3" l="1"/>
  <c r="AA40" i="3" s="1"/>
  <c r="AB40" i="3"/>
  <c r="AO40" i="3" s="1"/>
  <c r="AK40" i="3"/>
  <c r="BL40" i="3"/>
  <c r="BP40" i="3" s="1"/>
  <c r="BK40" i="3" s="1"/>
  <c r="AE40" i="3"/>
  <c r="AF40" i="3" l="1"/>
  <c r="AJ40" i="3"/>
  <c r="AM40" i="3"/>
  <c r="AN40" i="3"/>
  <c r="AR40" i="3"/>
  <c r="AS40" i="3" s="1"/>
  <c r="AQ40" i="3"/>
  <c r="AT40" i="3"/>
  <c r="AU40" i="3"/>
  <c r="AV40" i="3" s="1"/>
  <c r="AW40" i="3"/>
  <c r="AX40" i="3" s="1"/>
  <c r="AZ40" i="3"/>
  <c r="BA40" i="3"/>
  <c r="BN40" i="3"/>
  <c r="BO40" i="3"/>
  <c r="C39" i="3" a="1"/>
  <c r="BB40" i="3" l="1"/>
  <c r="BC40" i="3" s="1"/>
  <c r="AY40" i="3"/>
  <c r="C39" i="3"/>
  <c r="D39" i="3" a="1"/>
  <c r="BD40" i="3" l="1"/>
  <c r="BF40" i="3"/>
  <c r="BM40" i="3"/>
  <c r="D39" i="3"/>
  <c r="E39" i="3" a="1"/>
  <c r="E39" i="3"/>
  <c r="F39" i="3" a="1"/>
  <c r="F39" i="3" l="1"/>
  <c r="G39" i="3" a="1"/>
  <c r="G39" i="3"/>
  <c r="H39" i="3" a="1"/>
  <c r="H39" i="3"/>
  <c r="I39" i="3" a="1"/>
  <c r="I39" i="3"/>
  <c r="J39" i="3" a="1"/>
  <c r="J39" i="3"/>
  <c r="K39" i="3" a="1"/>
  <c r="K39" i="3"/>
  <c r="L39" i="3" a="1"/>
  <c r="L39" i="3"/>
  <c r="U39" i="3"/>
  <c r="W39" i="3"/>
  <c r="Y39" i="3"/>
  <c r="AH39" i="3"/>
  <c r="AI39" i="3" s="1"/>
  <c r="AD39" i="3" s="1"/>
  <c r="AL39" i="3"/>
  <c r="AK39" i="3" a="1"/>
  <c r="Z39" i="3" l="1"/>
  <c r="AA39" i="3" s="1"/>
  <c r="AB39" i="3"/>
  <c r="AO39" i="3" s="1"/>
  <c r="AK39" i="3"/>
  <c r="BL39" i="3"/>
  <c r="BP39" i="3" s="1"/>
  <c r="BK39" i="3" s="1"/>
  <c r="AE39" i="3"/>
  <c r="AF39" i="3"/>
  <c r="AJ39" i="3"/>
  <c r="AM39" i="3"/>
  <c r="AN39" i="3"/>
  <c r="AR39" i="3"/>
  <c r="AS39" i="3" s="1"/>
  <c r="AQ39" i="3"/>
  <c r="AT39" i="3"/>
  <c r="AU39" i="3"/>
  <c r="AV39" i="3" s="1"/>
  <c r="AW39" i="3"/>
  <c r="AX39" i="3" s="1"/>
  <c r="AZ39" i="3"/>
  <c r="BA39" i="3"/>
  <c r="BN39" i="3"/>
  <c r="BO39" i="3"/>
  <c r="C38" i="3" a="1"/>
  <c r="BB39" i="3" l="1"/>
  <c r="BC39" i="3" s="1"/>
  <c r="AY39" i="3"/>
  <c r="C38" i="3"/>
  <c r="D38" i="3" a="1"/>
  <c r="BM39" i="3" l="1"/>
  <c r="BD39" i="3"/>
  <c r="BF39" i="3"/>
  <c r="D38" i="3"/>
  <c r="E38" i="3" a="1"/>
  <c r="E38" i="3"/>
  <c r="F38" i="3" a="1"/>
  <c r="F38" i="3" l="1"/>
  <c r="G38" i="3" a="1"/>
  <c r="G38" i="3"/>
  <c r="H38" i="3" a="1"/>
  <c r="H38" i="3"/>
  <c r="I38" i="3" a="1"/>
  <c r="I38" i="3"/>
  <c r="J38" i="3" a="1"/>
  <c r="J38" i="3"/>
  <c r="K38" i="3" a="1"/>
  <c r="K38" i="3"/>
  <c r="L38" i="3" a="1"/>
  <c r="L38" i="3"/>
  <c r="U38" i="3"/>
  <c r="W38" i="3"/>
  <c r="Y38" i="3"/>
  <c r="AH38" i="3"/>
  <c r="AI38" i="3" s="1"/>
  <c r="AD38" i="3" s="1"/>
  <c r="AL38" i="3"/>
  <c r="AK38" i="3" a="1"/>
  <c r="Z38" i="3" l="1"/>
  <c r="AA38" i="3" s="1"/>
  <c r="AB38" i="3"/>
  <c r="AO38" i="3" s="1"/>
  <c r="AK38" i="3"/>
  <c r="BL38" i="3"/>
  <c r="BP38" i="3" s="1"/>
  <c r="BK38" i="3" s="1"/>
  <c r="AE38" i="3"/>
  <c r="AF38" i="3" l="1"/>
  <c r="AJ38" i="3"/>
  <c r="AM38" i="3"/>
  <c r="AN38" i="3"/>
  <c r="AR38" i="3"/>
  <c r="AS38" i="3" s="1"/>
  <c r="AQ38" i="3"/>
  <c r="AT38" i="3"/>
  <c r="AU38" i="3"/>
  <c r="AV38" i="3" s="1"/>
  <c r="AW38" i="3"/>
  <c r="AX38" i="3" s="1"/>
  <c r="AZ38" i="3"/>
  <c r="BA38" i="3"/>
  <c r="BN38" i="3"/>
  <c r="BO38" i="3"/>
  <c r="C37" i="3" a="1"/>
  <c r="BB38" i="3" l="1"/>
  <c r="BD38" i="3" s="1"/>
  <c r="AY38" i="3"/>
  <c r="C37" i="3"/>
  <c r="D37" i="3" a="1"/>
  <c r="BC38" i="3" l="1"/>
  <c r="BM38" i="3"/>
  <c r="BF38" i="3"/>
  <c r="D37" i="3"/>
  <c r="E37" i="3" a="1"/>
  <c r="E37" i="3"/>
  <c r="F37" i="3" a="1"/>
  <c r="F37" i="3" l="1"/>
  <c r="G37" i="3" a="1"/>
  <c r="G37" i="3"/>
  <c r="H37" i="3" a="1"/>
  <c r="H37" i="3"/>
  <c r="I37" i="3" a="1"/>
  <c r="I37" i="3"/>
  <c r="J37" i="3" a="1"/>
  <c r="J37" i="3"/>
  <c r="K37" i="3" a="1"/>
  <c r="K37" i="3"/>
  <c r="L37" i="3" a="1"/>
  <c r="L37" i="3"/>
  <c r="U37" i="3"/>
  <c r="W37" i="3"/>
  <c r="Y37" i="3"/>
  <c r="AH37" i="3"/>
  <c r="AI37" i="3" s="1"/>
  <c r="AD37" i="3" s="1"/>
  <c r="AL37" i="3"/>
  <c r="AK37" i="3" a="1"/>
  <c r="Z37" i="3" l="1"/>
  <c r="AA37" i="3" s="1"/>
  <c r="AB37" i="3"/>
  <c r="AO37" i="3" s="1"/>
  <c r="AK37" i="3"/>
  <c r="BL37" i="3"/>
  <c r="BP37" i="3" s="1"/>
  <c r="BK37" i="3" s="1"/>
  <c r="AE37" i="3"/>
  <c r="AF37" i="3"/>
  <c r="AJ37" i="3"/>
  <c r="AM37" i="3"/>
  <c r="AN37" i="3"/>
  <c r="AQ37" i="3"/>
  <c r="AR37" i="3"/>
  <c r="AS37" i="3" s="1"/>
  <c r="AT37" i="3"/>
  <c r="AU37" i="3"/>
  <c r="AV37" i="3" s="1"/>
  <c r="AW37" i="3"/>
  <c r="AX37" i="3" s="1"/>
  <c r="AZ37" i="3"/>
  <c r="BA37" i="3"/>
  <c r="BN37" i="3"/>
  <c r="BO37" i="3"/>
  <c r="C36" i="3" a="1"/>
  <c r="BB37" i="3" l="1"/>
  <c r="BC37" i="3" s="1"/>
  <c r="AY37" i="3"/>
  <c r="C36" i="3"/>
  <c r="D36" i="3" a="1"/>
  <c r="BD37" i="3" l="1"/>
  <c r="BF37" i="3"/>
  <c r="BM37" i="3"/>
  <c r="D36" i="3"/>
  <c r="E36" i="3" a="1"/>
  <c r="E36" i="3"/>
  <c r="F36" i="3" a="1"/>
  <c r="F36" i="3" l="1"/>
  <c r="G36" i="3" a="1"/>
  <c r="G36" i="3"/>
  <c r="H36" i="3" a="1"/>
  <c r="H36" i="3"/>
  <c r="I36" i="3" a="1"/>
  <c r="I36" i="3"/>
  <c r="J36" i="3" a="1"/>
  <c r="J36" i="3"/>
  <c r="K36" i="3" a="1"/>
  <c r="K36" i="3"/>
  <c r="L36" i="3" a="1"/>
  <c r="L36" i="3"/>
  <c r="AB36" i="3" s="1"/>
  <c r="AO36" i="3" s="1"/>
  <c r="U36" i="3"/>
  <c r="W36" i="3"/>
  <c r="Y36" i="3"/>
  <c r="AH36" i="3"/>
  <c r="AI36" i="3" s="1"/>
  <c r="AD36" i="3" s="1"/>
  <c r="AL36" i="3"/>
  <c r="AK36" i="3" a="1"/>
  <c r="Z36" i="3" l="1"/>
  <c r="AA36" i="3" s="1"/>
  <c r="AK36" i="3"/>
  <c r="BL36" i="3"/>
  <c r="BP36" i="3" s="1"/>
  <c r="BK36" i="3" s="1"/>
  <c r="AE36" i="3"/>
  <c r="AF36" i="3"/>
  <c r="AJ36" i="3"/>
  <c r="AM36" i="3"/>
  <c r="AN36" i="3"/>
  <c r="AR36" i="3"/>
  <c r="AS36" i="3" s="1"/>
  <c r="AQ36" i="3"/>
  <c r="AT36" i="3"/>
  <c r="AU36" i="3"/>
  <c r="AV36" i="3" s="1"/>
  <c r="AW36" i="3"/>
  <c r="AX36" i="3" s="1"/>
  <c r="AZ36" i="3"/>
  <c r="BA36" i="3"/>
  <c r="BN36" i="3"/>
  <c r="BO36" i="3"/>
  <c r="C35" i="3" a="1"/>
  <c r="AY36" i="3" l="1"/>
  <c r="BB36" i="3"/>
  <c r="BC36" i="3" s="1"/>
  <c r="C35" i="3"/>
  <c r="D35" i="3" a="1"/>
  <c r="BM36" i="3" l="1"/>
  <c r="BD36" i="3"/>
  <c r="BF36" i="3"/>
  <c r="D35" i="3"/>
  <c r="E35" i="3" a="1"/>
  <c r="E35" i="3"/>
  <c r="F35" i="3" a="1"/>
  <c r="F35" i="3" l="1"/>
  <c r="G35" i="3" a="1"/>
  <c r="G35" i="3"/>
  <c r="H35" i="3" a="1"/>
  <c r="H35" i="3"/>
  <c r="I35" i="3" a="1"/>
  <c r="I35" i="3"/>
  <c r="J35" i="3" a="1"/>
  <c r="J35" i="3"/>
  <c r="K35" i="3" a="1"/>
  <c r="K35" i="3"/>
  <c r="L35" i="3" a="1"/>
  <c r="L35" i="3"/>
  <c r="U35" i="3"/>
  <c r="W35" i="3"/>
  <c r="Y35" i="3"/>
  <c r="AH35" i="3"/>
  <c r="AI35" i="3" s="1"/>
  <c r="AD35" i="3" s="1"/>
  <c r="AL35" i="3"/>
  <c r="AK35" i="3" a="1"/>
  <c r="Z35" i="3" l="1"/>
  <c r="AA35" i="3" s="1"/>
  <c r="AB35" i="3"/>
  <c r="AO35" i="3" s="1"/>
  <c r="AK35" i="3"/>
  <c r="BL35" i="3"/>
  <c r="BP35" i="3" s="1"/>
  <c r="BK35" i="3" s="1"/>
  <c r="AE35" i="3"/>
  <c r="AF35" i="3"/>
  <c r="AJ35" i="3"/>
  <c r="AM35" i="3"/>
  <c r="AN35" i="3"/>
  <c r="AR35" i="3"/>
  <c r="AS35" i="3" s="1"/>
  <c r="AQ35" i="3"/>
  <c r="AT35" i="3"/>
  <c r="AU35" i="3"/>
  <c r="AV35" i="3" s="1"/>
  <c r="AW35" i="3"/>
  <c r="AX35" i="3" s="1"/>
  <c r="AZ35" i="3"/>
  <c r="BA35" i="3"/>
  <c r="BN35" i="3"/>
  <c r="BO35" i="3"/>
  <c r="C34" i="3" a="1"/>
  <c r="AY35" i="3" l="1"/>
  <c r="BB35" i="3"/>
  <c r="BC35" i="3" s="1"/>
  <c r="C34" i="3"/>
  <c r="D34" i="3" a="1"/>
  <c r="BD35" i="3" l="1"/>
  <c r="BM35" i="3"/>
  <c r="BF35" i="3"/>
  <c r="D34" i="3"/>
  <c r="E34" i="3" a="1"/>
  <c r="E34" i="3"/>
  <c r="F34" i="3" a="1"/>
  <c r="F34" i="3" l="1"/>
  <c r="G34" i="3" a="1"/>
  <c r="G34" i="3"/>
  <c r="H34" i="3" a="1"/>
  <c r="H34" i="3"/>
  <c r="I34" i="3" a="1"/>
  <c r="I34" i="3"/>
  <c r="J34" i="3" a="1"/>
  <c r="J34" i="3"/>
  <c r="K34" i="3" a="1"/>
  <c r="K34" i="3"/>
  <c r="L34" i="3" a="1"/>
  <c r="L34" i="3"/>
  <c r="U34" i="3"/>
  <c r="W34" i="3"/>
  <c r="Y34" i="3"/>
  <c r="AH34" i="3"/>
  <c r="AI34" i="3" s="1"/>
  <c r="AD34" i="3" s="1"/>
  <c r="AL34" i="3"/>
  <c r="AK34" i="3" a="1"/>
  <c r="Z34" i="3" l="1"/>
  <c r="AA34" i="3" s="1"/>
  <c r="AB34" i="3"/>
  <c r="AO34" i="3" s="1"/>
  <c r="AK34" i="3"/>
  <c r="BL34" i="3"/>
  <c r="BP34" i="3" s="1"/>
  <c r="BK34" i="3" s="1"/>
  <c r="AE34" i="3"/>
  <c r="AF34" i="3"/>
  <c r="AJ34" i="3"/>
  <c r="AM34" i="3"/>
  <c r="AN34" i="3"/>
  <c r="AR34" i="3"/>
  <c r="AS34" i="3" s="1"/>
  <c r="AQ34" i="3"/>
  <c r="AT34" i="3"/>
  <c r="AU34" i="3"/>
  <c r="AV34" i="3" s="1"/>
  <c r="AW34" i="3"/>
  <c r="AX34" i="3" s="1"/>
  <c r="AZ34" i="3"/>
  <c r="BA34" i="3"/>
  <c r="BN34" i="3"/>
  <c r="BO34" i="3"/>
  <c r="C33" i="3" a="1"/>
  <c r="BB34" i="3" l="1"/>
  <c r="BC34" i="3" s="1"/>
  <c r="AY34" i="3"/>
  <c r="C33" i="3"/>
  <c r="D33" i="3" a="1"/>
  <c r="BD34" i="3" l="1"/>
  <c r="BF34" i="3"/>
  <c r="BM34" i="3"/>
  <c r="D33" i="3"/>
  <c r="E33" i="3" a="1"/>
  <c r="E33" i="3"/>
  <c r="F33" i="3" a="1"/>
  <c r="F33" i="3" l="1"/>
  <c r="G33" i="3" a="1"/>
  <c r="G33" i="3"/>
  <c r="H33" i="3" a="1"/>
  <c r="H33" i="3"/>
  <c r="I33" i="3" a="1"/>
  <c r="I33" i="3"/>
  <c r="J33" i="3" a="1"/>
  <c r="J33" i="3"/>
  <c r="K33" i="3" a="1"/>
  <c r="K33" i="3"/>
  <c r="L33" i="3" a="1"/>
  <c r="L33" i="3"/>
  <c r="U33" i="3"/>
  <c r="W33" i="3"/>
  <c r="Y33" i="3"/>
  <c r="AH33" i="3"/>
  <c r="AI33" i="3" s="1"/>
  <c r="AD33" i="3" s="1"/>
  <c r="AL33" i="3"/>
  <c r="AK33" i="3" a="1"/>
  <c r="Z33" i="3" l="1"/>
  <c r="AA33" i="3" s="1"/>
  <c r="AB33" i="3"/>
  <c r="AO33" i="3" s="1"/>
  <c r="AK33" i="3"/>
  <c r="BL33" i="3"/>
  <c r="BP33" i="3" s="1"/>
  <c r="BK33" i="3" s="1"/>
  <c r="AE33" i="3"/>
  <c r="AF33" i="3" l="1"/>
  <c r="AJ33" i="3"/>
  <c r="AM33" i="3"/>
  <c r="AN33" i="3"/>
  <c r="AR33" i="3"/>
  <c r="AS33" i="3" s="1"/>
  <c r="AQ33" i="3"/>
  <c r="AT33" i="3"/>
  <c r="AU33" i="3"/>
  <c r="AV33" i="3" s="1"/>
  <c r="AW33" i="3"/>
  <c r="AX33" i="3" s="1"/>
  <c r="AZ33" i="3"/>
  <c r="BA33" i="3"/>
  <c r="BN33" i="3"/>
  <c r="BO33" i="3"/>
  <c r="C32" i="3" a="1"/>
  <c r="BB33" i="3" l="1"/>
  <c r="BC33" i="3" s="1"/>
  <c r="AY33" i="3"/>
  <c r="C32" i="3"/>
  <c r="D32" i="3" a="1"/>
  <c r="BD33" i="3" l="1"/>
  <c r="BF33" i="3"/>
  <c r="BM33" i="3"/>
  <c r="D32" i="3"/>
  <c r="E32" i="3" a="1"/>
  <c r="E32" i="3"/>
  <c r="F32" i="3" a="1"/>
  <c r="F32" i="3" l="1"/>
  <c r="G32" i="3" a="1"/>
  <c r="G32" i="3"/>
  <c r="H32" i="3" a="1"/>
  <c r="H32" i="3"/>
  <c r="I32" i="3" a="1"/>
  <c r="I32" i="3"/>
  <c r="J32" i="3" a="1"/>
  <c r="J32" i="3"/>
  <c r="K32" i="3" a="1"/>
  <c r="K32" i="3"/>
  <c r="L32" i="3" a="1"/>
  <c r="L32" i="3"/>
  <c r="AB32" i="3" s="1"/>
  <c r="AO32" i="3" s="1"/>
  <c r="U32" i="3"/>
  <c r="W32" i="3"/>
  <c r="Y32" i="3"/>
  <c r="AH32" i="3"/>
  <c r="AI32" i="3" s="1"/>
  <c r="AD32" i="3" s="1"/>
  <c r="AL32" i="3"/>
  <c r="AK32" i="3" a="1"/>
  <c r="Z32" i="3" l="1"/>
  <c r="AA32" i="3" s="1"/>
  <c r="AK32" i="3"/>
  <c r="BL32" i="3"/>
  <c r="BP32" i="3" s="1"/>
  <c r="BK32" i="3" s="1"/>
  <c r="AE32" i="3"/>
  <c r="AF32" i="3"/>
  <c r="AJ32" i="3"/>
  <c r="AM32" i="3"/>
  <c r="AN32" i="3"/>
  <c r="AR32" i="3"/>
  <c r="AS32" i="3" s="1"/>
  <c r="AQ32" i="3"/>
  <c r="AT32" i="3"/>
  <c r="AU32" i="3"/>
  <c r="AV32" i="3" s="1"/>
  <c r="AW32" i="3"/>
  <c r="AX32" i="3" s="1"/>
  <c r="AZ32" i="3"/>
  <c r="BA32" i="3"/>
  <c r="BN32" i="3"/>
  <c r="BO32" i="3"/>
  <c r="C31" i="3" a="1"/>
  <c r="BB32" i="3" l="1"/>
  <c r="BC32" i="3" s="1"/>
  <c r="AY32" i="3"/>
  <c r="C31" i="3"/>
  <c r="D31" i="3" a="1"/>
  <c r="BF32" i="3" l="1"/>
  <c r="BD32" i="3"/>
  <c r="BM32" i="3"/>
  <c r="D31" i="3"/>
  <c r="E31" i="3" a="1"/>
  <c r="E31" i="3"/>
  <c r="F31" i="3" a="1"/>
  <c r="F31" i="3" l="1"/>
  <c r="G31" i="3" a="1"/>
  <c r="G31" i="3"/>
  <c r="H31" i="3" a="1"/>
  <c r="H31" i="3"/>
  <c r="I31" i="3" a="1"/>
  <c r="I31" i="3"/>
  <c r="J31" i="3" a="1"/>
  <c r="J31" i="3"/>
  <c r="K31" i="3" a="1"/>
  <c r="K31" i="3"/>
  <c r="L31" i="3" a="1"/>
  <c r="L31" i="3"/>
  <c r="U31" i="3"/>
  <c r="W31" i="3"/>
  <c r="Y31" i="3"/>
  <c r="AH31" i="3"/>
  <c r="AI31" i="3" s="1"/>
  <c r="AD31" i="3" s="1"/>
  <c r="AL31" i="3"/>
  <c r="AK31" i="3" a="1"/>
  <c r="Z31" i="3" l="1"/>
  <c r="AA31" i="3" s="1"/>
  <c r="AB31" i="3"/>
  <c r="AO31" i="3" s="1"/>
  <c r="AK31" i="3"/>
  <c r="BL31" i="3"/>
  <c r="BP31" i="3" s="1"/>
  <c r="BK31" i="3" s="1"/>
  <c r="AE31" i="3"/>
  <c r="AF31" i="3" l="1"/>
  <c r="AJ31" i="3"/>
  <c r="AM31" i="3"/>
  <c r="AN31" i="3"/>
  <c r="AR31" i="3"/>
  <c r="AS31" i="3" s="1"/>
  <c r="AQ31" i="3"/>
  <c r="AT31" i="3"/>
  <c r="AU31" i="3"/>
  <c r="AV31" i="3" s="1"/>
  <c r="AW31" i="3"/>
  <c r="AX31" i="3" s="1"/>
  <c r="AZ31" i="3"/>
  <c r="BA31" i="3"/>
  <c r="BN31" i="3"/>
  <c r="BO31" i="3"/>
  <c r="C30" i="3" a="1"/>
  <c r="BB31" i="3" l="1"/>
  <c r="BF31" i="3" s="1"/>
  <c r="AY31" i="3"/>
  <c r="C30" i="3"/>
  <c r="D30" i="3" a="1"/>
  <c r="BD31" i="3" l="1"/>
  <c r="BM31" i="3"/>
  <c r="BC31" i="3"/>
  <c r="D30" i="3"/>
  <c r="E30" i="3" a="1"/>
  <c r="E30" i="3"/>
  <c r="F30" i="3" a="1"/>
  <c r="F30" i="3" l="1"/>
  <c r="G30" i="3" a="1"/>
  <c r="G30" i="3"/>
  <c r="H30" i="3" a="1"/>
  <c r="H30" i="3"/>
  <c r="I30" i="3" a="1"/>
  <c r="I30" i="3"/>
  <c r="J30" i="3" a="1"/>
  <c r="J30" i="3"/>
  <c r="K30" i="3" a="1"/>
  <c r="K30" i="3"/>
  <c r="L30" i="3" a="1"/>
  <c r="L30" i="3"/>
  <c r="U30" i="3"/>
  <c r="W30" i="3"/>
  <c r="Y30" i="3"/>
  <c r="AH30" i="3"/>
  <c r="AI30" i="3" s="1"/>
  <c r="AD30" i="3" s="1"/>
  <c r="AL30" i="3"/>
  <c r="AK30" i="3" a="1"/>
  <c r="Z30" i="3" l="1"/>
  <c r="AA30" i="3" s="1"/>
  <c r="AB30" i="3"/>
  <c r="AO30" i="3" s="1"/>
  <c r="AK30" i="3"/>
  <c r="BL30" i="3"/>
  <c r="BP30" i="3" s="1"/>
  <c r="BK30" i="3" s="1"/>
  <c r="AE30" i="3"/>
  <c r="AF30" i="3"/>
  <c r="AJ30" i="3"/>
  <c r="AM30" i="3"/>
  <c r="AN30" i="3"/>
  <c r="AR30" i="3"/>
  <c r="AS30" i="3" s="1"/>
  <c r="AQ30" i="3"/>
  <c r="AT30" i="3"/>
  <c r="AU30" i="3"/>
  <c r="AV30" i="3" s="1"/>
  <c r="AW30" i="3"/>
  <c r="AX30" i="3" s="1"/>
  <c r="AZ30" i="3"/>
  <c r="BA30" i="3"/>
  <c r="BN30" i="3"/>
  <c r="BO30" i="3"/>
  <c r="C29" i="3" a="1"/>
  <c r="BB30" i="3" l="1"/>
  <c r="BC30" i="3" s="1"/>
  <c r="AY30" i="3"/>
  <c r="C29" i="3"/>
  <c r="D29" i="3" a="1"/>
  <c r="BD30" i="3" l="1"/>
  <c r="BF30" i="3"/>
  <c r="BM30" i="3"/>
  <c r="D29" i="3"/>
  <c r="E29" i="3" a="1"/>
  <c r="E29" i="3"/>
  <c r="F29" i="3" a="1"/>
  <c r="F29" i="3" l="1"/>
  <c r="G29" i="3" a="1"/>
  <c r="G29" i="3"/>
  <c r="H29" i="3" a="1"/>
  <c r="H29" i="3"/>
  <c r="I29" i="3" a="1"/>
  <c r="I29" i="3"/>
  <c r="J29" i="3" a="1"/>
  <c r="J29" i="3"/>
  <c r="K29" i="3" a="1"/>
  <c r="K29" i="3"/>
  <c r="L29" i="3" a="1"/>
  <c r="L29" i="3"/>
  <c r="U29" i="3"/>
  <c r="W29" i="3"/>
  <c r="Y29" i="3"/>
  <c r="AH29" i="3"/>
  <c r="AI29" i="3" s="1"/>
  <c r="AD29" i="3" s="1"/>
  <c r="AL29" i="3"/>
  <c r="AK29" i="3" a="1"/>
  <c r="Z29" i="3" l="1"/>
  <c r="AA29" i="3" s="1"/>
  <c r="AB29" i="3"/>
  <c r="AO29" i="3" s="1"/>
  <c r="AK29" i="3"/>
  <c r="BL29" i="3"/>
  <c r="BP29" i="3" s="1"/>
  <c r="BK29" i="3" s="1"/>
  <c r="AE29" i="3"/>
  <c r="AF29" i="3" l="1"/>
  <c r="AJ29" i="3"/>
  <c r="AM29" i="3"/>
  <c r="AN29" i="3"/>
  <c r="AR29" i="3"/>
  <c r="AS29" i="3" s="1"/>
  <c r="AQ29" i="3"/>
  <c r="AT29" i="3"/>
  <c r="AU29" i="3"/>
  <c r="AV29" i="3" s="1"/>
  <c r="AW29" i="3"/>
  <c r="AX29" i="3" s="1"/>
  <c r="AZ29" i="3"/>
  <c r="BA29" i="3"/>
  <c r="BN29" i="3"/>
  <c r="BO29" i="3"/>
  <c r="C28" i="3" a="1"/>
  <c r="BB29" i="3" l="1"/>
  <c r="BC29" i="3" s="1"/>
  <c r="AY29" i="3"/>
  <c r="C28" i="3"/>
  <c r="D28" i="3" a="1"/>
  <c r="BF29" i="3" l="1"/>
  <c r="BD29" i="3"/>
  <c r="BM29" i="3"/>
  <c r="D28" i="3"/>
  <c r="E28" i="3" a="1"/>
  <c r="E28" i="3"/>
  <c r="F28" i="3" a="1"/>
  <c r="F28" i="3" l="1"/>
  <c r="G28" i="3" a="1"/>
  <c r="G28" i="3"/>
  <c r="H28" i="3" a="1"/>
  <c r="H28" i="3"/>
  <c r="I28" i="3" a="1"/>
  <c r="I28" i="3"/>
  <c r="J28" i="3" a="1"/>
  <c r="J28" i="3"/>
  <c r="K28" i="3" a="1"/>
  <c r="K28" i="3"/>
  <c r="L28" i="3" a="1"/>
  <c r="L28" i="3"/>
  <c r="U28" i="3"/>
  <c r="W28" i="3"/>
  <c r="Y28" i="3"/>
  <c r="AH28" i="3"/>
  <c r="AI28" i="3" s="1"/>
  <c r="AD28" i="3" s="1"/>
  <c r="AL28" i="3"/>
  <c r="AK28" i="3" a="1"/>
  <c r="Z28" i="3" l="1"/>
  <c r="AA28" i="3" s="1"/>
  <c r="AB28" i="3"/>
  <c r="AO28" i="3" s="1"/>
  <c r="AK28" i="3"/>
  <c r="BL28" i="3"/>
  <c r="BP28" i="3" s="1"/>
  <c r="BK28" i="3" s="1"/>
  <c r="AE28" i="3"/>
  <c r="AF28" i="3" l="1"/>
  <c r="AJ28" i="3"/>
  <c r="AM28" i="3"/>
  <c r="AN28" i="3"/>
  <c r="AR28" i="3"/>
  <c r="AS28" i="3" s="1"/>
  <c r="AQ28" i="3"/>
  <c r="AT28" i="3"/>
  <c r="AU28" i="3"/>
  <c r="AV28" i="3" s="1"/>
  <c r="AW28" i="3"/>
  <c r="AX28" i="3" s="1"/>
  <c r="AZ28" i="3"/>
  <c r="BA28" i="3"/>
  <c r="BN28" i="3"/>
  <c r="BO28" i="3"/>
  <c r="C27" i="3" a="1"/>
  <c r="BB28" i="3" l="1"/>
  <c r="BC28" i="3" s="1"/>
  <c r="AY28" i="3"/>
  <c r="C27" i="3"/>
  <c r="D27" i="3" a="1"/>
  <c r="BF28" i="3" l="1"/>
  <c r="BD28" i="3"/>
  <c r="BM28" i="3"/>
  <c r="D27" i="3"/>
  <c r="E27" i="3" a="1"/>
  <c r="E27" i="3"/>
  <c r="F27" i="3" a="1"/>
  <c r="F27" i="3" l="1"/>
  <c r="G27" i="3" a="1"/>
  <c r="G27" i="3"/>
  <c r="H27" i="3" a="1"/>
  <c r="H27" i="3"/>
  <c r="I27" i="3" a="1"/>
  <c r="I27" i="3"/>
  <c r="J27" i="3" a="1"/>
  <c r="J27" i="3"/>
  <c r="K27" i="3" a="1"/>
  <c r="K27" i="3"/>
  <c r="L27" i="3" a="1"/>
  <c r="L27" i="3"/>
  <c r="U27" i="3"/>
  <c r="W27" i="3"/>
  <c r="Y27" i="3"/>
  <c r="AH27" i="3"/>
  <c r="AI27" i="3" s="1"/>
  <c r="AD27" i="3" s="1"/>
  <c r="AL27" i="3"/>
  <c r="AK27" i="3" a="1"/>
  <c r="Z27" i="3" l="1"/>
  <c r="AA27" i="3" s="1"/>
  <c r="AB27" i="3"/>
  <c r="AO27" i="3" s="1"/>
  <c r="AK27" i="3"/>
  <c r="BL27" i="3"/>
  <c r="BP27" i="3" s="1"/>
  <c r="BK27" i="3" s="1"/>
  <c r="AE27" i="3"/>
  <c r="AF27" i="3" l="1"/>
  <c r="AJ27" i="3"/>
  <c r="AM27" i="3"/>
  <c r="AN27" i="3"/>
  <c r="AQ27" i="3"/>
  <c r="AR27" i="3"/>
  <c r="AS27" i="3" s="1"/>
  <c r="AT27" i="3"/>
  <c r="AU27" i="3"/>
  <c r="AV27" i="3" s="1"/>
  <c r="AW27" i="3"/>
  <c r="AX27" i="3" s="1"/>
  <c r="AZ27" i="3"/>
  <c r="BA27" i="3"/>
  <c r="BN27" i="3"/>
  <c r="BO27" i="3"/>
  <c r="C26" i="3" a="1"/>
  <c r="BB27" i="3" l="1"/>
  <c r="BD27" i="3" s="1"/>
  <c r="AY27" i="3"/>
  <c r="C26" i="3"/>
  <c r="D26" i="3" a="1"/>
  <c r="BF27" i="3" l="1"/>
  <c r="BM27" i="3"/>
  <c r="BC27" i="3"/>
  <c r="D26" i="3"/>
  <c r="E26" i="3" a="1"/>
  <c r="E26" i="3"/>
  <c r="F26" i="3" a="1"/>
  <c r="F26" i="3" l="1"/>
  <c r="G26" i="3" a="1"/>
  <c r="G26" i="3"/>
  <c r="H26" i="3" a="1"/>
  <c r="H26" i="3"/>
  <c r="I26" i="3" a="1"/>
  <c r="I26" i="3"/>
  <c r="J26" i="3" a="1"/>
  <c r="J26" i="3"/>
  <c r="K26" i="3" a="1"/>
  <c r="K26" i="3"/>
  <c r="L26" i="3" a="1"/>
  <c r="L26" i="3"/>
  <c r="AB26" i="3" s="1"/>
  <c r="AO26" i="3" s="1"/>
  <c r="U26" i="3"/>
  <c r="W26" i="3"/>
  <c r="Y26" i="3"/>
  <c r="AH26" i="3"/>
  <c r="AI26" i="3" s="1"/>
  <c r="AD26" i="3" s="1"/>
  <c r="AL26" i="3"/>
  <c r="AK26" i="3" a="1"/>
  <c r="Z26" i="3" l="1"/>
  <c r="AA26" i="3" s="1"/>
  <c r="AK26" i="3"/>
  <c r="BL26" i="3"/>
  <c r="BP26" i="3" s="1"/>
  <c r="BK26" i="3" s="1"/>
  <c r="AE26" i="3"/>
  <c r="AF26" i="3"/>
  <c r="AJ26" i="3"/>
  <c r="AM26" i="3"/>
  <c r="AN26" i="3"/>
  <c r="AR26" i="3"/>
  <c r="AS26" i="3" s="1"/>
  <c r="AQ26" i="3"/>
  <c r="AT26" i="3"/>
  <c r="AU26" i="3"/>
  <c r="AV26" i="3" s="1"/>
  <c r="AW26" i="3"/>
  <c r="AX26" i="3" s="1"/>
  <c r="AZ26" i="3"/>
  <c r="BA26" i="3"/>
  <c r="BN26" i="3"/>
  <c r="BO26" i="3"/>
  <c r="C25" i="3" a="1"/>
  <c r="BB26" i="3" l="1"/>
  <c r="BC26" i="3" s="1"/>
  <c r="AY26" i="3"/>
  <c r="C25" i="3"/>
  <c r="D25" i="3" a="1"/>
  <c r="BD26" i="3" l="1"/>
  <c r="BM26" i="3"/>
  <c r="BF26" i="3"/>
  <c r="D25" i="3"/>
  <c r="E25" i="3" a="1"/>
  <c r="E25" i="3"/>
  <c r="F25" i="3" a="1"/>
  <c r="F25" i="3" l="1"/>
  <c r="G25" i="3" a="1"/>
  <c r="G25" i="3"/>
  <c r="H25" i="3" a="1"/>
  <c r="H25" i="3"/>
  <c r="I25" i="3" a="1"/>
  <c r="I25" i="3"/>
  <c r="J25" i="3" a="1"/>
  <c r="J25" i="3"/>
  <c r="K25" i="3" a="1"/>
  <c r="K25" i="3"/>
  <c r="L25" i="3" a="1"/>
  <c r="L25" i="3"/>
  <c r="U25" i="3"/>
  <c r="W25" i="3"/>
  <c r="Y25" i="3"/>
  <c r="AH25" i="3"/>
  <c r="AI25" i="3" s="1"/>
  <c r="AD25" i="3" s="1"/>
  <c r="AL25" i="3"/>
  <c r="AK25" i="3" a="1"/>
  <c r="Z25" i="3" l="1"/>
  <c r="AA25" i="3" s="1"/>
  <c r="AB25" i="3"/>
  <c r="AO25" i="3" s="1"/>
  <c r="AK25" i="3"/>
  <c r="BL25" i="3"/>
  <c r="BP25" i="3" s="1"/>
  <c r="BK25" i="3" s="1"/>
  <c r="AE25" i="3"/>
  <c r="AF25" i="3"/>
  <c r="AJ25" i="3"/>
  <c r="AM25" i="3"/>
  <c r="AN25" i="3"/>
  <c r="AR25" i="3"/>
  <c r="AS25" i="3" s="1"/>
  <c r="AQ25" i="3"/>
  <c r="AT25" i="3"/>
  <c r="AU25" i="3"/>
  <c r="AV25" i="3" s="1"/>
  <c r="AW25" i="3"/>
  <c r="AX25" i="3" s="1"/>
  <c r="AZ25" i="3"/>
  <c r="BA25" i="3"/>
  <c r="BN25" i="3"/>
  <c r="BO25" i="3"/>
  <c r="C24" i="3" a="1"/>
  <c r="BB25" i="3" l="1"/>
  <c r="BC25" i="3" s="1"/>
  <c r="AY25" i="3"/>
  <c r="C24" i="3"/>
  <c r="D24" i="3" a="1"/>
  <c r="BM25" i="3" l="1"/>
  <c r="BF25" i="3"/>
  <c r="BD25" i="3"/>
  <c r="D24" i="3"/>
  <c r="E24" i="3" a="1"/>
  <c r="E24" i="3"/>
  <c r="F24" i="3" a="1"/>
  <c r="F24" i="3" l="1"/>
  <c r="G24" i="3" a="1"/>
  <c r="G24" i="3"/>
  <c r="H24" i="3" a="1"/>
  <c r="H24" i="3"/>
  <c r="I24" i="3" a="1"/>
  <c r="I24" i="3"/>
  <c r="J24" i="3" a="1"/>
  <c r="J24" i="3"/>
  <c r="K24" i="3" a="1"/>
  <c r="K24" i="3"/>
  <c r="L24" i="3" a="1"/>
  <c r="L24" i="3"/>
  <c r="U24" i="3"/>
  <c r="W24" i="3"/>
  <c r="Y24" i="3"/>
  <c r="AH24" i="3"/>
  <c r="AI24" i="3" s="1"/>
  <c r="AD24" i="3" s="1"/>
  <c r="AL24" i="3"/>
  <c r="AK24" i="3" a="1"/>
  <c r="Z24" i="3" l="1"/>
  <c r="AA24" i="3" s="1"/>
  <c r="AB24" i="3"/>
  <c r="AO24" i="3" s="1"/>
  <c r="AK24" i="3"/>
  <c r="BL24" i="3"/>
  <c r="BP24" i="3" s="1"/>
  <c r="BK24" i="3" s="1"/>
  <c r="AE24" i="3"/>
  <c r="AF24" i="3" l="1"/>
  <c r="AJ24" i="3"/>
  <c r="AM24" i="3"/>
  <c r="AN24" i="3"/>
  <c r="AR24" i="3"/>
  <c r="AS24" i="3" s="1"/>
  <c r="AQ24" i="3"/>
  <c r="AT24" i="3"/>
  <c r="AU24" i="3"/>
  <c r="AV24" i="3" s="1"/>
  <c r="AW24" i="3"/>
  <c r="AX24" i="3" s="1"/>
  <c r="AZ24" i="3"/>
  <c r="BA24" i="3"/>
  <c r="BN24" i="3"/>
  <c r="BO24" i="3"/>
  <c r="C23" i="3" a="1"/>
  <c r="BB24" i="3" l="1"/>
  <c r="BC24" i="3" s="1"/>
  <c r="AY24" i="3"/>
  <c r="C23" i="3"/>
  <c r="D23" i="3" a="1"/>
  <c r="BD24" i="3" l="1"/>
  <c r="BM24" i="3"/>
  <c r="BF24" i="3"/>
  <c r="D23" i="3"/>
  <c r="E23" i="3" a="1"/>
  <c r="E23" i="3"/>
  <c r="F23" i="3" a="1"/>
  <c r="F23" i="3" l="1"/>
  <c r="G23" i="3" a="1"/>
  <c r="G23" i="3"/>
  <c r="H23" i="3" a="1"/>
  <c r="H23" i="3"/>
  <c r="I23" i="3" a="1"/>
  <c r="I23" i="3"/>
  <c r="J23" i="3" a="1"/>
  <c r="J23" i="3"/>
  <c r="K23" i="3" a="1"/>
  <c r="K23" i="3"/>
  <c r="L23" i="3" a="1"/>
  <c r="L23" i="3"/>
  <c r="U23" i="3"/>
  <c r="W23" i="3"/>
  <c r="Y23" i="3"/>
  <c r="AH23" i="3"/>
  <c r="AI23" i="3" s="1"/>
  <c r="AD23" i="3" s="1"/>
  <c r="AL23" i="3"/>
  <c r="AK23" i="3" a="1"/>
  <c r="Z23" i="3" l="1"/>
  <c r="AA23" i="3" s="1"/>
  <c r="AB23" i="3"/>
  <c r="AO23" i="3" s="1"/>
  <c r="AK23" i="3"/>
  <c r="BL23" i="3"/>
  <c r="BP23" i="3" s="1"/>
  <c r="BK23" i="3" s="1"/>
  <c r="AE23" i="3"/>
  <c r="AF23" i="3"/>
  <c r="AJ23" i="3"/>
  <c r="AM23" i="3"/>
  <c r="AN23" i="3"/>
  <c r="AR23" i="3"/>
  <c r="AS23" i="3" s="1"/>
  <c r="AQ23" i="3"/>
  <c r="AT23" i="3"/>
  <c r="AU23" i="3"/>
  <c r="AV23" i="3" s="1"/>
  <c r="AW23" i="3"/>
  <c r="AX23" i="3" s="1"/>
  <c r="AZ23" i="3"/>
  <c r="BA23" i="3"/>
  <c r="BN23" i="3"/>
  <c r="BO23" i="3"/>
  <c r="C22" i="3" a="1"/>
  <c r="BB23" i="3" l="1"/>
  <c r="BC23" i="3" s="1"/>
  <c r="AY23" i="3"/>
  <c r="C22" i="3"/>
  <c r="D22" i="3" a="1"/>
  <c r="BF23" i="3" l="1"/>
  <c r="BD23" i="3"/>
  <c r="BM23" i="3"/>
  <c r="D22" i="3"/>
  <c r="E22" i="3" a="1"/>
  <c r="E22" i="3"/>
  <c r="F22" i="3" a="1"/>
  <c r="F22" i="3" l="1"/>
  <c r="G22" i="3" a="1"/>
  <c r="G22" i="3"/>
  <c r="H22" i="3" a="1"/>
  <c r="H22" i="3"/>
  <c r="I22" i="3" a="1"/>
  <c r="I22" i="3"/>
  <c r="J22" i="3" a="1"/>
  <c r="J22" i="3"/>
  <c r="K22" i="3" a="1"/>
  <c r="K22" i="3"/>
  <c r="L22" i="3" a="1"/>
  <c r="L22" i="3"/>
  <c r="U22" i="3"/>
  <c r="W22" i="3"/>
  <c r="Y22" i="3"/>
  <c r="AH22" i="3"/>
  <c r="AI22" i="3" s="1"/>
  <c r="AD22" i="3" s="1"/>
  <c r="AL22" i="3"/>
  <c r="AK22" i="3" a="1"/>
  <c r="Z22" i="3" l="1"/>
  <c r="AA22" i="3" s="1"/>
  <c r="AB22" i="3"/>
  <c r="AO22" i="3" s="1"/>
  <c r="AK22" i="3"/>
  <c r="BL22" i="3"/>
  <c r="BP22" i="3" s="1"/>
  <c r="BK22" i="3" s="1"/>
  <c r="AE22" i="3"/>
  <c r="AF22" i="3" l="1"/>
  <c r="AJ22" i="3"/>
  <c r="AM22" i="3"/>
  <c r="AN22" i="3"/>
  <c r="AR22" i="3"/>
  <c r="AS22" i="3" s="1"/>
  <c r="AQ22" i="3"/>
  <c r="AT22" i="3"/>
  <c r="AU22" i="3"/>
  <c r="AV22" i="3" s="1"/>
  <c r="AW22" i="3"/>
  <c r="AX22" i="3" s="1"/>
  <c r="AZ22" i="3"/>
  <c r="BA22" i="3"/>
  <c r="BN22" i="3"/>
  <c r="BO22" i="3"/>
  <c r="C21" i="3" a="1"/>
  <c r="BB22" i="3" l="1"/>
  <c r="BC22" i="3" s="1"/>
  <c r="AY22" i="3"/>
  <c r="C21" i="3"/>
  <c r="D21" i="3" a="1"/>
  <c r="BM22" i="3" l="1"/>
  <c r="BF22" i="3"/>
  <c r="BD22" i="3"/>
  <c r="D21" i="3"/>
  <c r="E21" i="3" a="1"/>
  <c r="E21" i="3"/>
  <c r="F21" i="3" a="1"/>
  <c r="F21" i="3" l="1"/>
  <c r="G21" i="3" a="1"/>
  <c r="G21" i="3"/>
  <c r="H21" i="3" a="1"/>
  <c r="H21" i="3"/>
  <c r="I21" i="3" a="1"/>
  <c r="I21" i="3"/>
  <c r="J21" i="3" a="1"/>
  <c r="J21" i="3"/>
  <c r="K21" i="3" a="1"/>
  <c r="K21" i="3"/>
  <c r="L21" i="3" a="1"/>
  <c r="L21" i="3"/>
  <c r="U21" i="3"/>
  <c r="W21" i="3"/>
  <c r="Y21" i="3"/>
  <c r="AH21" i="3"/>
  <c r="AI21" i="3" s="1"/>
  <c r="AD21" i="3" s="1"/>
  <c r="AL21" i="3"/>
  <c r="AK21" i="3" a="1"/>
  <c r="Z21" i="3" l="1"/>
  <c r="AA21" i="3" s="1"/>
  <c r="AB21" i="3"/>
  <c r="AO21" i="3" s="1"/>
  <c r="AK21" i="3"/>
  <c r="BL21" i="3"/>
  <c r="BP21" i="3" s="1"/>
  <c r="BK21" i="3" s="1"/>
  <c r="AE21" i="3"/>
  <c r="AF21" i="3" l="1"/>
  <c r="AJ21" i="3"/>
  <c r="AM21" i="3"/>
  <c r="AN21" i="3"/>
  <c r="AR21" i="3"/>
  <c r="AS21" i="3" s="1"/>
  <c r="AQ21" i="3"/>
  <c r="AT21" i="3"/>
  <c r="AU21" i="3"/>
  <c r="AV21" i="3" s="1"/>
  <c r="AW21" i="3"/>
  <c r="AX21" i="3" s="1"/>
  <c r="AZ21" i="3"/>
  <c r="BA21" i="3"/>
  <c r="BN21" i="3"/>
  <c r="BO21" i="3"/>
  <c r="C20" i="3" a="1"/>
  <c r="BB21" i="3" l="1"/>
  <c r="BD21" i="3" s="1"/>
  <c r="AY21" i="3"/>
  <c r="C20" i="3"/>
  <c r="D20" i="3" a="1"/>
  <c r="BF21" i="3" l="1"/>
  <c r="BM21" i="3"/>
  <c r="BC21" i="3"/>
  <c r="D20" i="3"/>
  <c r="E20" i="3" a="1"/>
  <c r="E20" i="3"/>
  <c r="F20" i="3" a="1"/>
  <c r="F20" i="3" l="1"/>
  <c r="G20" i="3" a="1"/>
  <c r="G20" i="3"/>
  <c r="H20" i="3" a="1"/>
  <c r="H20" i="3"/>
  <c r="I20" i="3" a="1"/>
  <c r="I20" i="3"/>
  <c r="J20" i="3" a="1"/>
  <c r="J20" i="3"/>
  <c r="K20" i="3" a="1"/>
  <c r="K20" i="3"/>
  <c r="L20" i="3" a="1"/>
  <c r="L20" i="3"/>
  <c r="AB20" i="3" s="1"/>
  <c r="AO20" i="3" s="1"/>
  <c r="U20" i="3"/>
  <c r="W20" i="3"/>
  <c r="Y20" i="3"/>
  <c r="AH20" i="3"/>
  <c r="AI20" i="3" s="1"/>
  <c r="AD20" i="3" s="1"/>
  <c r="AL20" i="3"/>
  <c r="AK20" i="3" a="1"/>
  <c r="Z20" i="3" l="1"/>
  <c r="AA20" i="3" s="1"/>
  <c r="AK20" i="3"/>
  <c r="BL20" i="3"/>
  <c r="BP20" i="3" s="1"/>
  <c r="BK20" i="3" s="1"/>
  <c r="AE20" i="3"/>
  <c r="AF20" i="3"/>
  <c r="AJ20" i="3"/>
  <c r="AM20" i="3"/>
  <c r="AN20" i="3"/>
  <c r="AR20" i="3"/>
  <c r="AS20" i="3" s="1"/>
  <c r="AQ20" i="3"/>
  <c r="AT20" i="3"/>
  <c r="AU20" i="3"/>
  <c r="AV20" i="3" s="1"/>
  <c r="AW20" i="3"/>
  <c r="AX20" i="3" s="1"/>
  <c r="AZ20" i="3"/>
  <c r="BA20" i="3"/>
  <c r="BN20" i="3"/>
  <c r="BO20" i="3"/>
  <c r="C19" i="3" a="1"/>
  <c r="BB20" i="3" l="1"/>
  <c r="BC20" i="3" s="1"/>
  <c r="AY20" i="3"/>
  <c r="C19" i="3"/>
  <c r="D19" i="3" a="1"/>
  <c r="BM20" i="3" l="1"/>
  <c r="BF20" i="3"/>
  <c r="BD20" i="3"/>
  <c r="D19" i="3"/>
  <c r="E19" i="3" a="1"/>
  <c r="E19" i="3"/>
  <c r="F19" i="3" a="1"/>
  <c r="F19" i="3" l="1"/>
  <c r="G19" i="3" a="1"/>
  <c r="G19" i="3"/>
  <c r="H19" i="3" a="1"/>
  <c r="H19" i="3"/>
  <c r="I19" i="3" a="1"/>
  <c r="I19" i="3"/>
  <c r="J19" i="3" a="1"/>
  <c r="J19" i="3"/>
  <c r="K19" i="3" a="1"/>
  <c r="K19" i="3"/>
  <c r="L19" i="3" a="1"/>
  <c r="L19" i="3"/>
  <c r="AB19" i="3" s="1"/>
  <c r="AO19" i="3" s="1"/>
  <c r="U19" i="3"/>
  <c r="W19" i="3"/>
  <c r="Y19" i="3"/>
  <c r="AH19" i="3"/>
  <c r="AI19" i="3" s="1"/>
  <c r="AD19" i="3" s="1"/>
  <c r="AL19" i="3"/>
  <c r="AK19" i="3" a="1"/>
  <c r="Z19" i="3" l="1"/>
  <c r="AA19" i="3" s="1"/>
  <c r="AK19" i="3"/>
  <c r="BL19" i="3"/>
  <c r="BP19" i="3" s="1"/>
  <c r="BK19" i="3" s="1"/>
  <c r="AE19" i="3"/>
  <c r="AF19" i="3"/>
  <c r="AJ19" i="3"/>
  <c r="AM19" i="3"/>
  <c r="AN19" i="3"/>
  <c r="AR19" i="3"/>
  <c r="AS19" i="3" s="1"/>
  <c r="AQ19" i="3"/>
  <c r="AT19" i="3"/>
  <c r="AU19" i="3"/>
  <c r="AV19" i="3" s="1"/>
  <c r="AW19" i="3"/>
  <c r="AX19" i="3" s="1"/>
  <c r="AZ19" i="3"/>
  <c r="BA19" i="3"/>
  <c r="BN19" i="3"/>
  <c r="BO19" i="3"/>
  <c r="C18" i="3" a="1"/>
  <c r="BB19" i="3" l="1"/>
  <c r="BD19" i="3" s="1"/>
  <c r="AY19" i="3"/>
  <c r="C18" i="3"/>
  <c r="D18" i="3" a="1"/>
  <c r="BC19" i="3" l="1"/>
  <c r="BM19" i="3"/>
  <c r="BF19" i="3"/>
  <c r="D18" i="3"/>
  <c r="E18" i="3" a="1"/>
  <c r="E18" i="3"/>
  <c r="F18" i="3" a="1"/>
  <c r="F18" i="3" l="1"/>
  <c r="G18" i="3" a="1"/>
  <c r="G18" i="3"/>
  <c r="H18" i="3" a="1"/>
  <c r="H18" i="3"/>
  <c r="I18" i="3" a="1"/>
  <c r="I18" i="3"/>
  <c r="J18" i="3" a="1"/>
  <c r="J18" i="3"/>
  <c r="K18" i="3" a="1"/>
  <c r="K18" i="3"/>
  <c r="L18" i="3" a="1"/>
  <c r="L18" i="3"/>
  <c r="U18" i="3"/>
  <c r="W18" i="3"/>
  <c r="Y18" i="3"/>
  <c r="AH18" i="3"/>
  <c r="AI18" i="3" s="1"/>
  <c r="AD18" i="3" s="1"/>
  <c r="AL18" i="3"/>
  <c r="AK18" i="3" a="1"/>
  <c r="Z18" i="3" l="1"/>
  <c r="AA18" i="3" s="1"/>
  <c r="AB18" i="3"/>
  <c r="AO18" i="3" s="1"/>
  <c r="AK18" i="3"/>
  <c r="BL18" i="3"/>
  <c r="BP18" i="3" s="1"/>
  <c r="BK18" i="3" s="1"/>
  <c r="AE18" i="3"/>
  <c r="AF18" i="3"/>
  <c r="AJ18" i="3"/>
  <c r="AM18" i="3"/>
  <c r="AN18" i="3"/>
  <c r="AR18" i="3"/>
  <c r="AS18" i="3" s="1"/>
  <c r="AQ18" i="3"/>
  <c r="AT18" i="3"/>
  <c r="AU18" i="3"/>
  <c r="AV18" i="3" s="1"/>
  <c r="AW18" i="3"/>
  <c r="AX18" i="3" s="1"/>
  <c r="AZ18" i="3"/>
  <c r="BA18" i="3"/>
  <c r="BN18" i="3"/>
  <c r="BO18" i="3"/>
  <c r="C17" i="3" a="1"/>
  <c r="BB18" i="3" l="1"/>
  <c r="BC18" i="3" s="1"/>
  <c r="AY18" i="3"/>
  <c r="C17" i="3"/>
  <c r="D17" i="3" a="1"/>
  <c r="BD18" i="3" l="1"/>
  <c r="BM18" i="3"/>
  <c r="BF18" i="3"/>
  <c r="D17" i="3"/>
  <c r="E17" i="3" a="1"/>
  <c r="E17" i="3"/>
  <c r="F17" i="3" a="1"/>
  <c r="F17" i="3" l="1"/>
  <c r="G17" i="3" a="1"/>
  <c r="G17" i="3"/>
  <c r="H17" i="3" a="1"/>
  <c r="H17" i="3"/>
  <c r="I17" i="3" a="1"/>
  <c r="I17" i="3"/>
  <c r="J17" i="3" a="1"/>
  <c r="J17" i="3"/>
  <c r="K17" i="3" a="1"/>
  <c r="K17" i="3"/>
  <c r="L17" i="3" a="1"/>
  <c r="L17" i="3"/>
  <c r="AB17" i="3" s="1"/>
  <c r="AO17" i="3" s="1"/>
  <c r="U17" i="3"/>
  <c r="W17" i="3"/>
  <c r="Y17" i="3"/>
  <c r="AH17" i="3"/>
  <c r="AI17" i="3" s="1"/>
  <c r="AD17" i="3" s="1"/>
  <c r="AL17" i="3"/>
  <c r="AK17" i="3" a="1"/>
  <c r="Z17" i="3" l="1"/>
  <c r="AA17" i="3" s="1"/>
  <c r="AK17" i="3"/>
  <c r="BL17" i="3"/>
  <c r="BP17" i="3" s="1"/>
  <c r="BK17" i="3" s="1"/>
  <c r="AE17" i="3"/>
  <c r="AF17" i="3"/>
  <c r="AJ17" i="3"/>
  <c r="AM17" i="3"/>
  <c r="AN17" i="3"/>
  <c r="AR17" i="3"/>
  <c r="AS17" i="3" s="1"/>
  <c r="AQ17" i="3"/>
  <c r="AT17" i="3"/>
  <c r="AU17" i="3"/>
  <c r="AV17" i="3" s="1"/>
  <c r="AW17" i="3"/>
  <c r="AX17" i="3" s="1"/>
  <c r="AZ17" i="3"/>
  <c r="BA17" i="3"/>
  <c r="BN17" i="3"/>
  <c r="BO17" i="3"/>
  <c r="C16" i="3" a="1"/>
  <c r="BB17" i="3" l="1"/>
  <c r="BC17" i="3" s="1"/>
  <c r="AY17" i="3"/>
  <c r="C16" i="3"/>
  <c r="D16" i="3" a="1"/>
  <c r="BD17" i="3" l="1"/>
  <c r="BF17" i="3"/>
  <c r="BM17" i="3"/>
  <c r="D16" i="3"/>
  <c r="E16" i="3" a="1"/>
  <c r="E16" i="3"/>
  <c r="F16" i="3" a="1"/>
  <c r="F16" i="3" l="1"/>
  <c r="G16" i="3" a="1"/>
  <c r="G16" i="3"/>
  <c r="H16" i="3" a="1"/>
  <c r="H16" i="3"/>
  <c r="I16" i="3" a="1"/>
  <c r="I16" i="3"/>
  <c r="J16" i="3" a="1"/>
  <c r="J16" i="3"/>
  <c r="K16" i="3" a="1"/>
  <c r="K16" i="3"/>
  <c r="L16" i="3" a="1"/>
  <c r="L16" i="3"/>
  <c r="AB16" i="3" s="1"/>
  <c r="AO16" i="3" s="1"/>
  <c r="U16" i="3"/>
  <c r="W16" i="3"/>
  <c r="Y16" i="3"/>
  <c r="AH16" i="3"/>
  <c r="AI16" i="3" s="1"/>
  <c r="AD16" i="3" s="1"/>
  <c r="AL16" i="3"/>
  <c r="AK16" i="3" a="1"/>
  <c r="Z16" i="3" l="1"/>
  <c r="AA16" i="3" s="1"/>
  <c r="AK16" i="3"/>
  <c r="BL16" i="3"/>
  <c r="BP16" i="3" s="1"/>
  <c r="BK16" i="3" s="1"/>
  <c r="AE16" i="3"/>
  <c r="AF16" i="3"/>
  <c r="AJ16" i="3"/>
  <c r="AM16" i="3"/>
  <c r="AN16" i="3"/>
  <c r="AQ16" i="3"/>
  <c r="AR16" i="3"/>
  <c r="AS16" i="3" s="1"/>
  <c r="AT16" i="3"/>
  <c r="AU16" i="3"/>
  <c r="AV16" i="3" s="1"/>
  <c r="AW16" i="3"/>
  <c r="AX16" i="3" s="1"/>
  <c r="AZ16" i="3"/>
  <c r="BA16" i="3"/>
  <c r="BN16" i="3"/>
  <c r="BO16" i="3"/>
  <c r="C15" i="3" a="1"/>
  <c r="BB16" i="3" l="1"/>
  <c r="BD16" i="3" s="1"/>
  <c r="AY16" i="3"/>
  <c r="C15" i="3"/>
  <c r="D15" i="3" a="1"/>
  <c r="BM16" i="3" l="1"/>
  <c r="BC16" i="3"/>
  <c r="BF16" i="3"/>
  <c r="D15" i="3"/>
  <c r="E15" i="3" a="1"/>
  <c r="E15" i="3"/>
  <c r="F15" i="3" a="1"/>
  <c r="F15" i="3" l="1"/>
  <c r="G15" i="3" a="1"/>
  <c r="G15" i="3"/>
  <c r="H15" i="3" a="1"/>
  <c r="H15" i="3"/>
  <c r="I15" i="3" a="1"/>
  <c r="I15" i="3"/>
  <c r="J15" i="3" a="1"/>
  <c r="J15" i="3"/>
  <c r="K15" i="3" a="1"/>
  <c r="K15" i="3"/>
  <c r="L15" i="3" a="1"/>
  <c r="L15" i="3"/>
  <c r="U15" i="3"/>
  <c r="W15" i="3"/>
  <c r="Y15" i="3"/>
  <c r="AH15" i="3"/>
  <c r="AI15" i="3" s="1"/>
  <c r="AD15" i="3" s="1"/>
  <c r="AL15" i="3"/>
  <c r="AK15" i="3" a="1"/>
  <c r="Z15" i="3" l="1"/>
  <c r="AA15" i="3" s="1"/>
  <c r="AB15" i="3"/>
  <c r="AO15" i="3" s="1"/>
  <c r="AK15" i="3"/>
  <c r="BL15" i="3"/>
  <c r="BP15" i="3" s="1"/>
  <c r="BK15" i="3" s="1"/>
  <c r="AE15" i="3"/>
  <c r="AF15" i="3" l="1"/>
  <c r="AJ15" i="3"/>
  <c r="AM15" i="3"/>
  <c r="AN15" i="3"/>
  <c r="AR15" i="3"/>
  <c r="AS15" i="3" s="1"/>
  <c r="AQ15" i="3"/>
  <c r="AT15" i="3"/>
  <c r="AU15" i="3"/>
  <c r="AV15" i="3" s="1"/>
  <c r="AW15" i="3"/>
  <c r="AX15" i="3" s="1"/>
  <c r="AZ15" i="3"/>
  <c r="BA15" i="3"/>
  <c r="BN15" i="3"/>
  <c r="BO15" i="3"/>
  <c r="C14" i="3" a="1"/>
  <c r="BB15" i="3" l="1"/>
  <c r="BD15" i="3" s="1"/>
  <c r="AY15" i="3"/>
  <c r="C14" i="3"/>
  <c r="D14" i="3" a="1"/>
  <c r="BF15" i="3" l="1"/>
  <c r="BM15" i="3"/>
  <c r="BC15" i="3"/>
  <c r="D14" i="3"/>
  <c r="E14" i="3" a="1"/>
  <c r="E14" i="3"/>
  <c r="F14" i="3" a="1"/>
  <c r="F14" i="3" l="1"/>
  <c r="G14" i="3" a="1"/>
  <c r="G14" i="3"/>
  <c r="H14" i="3" a="1"/>
  <c r="H14" i="3"/>
  <c r="I14" i="3" a="1"/>
  <c r="I14" i="3"/>
  <c r="J14" i="3" a="1"/>
  <c r="J14" i="3"/>
  <c r="K14" i="3" a="1"/>
  <c r="K14" i="3"/>
  <c r="L14" i="3" a="1"/>
  <c r="L14" i="3"/>
  <c r="U14" i="3"/>
  <c r="W14" i="3"/>
  <c r="Y14" i="3"/>
  <c r="AH14" i="3"/>
  <c r="AI14" i="3" s="1"/>
  <c r="AD14" i="3" s="1"/>
  <c r="AL14" i="3"/>
  <c r="AK14" i="3" a="1"/>
  <c r="Z14" i="3" l="1"/>
  <c r="AA14" i="3" s="1"/>
  <c r="AB14" i="3"/>
  <c r="AO14" i="3" s="1"/>
  <c r="AK14" i="3"/>
  <c r="BL14" i="3"/>
  <c r="BP14" i="3" s="1"/>
  <c r="BK14" i="3" s="1"/>
  <c r="AE14" i="3"/>
  <c r="AF14" i="3" l="1"/>
  <c r="AJ14" i="3"/>
  <c r="AM14" i="3"/>
  <c r="AN14" i="3"/>
  <c r="AR14" i="3"/>
  <c r="AS14" i="3" s="1"/>
  <c r="AQ14" i="3"/>
  <c r="AT14" i="3"/>
  <c r="AU14" i="3"/>
  <c r="AV14" i="3" s="1"/>
  <c r="AW14" i="3"/>
  <c r="AX14" i="3" s="1"/>
  <c r="AZ14" i="3"/>
  <c r="BA14" i="3"/>
  <c r="BN14" i="3"/>
  <c r="BO14" i="3"/>
  <c r="C13" i="3" a="1"/>
  <c r="BB14" i="3" l="1"/>
  <c r="BD14" i="3" s="1"/>
  <c r="AY14" i="3"/>
  <c r="C13" i="3"/>
  <c r="D13" i="3" a="1"/>
  <c r="BF14" i="3" l="1"/>
  <c r="BM14" i="3"/>
  <c r="BC14" i="3"/>
  <c r="D13" i="3"/>
  <c r="E13" i="3" a="1"/>
  <c r="E13" i="3"/>
  <c r="F13" i="3" a="1"/>
  <c r="F13" i="3" l="1"/>
  <c r="G13" i="3" a="1"/>
  <c r="G13" i="3"/>
  <c r="H13" i="3" a="1"/>
  <c r="H13" i="3"/>
  <c r="I13" i="3" a="1"/>
  <c r="I13" i="3"/>
  <c r="J13" i="3" a="1"/>
  <c r="J13" i="3"/>
  <c r="K13" i="3" a="1"/>
  <c r="K13" i="3"/>
  <c r="L13" i="3" a="1"/>
  <c r="L13" i="3"/>
  <c r="U13" i="3"/>
  <c r="W13" i="3"/>
  <c r="Y13" i="3"/>
  <c r="AH13" i="3"/>
  <c r="AI13" i="3" s="1"/>
  <c r="AD13" i="3" s="1"/>
  <c r="AL13" i="3"/>
  <c r="AK13" i="3" a="1"/>
  <c r="Z13" i="3" l="1"/>
  <c r="AA13" i="3" s="1"/>
  <c r="AB13" i="3"/>
  <c r="AO13" i="3" s="1"/>
  <c r="AK13" i="3"/>
  <c r="BL13" i="3"/>
  <c r="BP13" i="3" s="1"/>
  <c r="BK13" i="3" s="1"/>
  <c r="AE13" i="3"/>
  <c r="AF13" i="3"/>
  <c r="AJ13" i="3"/>
  <c r="AM13" i="3"/>
  <c r="AN13" i="3"/>
  <c r="AR13" i="3"/>
  <c r="AS13" i="3" s="1"/>
  <c r="AQ13" i="3"/>
  <c r="AT13" i="3"/>
  <c r="AU13" i="3"/>
  <c r="AV13" i="3" s="1"/>
  <c r="AW13" i="3"/>
  <c r="AX13" i="3" s="1"/>
  <c r="AZ13" i="3"/>
  <c r="BA13" i="3"/>
  <c r="BN13" i="3"/>
  <c r="BO13" i="3"/>
  <c r="C12" i="3" a="1"/>
  <c r="BB13" i="3" l="1"/>
  <c r="BD13" i="3" s="1"/>
  <c r="AY13" i="3"/>
  <c r="C12" i="3"/>
  <c r="D12" i="3" a="1"/>
  <c r="BC13" i="3" l="1"/>
  <c r="BM13" i="3"/>
  <c r="BF13" i="3"/>
  <c r="D12" i="3"/>
  <c r="E12" i="3" a="1"/>
  <c r="E12" i="3"/>
  <c r="F12" i="3" a="1"/>
  <c r="F12" i="3" l="1"/>
  <c r="G12" i="3" a="1"/>
  <c r="G12" i="3"/>
  <c r="H12" i="3" a="1"/>
  <c r="H12" i="3"/>
  <c r="I12" i="3" a="1"/>
  <c r="I12" i="3"/>
  <c r="J12" i="3" a="1"/>
  <c r="J12" i="3"/>
  <c r="K12" i="3" a="1"/>
  <c r="K12" i="3"/>
  <c r="L12" i="3" a="1"/>
  <c r="L12" i="3"/>
  <c r="U12" i="3"/>
  <c r="W12" i="3"/>
  <c r="Y12" i="3"/>
  <c r="AH12" i="3"/>
  <c r="AI12" i="3" s="1"/>
  <c r="AD12" i="3" s="1"/>
  <c r="AL12" i="3"/>
  <c r="AK12" i="3" a="1"/>
  <c r="Z12" i="3" l="1"/>
  <c r="AA12" i="3" s="1"/>
  <c r="AB12" i="3"/>
  <c r="AO12" i="3" s="1"/>
  <c r="AK12" i="3"/>
  <c r="BL12" i="3"/>
  <c r="BP12" i="3" s="1"/>
  <c r="BK12" i="3" s="1"/>
  <c r="AE12" i="3"/>
  <c r="AF12" i="3" l="1"/>
  <c r="AJ12" i="3"/>
  <c r="AM12" i="3"/>
  <c r="AN12" i="3"/>
  <c r="AR12" i="3"/>
  <c r="AS12" i="3" s="1"/>
  <c r="AQ12" i="3"/>
  <c r="AT12" i="3"/>
  <c r="AU12" i="3"/>
  <c r="AV12" i="3" s="1"/>
  <c r="AW12" i="3"/>
  <c r="AX12" i="3" s="1"/>
  <c r="AZ12" i="3"/>
  <c r="BA12" i="3"/>
  <c r="BN12" i="3"/>
  <c r="BO12" i="3"/>
  <c r="C11" i="3" a="1"/>
  <c r="BB12" i="3" l="1"/>
  <c r="BD12" i="3" s="1"/>
  <c r="AY12" i="3"/>
  <c r="C11" i="3"/>
  <c r="D11" i="3" a="1"/>
  <c r="BF12" i="3" l="1"/>
  <c r="BM12" i="3"/>
  <c r="BC12" i="3"/>
  <c r="D11" i="3"/>
  <c r="E11" i="3" a="1"/>
  <c r="E11" i="3"/>
  <c r="F11" i="3" a="1"/>
  <c r="F11" i="3" l="1"/>
  <c r="G11" i="3" a="1"/>
  <c r="G11" i="3"/>
  <c r="H11" i="3" a="1"/>
  <c r="H11" i="3"/>
  <c r="I11" i="3" a="1"/>
  <c r="I11" i="3"/>
  <c r="J11" i="3" a="1"/>
  <c r="J11" i="3"/>
  <c r="K11" i="3" a="1"/>
  <c r="K11" i="3"/>
  <c r="L11" i="3" a="1"/>
  <c r="L11" i="3"/>
  <c r="U11" i="3"/>
  <c r="W11" i="3"/>
  <c r="Y11" i="3"/>
  <c r="AH11" i="3"/>
  <c r="AI11" i="3" s="1"/>
  <c r="AD11" i="3" s="1"/>
  <c r="AL11" i="3"/>
  <c r="AK11" i="3" a="1"/>
  <c r="Z11" i="3" l="1"/>
  <c r="AA11" i="3" s="1"/>
  <c r="AB11" i="3"/>
  <c r="AO11" i="3" s="1"/>
  <c r="AK11" i="3"/>
  <c r="BL11" i="3"/>
  <c r="BP11" i="3" s="1"/>
  <c r="BK11" i="3" s="1"/>
  <c r="AE11" i="3"/>
  <c r="AF11" i="3"/>
  <c r="AJ11" i="3"/>
  <c r="AM11" i="3"/>
  <c r="AN11" i="3"/>
  <c r="AR11" i="3"/>
  <c r="AS11" i="3" s="1"/>
  <c r="AQ11" i="3"/>
  <c r="AT11" i="3"/>
  <c r="AU11" i="3"/>
  <c r="AV11" i="3" s="1"/>
  <c r="AW11" i="3"/>
  <c r="AX11" i="3" s="1"/>
  <c r="AZ11" i="3"/>
  <c r="BA11" i="3"/>
  <c r="BN11" i="3"/>
  <c r="BO11" i="3"/>
  <c r="C10" i="3" a="1"/>
  <c r="BB11" i="3" l="1"/>
  <c r="BC11" i="3" s="1"/>
  <c r="AY11" i="3"/>
  <c r="C10" i="3"/>
  <c r="D10" i="3" a="1"/>
  <c r="BD11" i="3" l="1"/>
  <c r="BF11" i="3"/>
  <c r="BM11" i="3"/>
  <c r="D10" i="3"/>
  <c r="E10" i="3" a="1"/>
  <c r="E10" i="3"/>
  <c r="F10" i="3" a="1"/>
  <c r="F10" i="3" l="1"/>
  <c r="G10" i="3" a="1"/>
  <c r="G10" i="3"/>
  <c r="H10" i="3" a="1"/>
  <c r="H10" i="3"/>
  <c r="I10" i="3" a="1"/>
  <c r="I10" i="3"/>
  <c r="J10" i="3" a="1"/>
  <c r="J10" i="3"/>
  <c r="K10" i="3" a="1"/>
  <c r="K10" i="3"/>
  <c r="L10" i="3" a="1"/>
  <c r="L10" i="3"/>
  <c r="U10" i="3"/>
  <c r="W10" i="3"/>
  <c r="Y10" i="3"/>
  <c r="AH10" i="3"/>
  <c r="AI10" i="3" s="1"/>
  <c r="AD10" i="3" s="1"/>
  <c r="AL10" i="3"/>
  <c r="AK10" i="3" a="1"/>
  <c r="Z10" i="3" l="1"/>
  <c r="AA10" i="3" s="1"/>
  <c r="AB10" i="3"/>
  <c r="AO10" i="3" s="1"/>
  <c r="AK10" i="3"/>
  <c r="BL10" i="3"/>
  <c r="BP10" i="3" s="1"/>
  <c r="BK10" i="3" s="1"/>
  <c r="AE10" i="3"/>
  <c r="AF10" i="3"/>
  <c r="AJ10" i="3"/>
  <c r="AM10" i="3"/>
  <c r="AN10" i="3"/>
  <c r="AR10" i="3"/>
  <c r="AS10" i="3" s="1"/>
  <c r="AQ10" i="3"/>
  <c r="AT10" i="3"/>
  <c r="AU10" i="3"/>
  <c r="AV10" i="3" s="1"/>
  <c r="AW10" i="3"/>
  <c r="AX10" i="3" s="1"/>
  <c r="AZ10" i="3"/>
  <c r="BA10" i="3"/>
  <c r="BN10" i="3"/>
  <c r="BO10" i="3"/>
  <c r="C9" i="3" a="1"/>
  <c r="BB10" i="3" l="1"/>
  <c r="BC10" i="3" s="1"/>
  <c r="AY10" i="3"/>
  <c r="C9" i="3"/>
  <c r="D9" i="3" a="1"/>
  <c r="BD10" i="3" l="1"/>
  <c r="BF10" i="3"/>
  <c r="BM10" i="3"/>
  <c r="D9" i="3"/>
  <c r="E9" i="3" a="1"/>
  <c r="E9" i="3"/>
  <c r="F9" i="3" a="1"/>
  <c r="F9" i="3" l="1"/>
  <c r="G9" i="3" a="1"/>
  <c r="G9" i="3"/>
  <c r="H9" i="3" a="1"/>
  <c r="H9" i="3"/>
  <c r="I9" i="3" a="1"/>
  <c r="I9" i="3"/>
  <c r="J9" i="3" a="1"/>
  <c r="J9" i="3"/>
  <c r="K9" i="3" a="1"/>
  <c r="K9" i="3"/>
  <c r="L9" i="3" a="1"/>
  <c r="L9" i="3"/>
  <c r="U9" i="3"/>
  <c r="W9" i="3"/>
  <c r="Y9" i="3"/>
  <c r="AH9" i="3"/>
  <c r="AI9" i="3" s="1"/>
  <c r="AD9" i="3" s="1"/>
  <c r="AL9" i="3"/>
  <c r="AK9" i="3" a="1"/>
  <c r="Z9" i="3" l="1"/>
  <c r="AA9" i="3" s="1"/>
  <c r="AB9" i="3"/>
  <c r="AO9" i="3" s="1"/>
  <c r="AK9" i="3"/>
  <c r="BL9" i="3"/>
  <c r="BP9" i="3" s="1"/>
  <c r="BK9" i="3" s="1"/>
  <c r="AE9" i="3"/>
  <c r="AF9" i="3"/>
  <c r="AJ9" i="3"/>
  <c r="AM9" i="3"/>
  <c r="AN9" i="3"/>
  <c r="AR9" i="3"/>
  <c r="AS9" i="3" s="1"/>
  <c r="AQ9" i="3"/>
  <c r="AT9" i="3"/>
  <c r="AU9" i="3"/>
  <c r="AV9" i="3" s="1"/>
  <c r="AW9" i="3"/>
  <c r="AX9" i="3" s="1"/>
  <c r="AZ9" i="3"/>
  <c r="BA9" i="3"/>
  <c r="BN9" i="3"/>
  <c r="BO9" i="3"/>
  <c r="C8" i="3" a="1"/>
  <c r="BB9" i="3" l="1"/>
  <c r="BC9" i="3" s="1"/>
  <c r="AY9" i="3"/>
  <c r="C8" i="3"/>
  <c r="D8" i="3" a="1"/>
  <c r="BD9" i="3" l="1"/>
  <c r="BF9" i="3"/>
  <c r="BM9" i="3"/>
  <c r="D8" i="3"/>
  <c r="E8" i="3" a="1"/>
  <c r="E8" i="3"/>
  <c r="F8" i="3" a="1"/>
  <c r="F8" i="3" l="1"/>
  <c r="G8" i="3" a="1"/>
  <c r="G8" i="3"/>
  <c r="H8" i="3" a="1"/>
  <c r="H8" i="3"/>
  <c r="I8" i="3" a="1"/>
  <c r="I8" i="3"/>
  <c r="J8" i="3" a="1"/>
  <c r="J8" i="3"/>
  <c r="K8" i="3" a="1"/>
  <c r="K8" i="3"/>
  <c r="L8" i="3" a="1"/>
  <c r="L8" i="3"/>
  <c r="U8" i="3"/>
  <c r="W8" i="3"/>
  <c r="Y8" i="3"/>
  <c r="AH8" i="3"/>
  <c r="AI8" i="3" s="1"/>
  <c r="AD8" i="3" s="1"/>
  <c r="AL8" i="3"/>
  <c r="AK8" i="3" a="1"/>
  <c r="Z8" i="3" l="1"/>
  <c r="AA8" i="3" s="1"/>
  <c r="AB8" i="3"/>
  <c r="AO8" i="3" s="1"/>
  <c r="AK8" i="3"/>
  <c r="BL8" i="3"/>
  <c r="BP8" i="3" s="1"/>
  <c r="BK8" i="3" s="1"/>
  <c r="AE8" i="3"/>
  <c r="AF8" i="3"/>
  <c r="AJ8" i="3"/>
  <c r="AM8" i="3"/>
  <c r="AN8" i="3"/>
  <c r="AR8" i="3"/>
  <c r="AS8" i="3" s="1"/>
  <c r="AQ8" i="3"/>
  <c r="AT8" i="3"/>
  <c r="AU8" i="3"/>
  <c r="AV8" i="3" s="1"/>
  <c r="AW8" i="3"/>
  <c r="AX8" i="3" s="1"/>
  <c r="AZ8" i="3"/>
  <c r="BA8" i="3"/>
  <c r="BN8" i="3"/>
  <c r="BO8" i="3"/>
  <c r="C7" i="3" a="1"/>
  <c r="BB8" i="3" l="1"/>
  <c r="BC8" i="3" s="1"/>
  <c r="AY8" i="3"/>
  <c r="C7" i="3"/>
  <c r="D7" i="3" a="1"/>
  <c r="BD8" i="3" l="1"/>
  <c r="BF8" i="3"/>
  <c r="BM8" i="3"/>
  <c r="D7" i="3"/>
  <c r="E7" i="3" a="1"/>
  <c r="E7" i="3"/>
  <c r="F7" i="3" a="1"/>
  <c r="F7" i="3" l="1"/>
  <c r="G7" i="3" a="1"/>
  <c r="G7" i="3"/>
  <c r="H7" i="3" a="1"/>
  <c r="H7" i="3"/>
  <c r="I7" i="3" a="1"/>
  <c r="I7" i="3"/>
  <c r="J7" i="3" a="1"/>
  <c r="J7" i="3"/>
  <c r="K7" i="3" a="1"/>
  <c r="K7" i="3"/>
  <c r="L7" i="3" a="1"/>
  <c r="L7" i="3"/>
  <c r="AB7" i="3" s="1"/>
  <c r="AO7" i="3" s="1"/>
  <c r="U7" i="3"/>
  <c r="W7" i="3"/>
  <c r="Y7" i="3"/>
  <c r="AH7" i="3"/>
  <c r="AI7" i="3" s="1"/>
  <c r="AD7" i="3" s="1"/>
  <c r="AL7" i="3"/>
  <c r="AK7" i="3" a="1"/>
  <c r="Z7" i="3" l="1"/>
  <c r="AA7" i="3" s="1"/>
  <c r="AK7" i="3"/>
  <c r="BL7" i="3"/>
  <c r="BP7" i="3" s="1"/>
  <c r="BK7" i="3" s="1"/>
  <c r="AE7" i="3"/>
  <c r="AF7" i="3"/>
  <c r="AJ7" i="3"/>
  <c r="AM7" i="3"/>
  <c r="AN7" i="3"/>
  <c r="AR7" i="3"/>
  <c r="AS7" i="3" s="1"/>
  <c r="AQ7" i="3"/>
  <c r="AT7" i="3"/>
  <c r="AU7" i="3"/>
  <c r="AV7" i="3" s="1"/>
  <c r="AW7" i="3"/>
  <c r="AX7" i="3" s="1"/>
  <c r="AZ7" i="3"/>
  <c r="BA7" i="3"/>
  <c r="BN7" i="3"/>
  <c r="BO7" i="3"/>
  <c r="C6" i="3" a="1"/>
  <c r="BB7" i="3" l="1"/>
  <c r="BD7" i="3" s="1"/>
  <c r="AY7" i="3"/>
  <c r="C6" i="3"/>
  <c r="D6" i="3" a="1"/>
  <c r="BC7" i="3" l="1"/>
  <c r="BF7" i="3"/>
  <c r="BM7" i="3"/>
  <c r="D6" i="3"/>
  <c r="E6" i="3" a="1"/>
  <c r="E6" i="3"/>
  <c r="F6" i="3" a="1"/>
  <c r="F6" i="3" l="1"/>
  <c r="G6" i="3" a="1"/>
  <c r="G6" i="3"/>
  <c r="H6" i="3" a="1"/>
  <c r="H6" i="3"/>
  <c r="I6" i="3" a="1"/>
  <c r="I6" i="3"/>
  <c r="J6" i="3" a="1"/>
  <c r="J6" i="3"/>
  <c r="K6" i="3" a="1"/>
  <c r="K6" i="3"/>
  <c r="L6" i="3" a="1"/>
  <c r="L6" i="3"/>
  <c r="U6" i="3"/>
  <c r="W6" i="3"/>
  <c r="Y6" i="3"/>
  <c r="AH6" i="3"/>
  <c r="AI6" i="3" s="1"/>
  <c r="AD6" i="3" s="1"/>
  <c r="AL6" i="3"/>
  <c r="AK6" i="3" a="1"/>
  <c r="Z6" i="3" l="1"/>
  <c r="AA6" i="3" s="1"/>
  <c r="AB6" i="3"/>
  <c r="AO6" i="3" s="1"/>
  <c r="AK6" i="3"/>
  <c r="BL6" i="3"/>
  <c r="BP6" i="3" s="1"/>
  <c r="BK6" i="3" s="1"/>
  <c r="AE6" i="3"/>
  <c r="AF6" i="3"/>
  <c r="AJ6" i="3"/>
  <c r="AM6" i="3"/>
  <c r="AN6" i="3"/>
  <c r="AR6" i="3"/>
  <c r="AS6" i="3" s="1"/>
  <c r="AQ6" i="3"/>
  <c r="AT6" i="3"/>
  <c r="AU6" i="3"/>
  <c r="AV6" i="3" s="1"/>
  <c r="AW6" i="3"/>
  <c r="AX6" i="3" s="1"/>
  <c r="AZ6" i="3"/>
  <c r="BA6" i="3"/>
  <c r="BN6" i="3"/>
  <c r="BO6" i="3"/>
  <c r="C5" i="3" a="1"/>
  <c r="BB6" i="3" l="1"/>
  <c r="BD6" i="3" s="1"/>
  <c r="AY6" i="3"/>
  <c r="C5" i="3"/>
  <c r="D5" i="3" a="1"/>
  <c r="BM6" i="3" l="1"/>
  <c r="BF6" i="3"/>
  <c r="BC6" i="3"/>
  <c r="D5" i="3"/>
  <c r="E5" i="3" a="1"/>
  <c r="E5" i="3"/>
  <c r="F5" i="3" a="1"/>
  <c r="F5" i="3" l="1"/>
  <c r="G5" i="3" a="1"/>
  <c r="G5" i="3"/>
  <c r="H5" i="3" a="1"/>
  <c r="H5" i="3"/>
  <c r="I5" i="3" a="1"/>
  <c r="I5" i="3"/>
  <c r="J5" i="3" a="1"/>
  <c r="J5" i="3"/>
  <c r="K5" i="3" a="1"/>
  <c r="K5" i="3"/>
  <c r="L5" i="3" a="1"/>
  <c r="L5" i="3"/>
  <c r="U5" i="3"/>
  <c r="W5" i="3"/>
  <c r="Y5" i="3"/>
  <c r="AH5" i="3"/>
  <c r="AI5" i="3" s="1"/>
  <c r="AD5" i="3" s="1"/>
  <c r="AL5" i="3"/>
  <c r="AK5" i="3" a="1"/>
  <c r="Z5" i="3" l="1"/>
  <c r="AA5" i="3" s="1"/>
  <c r="AB5" i="3"/>
  <c r="AO5" i="3" s="1"/>
  <c r="AK5" i="3"/>
  <c r="BL5" i="3"/>
  <c r="BP5" i="3" s="1"/>
  <c r="BK5" i="3" s="1"/>
  <c r="AE5" i="3"/>
  <c r="AF5" i="3"/>
  <c r="AJ5" i="3"/>
  <c r="AM5" i="3"/>
  <c r="AN5" i="3"/>
  <c r="AR5" i="3"/>
  <c r="AS5" i="3" s="1"/>
  <c r="AQ5" i="3"/>
  <c r="AT5" i="3"/>
  <c r="AU5" i="3"/>
  <c r="AV5" i="3" s="1"/>
  <c r="AW5" i="3"/>
  <c r="AX5" i="3" s="1"/>
  <c r="AZ5" i="3"/>
  <c r="BA5" i="3"/>
  <c r="BN5" i="3"/>
  <c r="BO5" i="3"/>
  <c r="C4" i="3" a="1"/>
  <c r="BB5" i="3" l="1"/>
  <c r="BC5" i="3" s="1"/>
  <c r="AY5" i="3"/>
  <c r="C4" i="3"/>
  <c r="D4" i="3" a="1"/>
  <c r="BD5" i="3" l="1"/>
  <c r="BF5" i="3"/>
  <c r="BM5" i="3"/>
  <c r="D4" i="3"/>
  <c r="E4" i="3" a="1"/>
  <c r="E4" i="3"/>
  <c r="F4" i="3" a="1"/>
  <c r="F4" i="3" l="1"/>
  <c r="G4" i="3" a="1"/>
  <c r="G4" i="3"/>
  <c r="H4" i="3" a="1"/>
  <c r="H4" i="3"/>
  <c r="I4" i="3" a="1"/>
  <c r="I4" i="3"/>
  <c r="J4" i="3" a="1"/>
  <c r="J4" i="3"/>
  <c r="K4" i="3" a="1"/>
  <c r="K4" i="3"/>
  <c r="L4" i="3" a="1"/>
  <c r="L4" i="3"/>
  <c r="U4" i="3"/>
  <c r="W4" i="3"/>
  <c r="Y4" i="3"/>
  <c r="AH4" i="3"/>
  <c r="AI4" i="3" s="1"/>
  <c r="AD4" i="3" s="1"/>
  <c r="AL4" i="3"/>
  <c r="AK4" i="3" a="1"/>
  <c r="Z4" i="3" l="1"/>
  <c r="AA4" i="3" s="1"/>
  <c r="AB4" i="3"/>
  <c r="AO4" i="3" s="1"/>
  <c r="AK4" i="3"/>
  <c r="BL4" i="3"/>
  <c r="BP4" i="3" s="1"/>
  <c r="BK4" i="3" s="1"/>
  <c r="AE4" i="3"/>
  <c r="AF4" i="3"/>
  <c r="AJ4" i="3"/>
  <c r="AM4" i="3"/>
  <c r="AN4" i="3"/>
  <c r="AR4" i="3"/>
  <c r="AS4" i="3" s="1"/>
  <c r="AQ4" i="3"/>
  <c r="AT4" i="3"/>
  <c r="AU4" i="3"/>
  <c r="AV4" i="3" s="1"/>
  <c r="AW4" i="3"/>
  <c r="AX4" i="3" s="1"/>
  <c r="AZ4" i="3"/>
  <c r="BA4" i="3"/>
  <c r="BN4" i="3"/>
  <c r="BO4" i="3"/>
  <c r="C3" i="3" a="1"/>
  <c r="BB4" i="3" l="1"/>
  <c r="BC4" i="3" s="1"/>
  <c r="AY4" i="3"/>
  <c r="C3" i="3"/>
  <c r="D3" i="3" a="1"/>
  <c r="BD4" i="3" l="1"/>
  <c r="BM4" i="3"/>
  <c r="BF4" i="3"/>
  <c r="D3" i="3"/>
  <c r="E3" i="3" a="1"/>
  <c r="E3" i="3"/>
  <c r="F3" i="3" a="1"/>
  <c r="F3" i="3" l="1"/>
  <c r="G3" i="3" a="1"/>
  <c r="G3" i="3"/>
  <c r="H3" i="3" a="1"/>
  <c r="H3" i="3"/>
  <c r="I3" i="3" a="1"/>
  <c r="I3" i="3"/>
  <c r="J3" i="3" a="1"/>
  <c r="J3" i="3"/>
  <c r="K3" i="3" a="1"/>
  <c r="K3" i="3"/>
  <c r="L3" i="3" a="1"/>
  <c r="L3" i="3"/>
  <c r="U3" i="3"/>
  <c r="W3" i="3"/>
  <c r="Y3" i="3"/>
  <c r="AH3" i="3"/>
  <c r="AI3" i="3" s="1"/>
  <c r="AD3" i="3" s="1"/>
  <c r="AL3" i="3"/>
  <c r="AK3" i="3" a="1"/>
  <c r="Z3" i="3" l="1"/>
  <c r="AA3" i="3" s="1"/>
  <c r="AB3" i="3"/>
  <c r="AO3" i="3" s="1"/>
  <c r="AK3" i="3"/>
  <c r="BL3" i="3"/>
  <c r="BP3" i="3" s="1"/>
  <c r="BK3" i="3" s="1"/>
  <c r="AE3" i="3"/>
  <c r="AF3" i="3"/>
  <c r="AJ3" i="3"/>
  <c r="AM3" i="3"/>
  <c r="AN3" i="3"/>
  <c r="AR3" i="3"/>
  <c r="AS3" i="3" s="1"/>
  <c r="AQ3" i="3"/>
  <c r="AT3" i="3"/>
  <c r="AU3" i="3"/>
  <c r="AV3" i="3" s="1"/>
  <c r="AW3" i="3"/>
  <c r="AX3" i="3" s="1"/>
  <c r="AZ3" i="3"/>
  <c r="BA3" i="3"/>
  <c r="BN3" i="3"/>
  <c r="BO3" i="3"/>
  <c r="C2" i="3" a="1"/>
  <c r="AY3" i="3" l="1"/>
  <c r="BB3" i="3"/>
  <c r="BC3" i="3" s="1"/>
  <c r="C2" i="3"/>
  <c r="D2" i="3" a="1"/>
  <c r="BD3" i="3" l="1"/>
  <c r="BF3" i="3"/>
  <c r="BM3" i="3"/>
  <c r="D2" i="3"/>
  <c r="E2" i="3" a="1"/>
  <c r="E2" i="3"/>
  <c r="F2" i="3" a="1"/>
  <c r="F2" i="3" l="1"/>
  <c r="G2" i="3" a="1"/>
  <c r="G2" i="3"/>
  <c r="H2" i="3" a="1"/>
  <c r="H2" i="3"/>
  <c r="I2" i="3" a="1"/>
  <c r="I2" i="3"/>
  <c r="J2" i="3" a="1"/>
  <c r="J2" i="3"/>
  <c r="K2" i="3" a="1"/>
  <c r="K2" i="3"/>
  <c r="L2" i="3" a="1"/>
  <c r="L2" i="3"/>
  <c r="U2" i="3"/>
  <c r="W2" i="3"/>
  <c r="Y2" i="3"/>
  <c r="AH2" i="3"/>
  <c r="AI2" i="3" s="1"/>
  <c r="AD2" i="3" s="1"/>
  <c r="AL2" i="3"/>
  <c r="AK2" i="3" a="1"/>
  <c r="Z2" i="3" l="1"/>
  <c r="AA2" i="3" s="1"/>
  <c r="AB2" i="3"/>
  <c r="AO2" i="3" s="1"/>
  <c r="AK2" i="3"/>
  <c r="BL2" i="3"/>
  <c r="BP2" i="3" s="1"/>
  <c r="BK2" i="3" s="1"/>
  <c r="AE2" i="3"/>
  <c r="AF2" i="3" l="1"/>
  <c r="AJ2" i="3"/>
  <c r="AM2" i="3"/>
  <c r="AN2" i="3"/>
  <c r="AQ2" i="3"/>
  <c r="AR2" i="3"/>
  <c r="AS2" i="3" s="1"/>
  <c r="AT2" i="3"/>
  <c r="AU2" i="3"/>
  <c r="AV2" i="3" s="1"/>
  <c r="AW2" i="3"/>
  <c r="AX2" i="3" s="1"/>
  <c r="AZ2" i="3"/>
  <c r="BA2" i="3"/>
  <c r="BN2" i="3"/>
  <c r="BO2" i="3"/>
  <c r="BB2" i="3" l="1"/>
  <c r="BD2" i="3" s="1"/>
  <c r="AY2" i="3"/>
  <c r="BM2" i="3" l="1"/>
  <c r="BF2" i="3"/>
  <c r="B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<sst xmlns="http://schemas.openxmlformats.org/spreadsheetml/2006/main" count="161" uniqueCount="146">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</sst>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BB8CE634-CD0C-46E5-9207-D07BC91A14A4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X1" zoomScale="85" zoomScaleNormal="85" workbookViewId="0">
      <selection activeCell="AY13" sqref="AY13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3117126.46484375</v>
      </c>
      <c r="T2" s="26">
        <v>579.81666666666661</v>
      </c>
      <c r="U2" s="30">
        <f>+T2+BG2*S2*テーブル2[[#This Row],[Pw]]*R2/(N2*O2*K2)</f>
        <v>615.7665958749202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646.44732821252353</v>
      </c>
      <c r="AD2" s="26">
        <f t="shared" ref="AD2:AD12" si="5">+P2/2*AI2/I2*E2</f>
        <v>37738.41071644445</v>
      </c>
      <c r="AE2" s="26">
        <f>+gettm2(AD2,AC2,AK2,AL2,テーブル2[[#This Row],[Fcorr]])</f>
        <v>615.76659636066802</v>
      </c>
      <c r="AF2" s="31">
        <f t="shared" ref="AF2:AF15" si="6">+AE2-U2</f>
        <v>4.8574781885690754E-7</v>
      </c>
      <c r="AG2" s="26">
        <v>1.5696773740397579E-5</v>
      </c>
      <c r="AH2" s="26">
        <f t="shared" ref="AH2:AH15" si="7">+X2*N2^2/(8*E2)</f>
        <v>40.20406799084099</v>
      </c>
      <c r="AI2" s="26">
        <f t="shared" ref="AI2:AI15" si="8">+(AH2/E2)^0.5</f>
        <v>0.25782071459805578</v>
      </c>
      <c r="AJ2" s="26">
        <f t="shared" ref="AJ2:AJ15" si="9">+AG2*AI2/I2*E2</f>
        <v>35.182602395668326</v>
      </c>
      <c r="AK2" s="26">
        <f t="array" ref="AK2">+S2*テーブル2[[#This Row],[F_form]]/(E2*CpFromTP((テーブル2[[#This Row],[Tin]]+テーブル2[[#This Row],[Tf]])/2,テーブル2[[#This Row],[P]])*AI2)</f>
        <v>1.924610735496872</v>
      </c>
      <c r="AL2" s="26">
        <f t="shared" ref="AL2:AL15" si="10">+K2*I2/J2</f>
        <v>1.2299352185945529</v>
      </c>
      <c r="AM2" s="26">
        <f t="shared" ref="AM2:AM15" si="11">+gettyp(AC2,AJ2,AK2,AL2)</f>
        <v>614.91566610722282</v>
      </c>
      <c r="AN2" s="26">
        <f t="shared" ref="AN2:AN15" si="12">+C2-AM2</f>
        <v>5.5226792028406635E-9</v>
      </c>
      <c r="AO2" s="26">
        <f t="shared" ref="AO2:AO15" si="13">+AG2-AB2</f>
        <v>6.4616974281500535E-8</v>
      </c>
      <c r="AP2" s="26">
        <v>3.1686087319465468</v>
      </c>
      <c r="AQ2" s="26">
        <f t="shared" ref="AQ2:AQ15" si="14">2*PI()*L2*(D2+E2)/(D2*E2*AP2^2)</f>
        <v>3.9563277122338329E-5</v>
      </c>
      <c r="AR2" s="26">
        <f t="shared" ref="AR2:AR15" si="15">+AO2+AB2/2</f>
        <v>7.8806953573395397E-6</v>
      </c>
      <c r="AS2" s="26">
        <f t="shared" ref="AS2:AS15" si="16">+AR2*AI2/I2*E2</f>
        <v>17.663717139853709</v>
      </c>
      <c r="AT2" s="26">
        <f t="shared" ref="AT2:AT15" si="17">+getublp(AS2)</f>
        <v>11.307563282988401</v>
      </c>
      <c r="AU2" s="26">
        <f t="shared" ref="AU2:AU15" si="18">+AT2*AI2</f>
        <v>2.9153240459828069</v>
      </c>
      <c r="AV2" s="26">
        <f t="shared" ref="AV2:AV15" si="19">+AP2-AU2</f>
        <v>0.25328468596373988</v>
      </c>
      <c r="AW2" s="26">
        <f t="shared" ref="AW2:AW15" si="20">2/3*AB2/(L2/(9.8*(E2-D2)))^0.5</f>
        <v>1.0168983703586362E-2</v>
      </c>
      <c r="AX2" s="26">
        <f t="shared" ref="AX2:AX15" si="21">+(2*AQ2*9.8*(E2-D2)/(E2*AW2))^0.5</f>
        <v>0.25328466447444714</v>
      </c>
      <c r="AY2" s="26">
        <f t="shared" ref="AY2:AY15" si="22">+AV2-AX2</f>
        <v>2.1489292734155896E-8</v>
      </c>
      <c r="AZ2" s="26">
        <f t="shared" ref="AZ2:AZ15" si="23">+F2-G2</f>
        <v>1005423.1341143909</v>
      </c>
      <c r="BA2" s="26">
        <f t="shared" ref="BA2:BA15" si="24">+AQ2/AP2</f>
        <v>1.248600899298593E-5</v>
      </c>
      <c r="BB2" s="29">
        <f t="shared" ref="BB2:BB15" si="25">+E2*AO2*AZ2/BA2</f>
        <v>3147068.7590326876</v>
      </c>
      <c r="BC2" s="29">
        <f t="shared" ref="BC2:BC15" si="26">BB2-S2</f>
        <v>29942.294188937638</v>
      </c>
      <c r="BD2" s="32">
        <f t="shared" ref="BD2:BD15" si="27">+(BB2-S2)/S2*100</f>
        <v>0.9605736092724918</v>
      </c>
      <c r="BE2" s="29">
        <v>2915712.5985881896</v>
      </c>
      <c r="BF2" s="26">
        <f>テーブル2[[#This Row],[q_P]]/テーブル2[[#This Row],[q_M]]</f>
        <v>1.0793480676238538</v>
      </c>
      <c r="BG2" s="26">
        <v>0.61982065892134453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3.1470687590326873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3315770.05859375</v>
      </c>
      <c r="T3">
        <v>570.37222222222226</v>
      </c>
      <c r="U3" s="12">
        <f>+T3+BG3*S3*テーブル2[[#This Row],[Pw]]*R3/(N3*O3*K3)</f>
        <v>610.55695139319255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648.82451515533398</v>
      </c>
      <c r="AD3">
        <f t="shared" si="5"/>
        <v>36985.170242801796</v>
      </c>
      <c r="AE3">
        <f>+gettm2(AD3,AC3,AK3,AL3,テーブル2[[#This Row],[Fcorr]])</f>
        <v>610.55695190386825</v>
      </c>
      <c r="AF3" s="14">
        <f t="shared" si="6"/>
        <v>5.1067570439045085E-7</v>
      </c>
      <c r="AG3">
        <v>1.7276077823329045E-5</v>
      </c>
      <c r="AH3">
        <f t="shared" si="7"/>
        <v>39.111768800003595</v>
      </c>
      <c r="AI3">
        <f t="shared" si="8"/>
        <v>0.25300902971444011</v>
      </c>
      <c r="AJ3">
        <f t="shared" si="9"/>
        <v>37.949558630352037</v>
      </c>
      <c r="AK3">
        <f t="array" ref="AK3">+S3*テーブル2[[#This Row],[F_form]]/(E3*CpFromTP((テーブル2[[#This Row],[Tin]]+テーブル2[[#This Row],[Tf]])/2,テーブル2[[#This Row],[P]])*AI3)</f>
        <v>2.1969036356021352</v>
      </c>
      <c r="AL3">
        <f t="shared" si="10"/>
        <v>1.1961215883036658</v>
      </c>
      <c r="AM3">
        <f t="shared" si="11"/>
        <v>613.05026987184226</v>
      </c>
      <c r="AN3">
        <f t="shared" si="12"/>
        <v>1.597140908415895E-8</v>
      </c>
      <c r="AO3">
        <f t="shared" si="13"/>
        <v>6.9895644278152741E-8</v>
      </c>
      <c r="AP3">
        <v>3.2110483788114932</v>
      </c>
      <c r="AQ3">
        <f t="shared" si="14"/>
        <v>4.2505864840647597E-5</v>
      </c>
      <c r="AR3">
        <f t="shared" si="15"/>
        <v>8.6729867338035986E-6</v>
      </c>
      <c r="AS3">
        <f t="shared" si="16"/>
        <v>19.051547574663662</v>
      </c>
      <c r="AT3">
        <f t="shared" si="17"/>
        <v>11.685741678941373</v>
      </c>
      <c r="AU3">
        <f t="shared" si="18"/>
        <v>2.9565981636825489</v>
      </c>
      <c r="AV3">
        <f t="shared" si="19"/>
        <v>0.25445021512894428</v>
      </c>
      <c r="AW3">
        <f t="shared" si="20"/>
        <v>1.0917871766046394E-2</v>
      </c>
      <c r="AX3">
        <f t="shared" si="21"/>
        <v>0.25445021345265612</v>
      </c>
      <c r="AY3">
        <f t="shared" si="22"/>
        <v>1.6762881638321403E-9</v>
      </c>
      <c r="AZ3">
        <f t="shared" si="23"/>
        <v>1028533.0792909416</v>
      </c>
      <c r="BA3">
        <f t="shared" si="24"/>
        <v>1.3237379144184776E-5</v>
      </c>
      <c r="BB3" s="15">
        <f t="shared" si="25"/>
        <v>3318194.0714180153</v>
      </c>
      <c r="BC3" s="20">
        <f t="shared" si="26"/>
        <v>2424.0128242652863</v>
      </c>
      <c r="BD3" s="19">
        <f t="shared" si="27"/>
        <v>7.3105576726672464E-2</v>
      </c>
      <c r="BE3" s="15">
        <v>3184415.5243404349</v>
      </c>
      <c r="BF3" s="16">
        <f>テーブル2[[#This Row],[q_P]]/テーブル2[[#This Row],[q_M]]</f>
        <v>1.0420103928193507</v>
      </c>
      <c r="BG3">
        <v>0.61982065892134453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3.3181940714180151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3795327.17578125</v>
      </c>
      <c r="T4">
        <v>575.92777777777769</v>
      </c>
      <c r="U4" s="12">
        <f>+T4+BG4*S4*テーブル2[[#This Row],[Pw]]*R4/(N4*O4*K4)</f>
        <v>612.64798110911227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667.16373763168542</v>
      </c>
      <c r="AD4">
        <f t="shared" si="5"/>
        <v>38035.059485906088</v>
      </c>
      <c r="AE4">
        <f>+gettm2(AD4,AC4,AK4,AL4,テーブル2[[#This Row],[Fcorr]])</f>
        <v>612.64798110911227</v>
      </c>
      <c r="AF4" s="14">
        <f t="shared" si="6"/>
        <v>0</v>
      </c>
      <c r="AG4">
        <v>1.1196821016859535E-5</v>
      </c>
      <c r="AH4">
        <f t="shared" si="7"/>
        <v>38.267795080516358</v>
      </c>
      <c r="AI4">
        <f t="shared" si="8"/>
        <v>0.25858788923415976</v>
      </c>
      <c r="AJ4">
        <f t="shared" si="9"/>
        <v>25.293724924986108</v>
      </c>
      <c r="AK4">
        <f t="array" ref="AK4">+S4*テーブル2[[#This Row],[F_form]]/(E4*CpFromTP((テーブル2[[#This Row],[Tin]]+テーブル2[[#This Row],[Tf]])/2,テーブル2[[#This Row],[P]])*AI4)</f>
        <v>2.5486526519916426</v>
      </c>
      <c r="AL4">
        <f t="shared" si="10"/>
        <v>1.4674493516224545</v>
      </c>
      <c r="AM4">
        <f t="shared" si="11"/>
        <v>623.7467472897979</v>
      </c>
      <c r="AN4">
        <f t="shared" si="12"/>
        <v>2.2859012460685335E-9</v>
      </c>
      <c r="AO4">
        <f t="shared" si="13"/>
        <v>8.4435203271423552E-8</v>
      </c>
      <c r="AP4">
        <v>2.7427121189399153</v>
      </c>
      <c r="AQ4">
        <f t="shared" si="14"/>
        <v>3.0892128898526078E-5</v>
      </c>
      <c r="AR4">
        <f t="shared" si="15"/>
        <v>5.6406281100654794E-6</v>
      </c>
      <c r="AS4">
        <f t="shared" si="16"/>
        <v>12.742232425195722</v>
      </c>
      <c r="AT4">
        <f t="shared" si="17"/>
        <v>9.6746093220015119</v>
      </c>
      <c r="AU4">
        <f t="shared" si="18"/>
        <v>2.5017368037414967</v>
      </c>
      <c r="AV4">
        <f t="shared" si="19"/>
        <v>0.24097531519841864</v>
      </c>
      <c r="AW4">
        <f t="shared" si="20"/>
        <v>8.3302290581558792E-3</v>
      </c>
      <c r="AX4">
        <f t="shared" si="21"/>
        <v>0.24097531143508505</v>
      </c>
      <c r="AY4">
        <f t="shared" si="22"/>
        <v>3.7633335892017783E-9</v>
      </c>
      <c r="AZ4">
        <f t="shared" si="23"/>
        <v>883760.40977061237</v>
      </c>
      <c r="BA4">
        <f t="shared" si="24"/>
        <v>1.1263350858152106E-5</v>
      </c>
      <c r="BB4" s="15">
        <f t="shared" si="25"/>
        <v>3791469.4431332052</v>
      </c>
      <c r="BC4" s="20">
        <f t="shared" si="26"/>
        <v>-3857.7326480448246</v>
      </c>
      <c r="BD4" s="19">
        <f t="shared" si="27"/>
        <v>-0.10164427121492441</v>
      </c>
      <c r="BE4" s="15">
        <v>3144395.9396539307</v>
      </c>
      <c r="BF4" s="16">
        <f>テーブル2[[#This Row],[q_P]]/テーブル2[[#This Row],[q_M]]</f>
        <v>1.2057862673459916</v>
      </c>
      <c r="BG4">
        <v>0.61982065892134453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3.791469443133205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3571449.12109375</v>
      </c>
      <c r="T5">
        <v>565.92777777777769</v>
      </c>
      <c r="U5" s="12">
        <f>+T5+BG5*S5*テーブル2[[#This Row],[Pw]]*R5/(N5*O5*K5)</f>
        <v>608.36711525230874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677.61001639066683</v>
      </c>
      <c r="AD5">
        <f t="shared" si="5"/>
        <v>32048.55391700126</v>
      </c>
      <c r="AE5">
        <f>+gettm2(AD5,AC5,AK5,AL5,テーブル2[[#This Row],[Fcorr]])</f>
        <v>608.3671160621501</v>
      </c>
      <c r="AF5" s="14">
        <f t="shared" si="6"/>
        <v>8.0984136729966849E-7</v>
      </c>
      <c r="AG5">
        <v>1.5755595890039908E-5</v>
      </c>
      <c r="AH5">
        <f t="shared" si="7"/>
        <v>27.169529424232472</v>
      </c>
      <c r="AI5">
        <f t="shared" si="8"/>
        <v>0.21788760218648817</v>
      </c>
      <c r="AJ5">
        <f t="shared" si="9"/>
        <v>29.990052554547397</v>
      </c>
      <c r="AK5">
        <f t="array" ref="AK5">+S5*テーブル2[[#This Row],[F_form]]/(E5*CpFromTP((テーブル2[[#This Row],[Tin]]+テーブル2[[#This Row],[Tf]])/2,テーブル2[[#This Row],[P]])*AI5)</f>
        <v>3.0025523373366982</v>
      </c>
      <c r="AL5">
        <f t="shared" si="10"/>
        <v>1.4674493516224545</v>
      </c>
      <c r="AM5">
        <f t="shared" si="11"/>
        <v>623.7467472796402</v>
      </c>
      <c r="AN5">
        <f t="shared" si="12"/>
        <v>1.2443592822819483E-8</v>
      </c>
      <c r="AO5">
        <f t="shared" si="13"/>
        <v>1.0399970189430062E-7</v>
      </c>
      <c r="AP5">
        <v>2.5140195977704924</v>
      </c>
      <c r="AQ5">
        <f t="shared" si="14"/>
        <v>3.6768081660265922E-5</v>
      </c>
      <c r="AR5">
        <f t="shared" si="15"/>
        <v>7.9297977959671045E-6</v>
      </c>
      <c r="AS5">
        <f t="shared" si="16"/>
        <v>15.094005603325051</v>
      </c>
      <c r="AT5">
        <f t="shared" si="17"/>
        <v>10.521488425456226</v>
      </c>
      <c r="AU5">
        <f t="shared" si="18"/>
        <v>2.2925018844555463</v>
      </c>
      <c r="AV5">
        <f t="shared" si="19"/>
        <v>0.22151771331494619</v>
      </c>
      <c r="AW5">
        <f t="shared" si="20"/>
        <v>1.1732978278488434E-2</v>
      </c>
      <c r="AX5">
        <f t="shared" si="21"/>
        <v>0.22151771109367208</v>
      </c>
      <c r="AY5">
        <f t="shared" si="22"/>
        <v>2.2212741090932298E-9</v>
      </c>
      <c r="AZ5">
        <f t="shared" si="23"/>
        <v>883760.40977061237</v>
      </c>
      <c r="BA5">
        <f t="shared" si="24"/>
        <v>1.4625216801361833E-5</v>
      </c>
      <c r="BB5" s="15">
        <f t="shared" si="25"/>
        <v>3596511.0706156604</v>
      </c>
      <c r="BC5" s="20">
        <f t="shared" si="26"/>
        <v>25061.949521910399</v>
      </c>
      <c r="BD5" s="19">
        <f t="shared" si="27"/>
        <v>0.70173054892169995</v>
      </c>
      <c r="BE5" s="15">
        <v>2955732.1832746952</v>
      </c>
      <c r="BF5" s="16">
        <f>テーブル2[[#This Row],[q_P]]/テーブル2[[#This Row],[q_M]]</f>
        <v>1.2167919309357176</v>
      </c>
      <c r="BG5">
        <v>0.61982065892134453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3.5965110706156604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3657569.82421875</v>
      </c>
      <c r="T6">
        <v>534.53888888888889</v>
      </c>
      <c r="U6" s="12">
        <f>+T6+BG6*S6*テーブル2[[#This Row],[Pw]]*R6/(N6*O6*K6)</f>
        <v>590.24933920717967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669.62497854885362</v>
      </c>
      <c r="AD6">
        <f t="shared" si="5"/>
        <v>30638.828312541253</v>
      </c>
      <c r="AE6">
        <f>+gettm2(AD6,AC6,AK6,AL6,テーブル2[[#This Row],[Fcorr]])</f>
        <v>590.24933992803381</v>
      </c>
      <c r="AF6" s="14">
        <f t="shared" si="6"/>
        <v>7.2085413194145076E-7</v>
      </c>
      <c r="AG6">
        <v>2.517964043266477E-5</v>
      </c>
      <c r="AH6">
        <f t="shared" si="7"/>
        <v>26.840865689841085</v>
      </c>
      <c r="AI6">
        <f t="shared" si="8"/>
        <v>0.20959482333198357</v>
      </c>
      <c r="AJ6">
        <f t="shared" si="9"/>
        <v>45.820057775926195</v>
      </c>
      <c r="AK6">
        <f t="array" ref="AK6">+S6*テーブル2[[#This Row],[F_form]]/(E6*CpFromTP((テーブル2[[#This Row],[Tin]]+テーブル2[[#This Row],[Tf]])/2,テーブル2[[#This Row],[P]])*AI6)</f>
        <v>3.3765665864535013</v>
      </c>
      <c r="AL6">
        <f t="shared" si="10"/>
        <v>1.1961215883036658</v>
      </c>
      <c r="AM6">
        <f t="shared" si="11"/>
        <v>613.05026981155061</v>
      </c>
      <c r="AN6">
        <f t="shared" si="12"/>
        <v>7.62630634199013E-8</v>
      </c>
      <c r="AO6">
        <f t="shared" si="13"/>
        <v>1.072665720672435E-7</v>
      </c>
      <c r="AP6">
        <v>2.881866151965911</v>
      </c>
      <c r="AQ6">
        <f t="shared" si="14"/>
        <v>5.2770953611436491E-5</v>
      </c>
      <c r="AR6">
        <f t="shared" si="15"/>
        <v>1.2643453502366007E-5</v>
      </c>
      <c r="AS6">
        <f t="shared" si="16"/>
        <v>23.007626797327415</v>
      </c>
      <c r="AT6">
        <f t="shared" si="17"/>
        <v>12.6291288042293</v>
      </c>
      <c r="AU6">
        <f t="shared" si="18"/>
        <v>2.6470000205593047</v>
      </c>
      <c r="AV6">
        <f t="shared" si="19"/>
        <v>0.23486613140660628</v>
      </c>
      <c r="AW6">
        <f t="shared" si="20"/>
        <v>1.5909221454929227E-2</v>
      </c>
      <c r="AX6">
        <f t="shared" si="21"/>
        <v>0.23486613073747345</v>
      </c>
      <c r="AY6">
        <f t="shared" si="22"/>
        <v>6.6913283247593824E-10</v>
      </c>
      <c r="AZ6">
        <f t="shared" si="23"/>
        <v>1028533.0792909416</v>
      </c>
      <c r="BA6">
        <f t="shared" si="24"/>
        <v>1.8311382565577495E-5</v>
      </c>
      <c r="BB6" s="15">
        <f t="shared" si="25"/>
        <v>3681263.8374587134</v>
      </c>
      <c r="BC6" s="20">
        <f t="shared" si="26"/>
        <v>23694.013239963446</v>
      </c>
      <c r="BD6" s="19">
        <f t="shared" si="27"/>
        <v>0.64780754377052641</v>
      </c>
      <c r="BE6" s="15">
        <v>3264454.6937134438</v>
      </c>
      <c r="BF6" s="16">
        <f>テーブル2[[#This Row],[q_P]]/テーブル2[[#This Row],[q_M]]</f>
        <v>1.1276810931234378</v>
      </c>
      <c r="BG6">
        <v>0.61982065892134453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3.6812638374587134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3505396.3054687497</v>
      </c>
      <c r="T7">
        <v>542.87222222222226</v>
      </c>
      <c r="U7" s="12">
        <f>+T7+BG7*S7*テーブル2[[#This Row],[Pw]]*R7/(N7*O7*K7)</f>
        <v>595.89751410500969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665.48050701207364</v>
      </c>
      <c r="AD7">
        <f t="shared" si="5"/>
        <v>30812.785908224163</v>
      </c>
      <c r="AE7">
        <f>+gettm2(AD7,AC7,AK7,AL7,テーブル2[[#This Row],[Fcorr]])</f>
        <v>595.89751478543326</v>
      </c>
      <c r="AF7" s="14">
        <f t="shared" si="6"/>
        <v>6.8042356815567473E-7</v>
      </c>
      <c r="AG7">
        <v>2.4890471893583868E-5</v>
      </c>
      <c r="AH7">
        <f t="shared" si="7"/>
        <v>27.146518860214883</v>
      </c>
      <c r="AI7">
        <f t="shared" si="8"/>
        <v>0.21078483657800223</v>
      </c>
      <c r="AJ7">
        <f t="shared" si="9"/>
        <v>45.551014319525152</v>
      </c>
      <c r="AK7">
        <f t="array" ref="AK7">+S7*テーブル2[[#This Row],[F_form]]/(E7*CpFromTP((テーブル2[[#This Row],[Tin]]+テーブル2[[#This Row],[Tf]])/2,テーブル2[[#This Row],[P]])*AI7)</f>
        <v>3.1319627932031797</v>
      </c>
      <c r="AL7">
        <f t="shared" si="10"/>
        <v>1.1961215883036658</v>
      </c>
      <c r="AM7">
        <f t="shared" si="11"/>
        <v>613.05026982493655</v>
      </c>
      <c r="AN7">
        <f t="shared" si="12"/>
        <v>6.2877120399207342E-8</v>
      </c>
      <c r="AO7">
        <f t="shared" si="13"/>
        <v>1.0039760144113985E-7</v>
      </c>
      <c r="AP7">
        <v>2.891035061014307</v>
      </c>
      <c r="AQ7">
        <f t="shared" si="14"/>
        <v>5.243675855937918E-5</v>
      </c>
      <c r="AR7">
        <f t="shared" si="15"/>
        <v>1.2495434747512504E-5</v>
      </c>
      <c r="AS7">
        <f t="shared" si="16"/>
        <v>22.867373890944759</v>
      </c>
      <c r="AT7">
        <f t="shared" si="17"/>
        <v>12.598555868804453</v>
      </c>
      <c r="AU7">
        <f t="shared" si="18"/>
        <v>2.6555845399247775</v>
      </c>
      <c r="AV7">
        <f t="shared" si="19"/>
        <v>0.23545052108952946</v>
      </c>
      <c r="AW7">
        <f t="shared" si="20"/>
        <v>1.5730093368528267E-2</v>
      </c>
      <c r="AX7">
        <f t="shared" si="21"/>
        <v>0.2354505200808841</v>
      </c>
      <c r="AY7">
        <f t="shared" si="22"/>
        <v>1.0086453616775515E-9</v>
      </c>
      <c r="AZ7">
        <f t="shared" si="23"/>
        <v>1028533.0792909416</v>
      </c>
      <c r="BA7">
        <f t="shared" si="24"/>
        <v>1.8137711045601077E-5</v>
      </c>
      <c r="BB7" s="15">
        <f t="shared" si="25"/>
        <v>3478520.2605362688</v>
      </c>
      <c r="BC7" s="20">
        <f t="shared" si="26"/>
        <v>-26876.044932480901</v>
      </c>
      <c r="BD7" s="19">
        <f t="shared" si="27"/>
        <v>-0.76670489127154406</v>
      </c>
      <c r="BE7" s="15">
        <v>3144395.9396539307</v>
      </c>
      <c r="BF7" s="16">
        <f>テーブル2[[#This Row],[q_P]]/テーブル2[[#This Row],[q_M]]</f>
        <v>1.1062602570715416</v>
      </c>
      <c r="BG7">
        <v>0.61982065892134453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3.4785202605362686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3182127.48046875</v>
      </c>
      <c r="T8">
        <v>556.20555555555552</v>
      </c>
      <c r="U8" s="12">
        <f>+T8+BG8*S8*テーブル2[[#This Row],[Pw]]*R8/(N8*O8*K8)</f>
        <v>604.55466619652941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658.40107170083627</v>
      </c>
      <c r="AD8">
        <f t="shared" si="5"/>
        <v>30700.975514163954</v>
      </c>
      <c r="AE8">
        <f>+gettm2(AD8,AC8,AK8,AL8,テーブル2[[#This Row],[Fcorr]])</f>
        <v>604.55466680608299</v>
      </c>
      <c r="AF8" s="14">
        <f t="shared" si="6"/>
        <v>6.0955358094361145E-7</v>
      </c>
      <c r="AG8">
        <v>2.5063348564299173E-5</v>
      </c>
      <c r="AH8">
        <f t="shared" si="7"/>
        <v>26.94986309861563</v>
      </c>
      <c r="AI8">
        <f t="shared" si="8"/>
        <v>0.21001996138268883</v>
      </c>
      <c r="AJ8">
        <f t="shared" si="9"/>
        <v>45.7009496534343</v>
      </c>
      <c r="AK8">
        <f t="array" ref="AK8">+S8*テーブル2[[#This Row],[F_form]]/(E8*CpFromTP((テーブル2[[#This Row],[Tin]]+テーブル2[[#This Row],[Tf]])/2,テーブル2[[#This Row],[P]])*AI8)</f>
        <v>2.7077381314072566</v>
      </c>
      <c r="AL8">
        <f t="shared" si="10"/>
        <v>1.1961215883036658</v>
      </c>
      <c r="AM8">
        <f t="shared" si="11"/>
        <v>613.05026985851475</v>
      </c>
      <c r="AN8">
        <f t="shared" si="12"/>
        <v>2.9298917070263997E-8</v>
      </c>
      <c r="AO8">
        <f t="shared" si="13"/>
        <v>9.237869869158861E-8</v>
      </c>
      <c r="AP8">
        <v>2.8841883019074057</v>
      </c>
      <c r="AQ8">
        <f t="shared" si="14"/>
        <v>5.2686012738789065E-5</v>
      </c>
      <c r="AR8">
        <f t="shared" si="15"/>
        <v>1.2577863631495381E-5</v>
      </c>
      <c r="AS8">
        <f t="shared" si="16"/>
        <v>22.934697296973336</v>
      </c>
      <c r="AT8">
        <f t="shared" si="17"/>
        <v>12.613254648306661</v>
      </c>
      <c r="AU8">
        <f t="shared" si="18"/>
        <v>2.6490352541473854</v>
      </c>
      <c r="AV8">
        <f t="shared" si="19"/>
        <v>0.23515304776002033</v>
      </c>
      <c r="AW8">
        <f t="shared" si="20"/>
        <v>1.5844877383574863E-2</v>
      </c>
      <c r="AX8">
        <f t="shared" si="21"/>
        <v>0.23515304700647136</v>
      </c>
      <c r="AY8">
        <f t="shared" si="22"/>
        <v>7.5354897322021941E-10</v>
      </c>
      <c r="AZ8">
        <f t="shared" si="23"/>
        <v>1028533.0792909416</v>
      </c>
      <c r="BA8">
        <f t="shared" si="24"/>
        <v>1.8267188970964941E-5</v>
      </c>
      <c r="BB8" s="15">
        <f t="shared" si="25"/>
        <v>3177999.3010781948</v>
      </c>
      <c r="BC8" s="20">
        <f t="shared" si="26"/>
        <v>-4128.1793905552477</v>
      </c>
      <c r="BD8" s="19">
        <f t="shared" si="27"/>
        <v>-0.12973017001654308</v>
      </c>
      <c r="BE8" s="15">
        <v>2898561.3480082601</v>
      </c>
      <c r="BF8" s="16">
        <f>テーブル2[[#This Row],[q_P]]/テーブル2[[#This Row],[q_M]]</f>
        <v>1.0964057404760295</v>
      </c>
      <c r="BG8">
        <v>0.61982065892134453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3.1779993010781946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3716112.79296875</v>
      </c>
      <c r="T9">
        <v>558.15</v>
      </c>
      <c r="U9" s="12">
        <f>+T9+BG9*S9*テーブル2[[#This Row],[Pw]]*R9/(N9*O9*K9)</f>
        <v>603.43620184897043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655.92511933728031</v>
      </c>
      <c r="AD9">
        <f t="shared" si="5"/>
        <v>36816.494106426726</v>
      </c>
      <c r="AE9">
        <f>+gettm2(AD9,AC9,AK9,AL9,テーブル2[[#This Row],[Fcorr]])</f>
        <v>603.43620243295152</v>
      </c>
      <c r="AF9" s="14">
        <f t="shared" si="6"/>
        <v>5.8398109104018658E-7</v>
      </c>
      <c r="AG9">
        <v>1.7443475786719077E-5</v>
      </c>
      <c r="AH9">
        <f t="shared" si="7"/>
        <v>38.755832719709737</v>
      </c>
      <c r="AI9">
        <f t="shared" si="8"/>
        <v>0.25185514600050629</v>
      </c>
      <c r="AJ9">
        <f t="shared" si="9"/>
        <v>38.142522584953731</v>
      </c>
      <c r="AK9">
        <f t="array" ref="AK9">+S9*テーブル2[[#This Row],[F_form]]/(E9*CpFromTP((テーブル2[[#This Row],[Tin]]+テーブル2[[#This Row],[Tf]])/2,テーブル2[[#This Row],[P]])*AI9)</f>
        <v>2.6309045932826085</v>
      </c>
      <c r="AL9">
        <f t="shared" si="10"/>
        <v>1.1961215883036658</v>
      </c>
      <c r="AM9">
        <f t="shared" si="11"/>
        <v>613.05026985571135</v>
      </c>
      <c r="AN9">
        <f t="shared" si="12"/>
        <v>3.2102320801641326E-8</v>
      </c>
      <c r="AO9">
        <f t="shared" si="13"/>
        <v>7.9270915034387716E-8</v>
      </c>
      <c r="AP9">
        <v>3.2039752183471357</v>
      </c>
      <c r="AQ9">
        <f t="shared" si="14"/>
        <v>4.2693745609740737E-5</v>
      </c>
      <c r="AR9">
        <f t="shared" si="15"/>
        <v>8.7613733508767322E-6</v>
      </c>
      <c r="AS9">
        <f t="shared" si="16"/>
        <v>19.15792958909385</v>
      </c>
      <c r="AT9">
        <f t="shared" si="17"/>
        <v>11.713583538397941</v>
      </c>
      <c r="AU9">
        <f t="shared" si="18"/>
        <v>2.9501262922523406</v>
      </c>
      <c r="AV9">
        <f t="shared" si="19"/>
        <v>0.25384892609479515</v>
      </c>
      <c r="AW9">
        <f t="shared" si="20"/>
        <v>1.1018142208167004E-2</v>
      </c>
      <c r="AX9">
        <f t="shared" si="21"/>
        <v>0.25384892460318165</v>
      </c>
      <c r="AY9">
        <f t="shared" si="22"/>
        <v>1.4916134993825381E-9</v>
      </c>
      <c r="AZ9">
        <f t="shared" si="23"/>
        <v>1028533.0792909416</v>
      </c>
      <c r="BA9">
        <f t="shared" si="24"/>
        <v>1.3325242144589855E-5</v>
      </c>
      <c r="BB9" s="15">
        <f t="shared" si="25"/>
        <v>3738457.4353103014</v>
      </c>
      <c r="BC9" s="20">
        <f t="shared" si="26"/>
        <v>22344.642341551371</v>
      </c>
      <c r="BD9" s="19">
        <f t="shared" si="27"/>
        <v>0.6012907461751329</v>
      </c>
      <c r="BE9" s="15">
        <v>3338776.7795598097</v>
      </c>
      <c r="BF9" s="16">
        <f>テーブル2[[#This Row],[q_P]]/テーブル2[[#This Row],[q_M]]</f>
        <v>1.119708708350124</v>
      </c>
      <c r="BG9">
        <v>0.61982065892134453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3.7384574353103011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3748976.80078125</v>
      </c>
      <c r="T10">
        <v>570.65</v>
      </c>
      <c r="U10" s="12">
        <f>+T10+BG10*S10*テーブル2[[#This Row],[Pw]]*R10/(N10*O10*K10)</f>
        <v>608.96710183408584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645.9001884356569</v>
      </c>
      <c r="AD10">
        <f t="shared" si="5"/>
        <v>43019.646624305176</v>
      </c>
      <c r="AE10">
        <f>+gettm2(AD10,AC10,AK10,AL10,テーブル2[[#This Row],[Fcorr]])</f>
        <v>608.96710231419377</v>
      </c>
      <c r="AF10" s="14">
        <f t="shared" si="6"/>
        <v>4.8010792852437589E-7</v>
      </c>
      <c r="AG10">
        <v>1.3125451854153331E-5</v>
      </c>
      <c r="AH10">
        <f t="shared" si="7"/>
        <v>53.25493307704626</v>
      </c>
      <c r="AI10">
        <f t="shared" si="8"/>
        <v>0.29449737092387218</v>
      </c>
      <c r="AJ10">
        <f t="shared" si="9"/>
        <v>33.536293152496263</v>
      </c>
      <c r="AK10">
        <f t="array" ref="AK10">+S10*テーブル2[[#This Row],[F_form]]/(E10*CpFromTP((テーブル2[[#This Row],[Tin]]+テーブル2[[#This Row],[Tf]])/2,テーブル2[[#This Row],[P]])*AI10)</f>
        <v>2.1336393888519627</v>
      </c>
      <c r="AL10">
        <f t="shared" si="10"/>
        <v>1.1803971616409898</v>
      </c>
      <c r="AM10">
        <f t="shared" si="11"/>
        <v>612.10417525633773</v>
      </c>
      <c r="AN10">
        <f t="shared" si="12"/>
        <v>1.0256826499244198E-8</v>
      </c>
      <c r="AO10">
        <f t="shared" si="13"/>
        <v>6.1691379892184824E-8</v>
      </c>
      <c r="AP10">
        <v>3.5343422714910204</v>
      </c>
      <c r="AQ10">
        <f t="shared" si="14"/>
        <v>3.6823525920579896E-5</v>
      </c>
      <c r="AR10">
        <f t="shared" si="15"/>
        <v>6.5935716170227578E-6</v>
      </c>
      <c r="AS10">
        <f t="shared" si="16"/>
        <v>16.846959108724555</v>
      </c>
      <c r="AT10">
        <f t="shared" si="17"/>
        <v>11.070850860935256</v>
      </c>
      <c r="AU10">
        <f t="shared" si="18"/>
        <v>3.2603364724357196</v>
      </c>
      <c r="AV10">
        <f t="shared" si="19"/>
        <v>0.27400579905530087</v>
      </c>
      <c r="AW10">
        <f t="shared" si="20"/>
        <v>8.1897038757112045E-3</v>
      </c>
      <c r="AX10">
        <f t="shared" si="21"/>
        <v>0.27400578759089445</v>
      </c>
      <c r="AY10">
        <f t="shared" si="22"/>
        <v>1.1464406424188667E-8</v>
      </c>
      <c r="AZ10">
        <f t="shared" si="23"/>
        <v>1039970.8423575275</v>
      </c>
      <c r="BA10">
        <f t="shared" si="24"/>
        <v>1.0418777552363451E-5</v>
      </c>
      <c r="BB10" s="15">
        <f t="shared" si="25"/>
        <v>3781167.1935111471</v>
      </c>
      <c r="BC10" s="20">
        <f t="shared" si="26"/>
        <v>32190.392729897052</v>
      </c>
      <c r="BD10" s="19">
        <f t="shared" si="27"/>
        <v>0.85864475670238594</v>
      </c>
      <c r="BE10" s="15">
        <v>3475986.7841992537</v>
      </c>
      <c r="BF10" s="16">
        <f>テーブル2[[#This Row],[q_P]]/テーブル2[[#This Row],[q_M]]</f>
        <v>1.087796769164701</v>
      </c>
      <c r="BG10">
        <v>0.61982065892134453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3.7811671935111471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3518929.19921875</v>
      </c>
      <c r="T11">
        <v>578.15</v>
      </c>
      <c r="U11" s="12">
        <f>+T11+BG11*S11*テーブル2[[#This Row],[Pw]]*R11/(N11*O11*K11)</f>
        <v>613.24310225352383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643.87701426648061</v>
      </c>
      <c r="AD11">
        <f t="shared" si="5"/>
        <v>43307.049130616753</v>
      </c>
      <c r="AE11">
        <f>+gettm2(AD11,AC11,AK11,AL11,テーブル2[[#This Row],[Fcorr]])</f>
        <v>613.24310271239744</v>
      </c>
      <c r="AF11" s="14">
        <f t="shared" si="6"/>
        <v>4.5887361466157017E-7</v>
      </c>
      <c r="AG11">
        <v>1.2469898181221068E-5</v>
      </c>
      <c r="AH11">
        <f t="shared" si="7"/>
        <v>53.48843663272055</v>
      </c>
      <c r="AI11">
        <f t="shared" si="8"/>
        <v>0.29617479150034609</v>
      </c>
      <c r="AJ11">
        <f t="shared" si="9"/>
        <v>32.074172120381178</v>
      </c>
      <c r="AK11">
        <f t="array" ref="AK11">+S11*テーブル2[[#This Row],[F_form]]/(E11*CpFromTP((テーブル2[[#This Row],[Tin]]+テーブル2[[#This Row],[Tf]])/2,テーブル2[[#This Row],[P]])*AI11)</f>
        <v>1.9128414450886508</v>
      </c>
      <c r="AL11">
        <f t="shared" si="10"/>
        <v>1.2026233096901375</v>
      </c>
      <c r="AM11">
        <f t="shared" si="11"/>
        <v>613.42618183398952</v>
      </c>
      <c r="AN11">
        <f t="shared" si="12"/>
        <v>7.04972080711741E-10</v>
      </c>
      <c r="AO11">
        <f t="shared" si="13"/>
        <v>5.674372430156112E-8</v>
      </c>
      <c r="AP11">
        <v>3.4851167715478679</v>
      </c>
      <c r="AQ11">
        <f t="shared" si="14"/>
        <v>3.5386994760914351E-5</v>
      </c>
      <c r="AR11">
        <f t="shared" si="15"/>
        <v>6.2633209527613145E-6</v>
      </c>
      <c r="AS11">
        <f t="shared" si="16"/>
        <v>16.110062116351997</v>
      </c>
      <c r="AT11">
        <f t="shared" si="17"/>
        <v>10.847220264725372</v>
      </c>
      <c r="AU11">
        <f t="shared" si="18"/>
        <v>3.212673200263366</v>
      </c>
      <c r="AV11">
        <f t="shared" si="19"/>
        <v>0.27244357128450192</v>
      </c>
      <c r="AW11">
        <f t="shared" si="20"/>
        <v>7.9152405481282447E-3</v>
      </c>
      <c r="AX11">
        <f t="shared" si="21"/>
        <v>0.27244355927012687</v>
      </c>
      <c r="AY11">
        <f t="shared" si="22"/>
        <v>1.2014375050384274E-8</v>
      </c>
      <c r="AZ11">
        <f t="shared" si="23"/>
        <v>1023936.776445643</v>
      </c>
      <c r="BA11">
        <f t="shared" si="24"/>
        <v>1.0153747228732795E-5</v>
      </c>
      <c r="BB11" s="15">
        <f t="shared" si="25"/>
        <v>3489219.9941019337</v>
      </c>
      <c r="BC11" s="20">
        <f t="shared" si="26"/>
        <v>-29709.205116816331</v>
      </c>
      <c r="BD11" s="19">
        <f t="shared" si="27"/>
        <v>-0.84426833945429136</v>
      </c>
      <c r="BE11" s="15">
        <v>3121527.6055473564</v>
      </c>
      <c r="BF11" s="16">
        <f>テーブル2[[#This Row],[q_P]]/テーブル2[[#This Row],[q_M]]</f>
        <v>1.1177924513309254</v>
      </c>
      <c r="BG11">
        <v>0.61982065892134453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3.4892199941019335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2811881.71390625</v>
      </c>
      <c r="T12">
        <v>589.53888888888889</v>
      </c>
      <c r="U12" s="12">
        <f>+T12+BG12*S12*テーブル2[[#This Row],[Pw]]*R12/(N12*O12*K12)</f>
        <v>618.3541069958502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634.58863461898795</v>
      </c>
      <c r="AD12">
        <f t="shared" si="5"/>
        <v>42842.968934338925</v>
      </c>
      <c r="AE12">
        <f>+gettm2(AD12,AC12,AK12,AL12,テーブル2[[#This Row],[Fcorr]])</f>
        <v>618.35410735682785</v>
      </c>
      <c r="AF12" s="14">
        <f t="shared" si="6"/>
        <v>3.6097765132581117E-7</v>
      </c>
      <c r="AG12">
        <v>1.3147988415720749E-5</v>
      </c>
      <c r="AH12">
        <f t="shared" si="7"/>
        <v>52.750966401694079</v>
      </c>
      <c r="AI12">
        <f t="shared" si="8"/>
        <v>0.29324585475279519</v>
      </c>
      <c r="AJ12">
        <f t="shared" si="9"/>
        <v>33.455908454928576</v>
      </c>
      <c r="AK12">
        <f t="array" ref="AK12">+S12*テーブル2[[#This Row],[F_form]]/(E12*CpFromTP((テーブル2[[#This Row],[Tin]]+テーブル2[[#This Row],[Tf]])/2,テーブル2[[#This Row],[P]])*AI12)</f>
        <v>1.4056888124092057</v>
      </c>
      <c r="AL12">
        <f t="shared" si="10"/>
        <v>1.1834832388614511</v>
      </c>
      <c r="AM12">
        <f t="shared" si="11"/>
        <v>612.29412140434533</v>
      </c>
      <c r="AN12">
        <f t="shared" si="12"/>
        <v>7.7931190389790572E-9</v>
      </c>
      <c r="AO12">
        <f t="shared" si="13"/>
        <v>4.6170552322972379E-8</v>
      </c>
      <c r="AP12">
        <v>3.5146102917534701</v>
      </c>
      <c r="AQ12">
        <f t="shared" si="14"/>
        <v>3.6881288000428506E-5</v>
      </c>
      <c r="AR12">
        <f t="shared" si="15"/>
        <v>6.5970794840218607E-6</v>
      </c>
      <c r="AS12">
        <f t="shared" si="16"/>
        <v>16.786696208480333</v>
      </c>
      <c r="AT12">
        <f t="shared" si="17"/>
        <v>11.052933401722374</v>
      </c>
      <c r="AU12">
        <f t="shared" si="18"/>
        <v>3.2412269029137977</v>
      </c>
      <c r="AV12">
        <f t="shared" si="19"/>
        <v>0.27338338883967239</v>
      </c>
      <c r="AW12">
        <f t="shared" si="20"/>
        <v>8.2333135405710349E-3</v>
      </c>
      <c r="AX12">
        <f t="shared" si="21"/>
        <v>0.2733833769071019</v>
      </c>
      <c r="AY12">
        <f t="shared" si="22"/>
        <v>1.1932570487260818E-8</v>
      </c>
      <c r="AZ12">
        <f t="shared" si="23"/>
        <v>1037689.2055825926</v>
      </c>
      <c r="BA12">
        <f t="shared" si="24"/>
        <v>1.0493706254421769E-5</v>
      </c>
      <c r="BB12" s="15">
        <f t="shared" si="25"/>
        <v>2800722.7735119467</v>
      </c>
      <c r="BC12" s="20">
        <f t="shared" si="26"/>
        <v>-11158.940394303296</v>
      </c>
      <c r="BD12" s="19">
        <f t="shared" si="27"/>
        <v>-0.39684956657729958</v>
      </c>
      <c r="BE12" s="15">
        <v>2755634.2598421718</v>
      </c>
      <c r="BF12" s="16">
        <f>テーブル2[[#This Row],[q_P]]/テーブル2[[#This Row],[q_M]]</f>
        <v>1.0163622997169288</v>
      </c>
      <c r="BG12">
        <v>0.61982065892134453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2.8007227735119464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3466634.27734375</v>
      </c>
      <c r="T13">
        <v>577.59444444444443</v>
      </c>
      <c r="U13" s="12">
        <f>+T13+BG13*S13*テーブル2[[#This Row],[Pw]]*R13/(N13*O13*K13)</f>
        <v>613.28210967095731</v>
      </c>
      <c r="V13">
        <v>0.03</v>
      </c>
      <c r="W13" s="8">
        <f t="shared" ref="W13:W37" si="28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29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660.61256615301522</v>
      </c>
      <c r="AD13">
        <f t="shared" ref="AD13:AD37" si="30">+P13/2*AI13/I13*E13</f>
        <v>44874.538167118364</v>
      </c>
      <c r="AE13">
        <f>+gettm2(AD13,AC13,AK13,AL13,テーブル2[[#This Row],[Fcorr]])</f>
        <v>613.28210967095731</v>
      </c>
      <c r="AF13" s="14">
        <f t="shared" si="6"/>
        <v>0</v>
      </c>
      <c r="AG13">
        <v>8.1637554653487982E-6</v>
      </c>
      <c r="AH13">
        <f t="shared" si="7"/>
        <v>53.410409294249938</v>
      </c>
      <c r="AI13">
        <f t="shared" si="8"/>
        <v>0.30512906274941193</v>
      </c>
      <c r="AJ13">
        <f t="shared" si="9"/>
        <v>21.758248620256591</v>
      </c>
      <c r="AK13">
        <f t="array" ref="AK13">+S13*テーブル2[[#This Row],[F_form]]/(E13*CpFromTP((テーブル2[[#This Row],[Tin]]+テーブル2[[#This Row],[Tf]])/2,テーブル2[[#This Row],[P]])*AI13)</f>
        <v>2.3066263646832081</v>
      </c>
      <c r="AL13">
        <f t="shared" si="10"/>
        <v>1.4549166438635874</v>
      </c>
      <c r="AM13">
        <f t="shared" si="11"/>
        <v>623.40834328207109</v>
      </c>
      <c r="AN13">
        <f t="shared" si="12"/>
        <v>9.9358885563560762E-9</v>
      </c>
      <c r="AO13">
        <f t="shared" si="13"/>
        <v>6.0833538352213047E-8</v>
      </c>
      <c r="AP13">
        <v>2.985595182687002</v>
      </c>
      <c r="AQ13">
        <f t="shared" si="14"/>
        <v>2.6684182716894387E-5</v>
      </c>
      <c r="AR13">
        <f t="shared" si="15"/>
        <v>4.1122945018505056E-6</v>
      </c>
      <c r="AS13">
        <f t="shared" si="16"/>
        <v>10.960191856647514</v>
      </c>
      <c r="AT13">
        <f t="shared" si="17"/>
        <v>8.9213489326761231</v>
      </c>
      <c r="AU13">
        <f t="shared" si="18"/>
        <v>2.7221628382879319</v>
      </c>
      <c r="AV13">
        <f t="shared" si="19"/>
        <v>0.26343234439907004</v>
      </c>
      <c r="AW13">
        <f t="shared" si="20"/>
        <v>6.0356979568173619E-3</v>
      </c>
      <c r="AX13">
        <f t="shared" si="21"/>
        <v>0.26343233643583519</v>
      </c>
      <c r="AY13">
        <f t="shared" si="22"/>
        <v>7.9632348493063887E-9</v>
      </c>
      <c r="AZ13">
        <f t="shared" si="23"/>
        <v>888872.47317885025</v>
      </c>
      <c r="BA13">
        <f t="shared" si="24"/>
        <v>8.937642608626841E-6</v>
      </c>
      <c r="BB13" s="15">
        <f t="shared" si="25"/>
        <v>3470709.8340297821</v>
      </c>
      <c r="BC13" s="20">
        <f t="shared" si="26"/>
        <v>4075.5566860320978</v>
      </c>
      <c r="BD13" s="19">
        <f t="shared" si="27"/>
        <v>0.1175652335946705</v>
      </c>
      <c r="BE13" s="15">
        <v>3001513.8415608276</v>
      </c>
      <c r="BF13" s="16">
        <f>テーブル2[[#This Row],[q_P]]/テーブル2[[#This Row],[q_M]]</f>
        <v>1.156319783028209</v>
      </c>
      <c r="BG13">
        <v>0.73367993758103567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3.4707098340297819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3058960.99609375</v>
      </c>
      <c r="T14">
        <v>589.81666666666661</v>
      </c>
      <c r="U14" s="12">
        <f>+T14+BG14*S14*テーブル2[[#This Row],[Pw]]*R14/(N14*O14*K14)</f>
        <v>621.38384892485624</v>
      </c>
      <c r="V14">
        <v>0.03</v>
      </c>
      <c r="W14" s="8">
        <f t="shared" si="28"/>
        <v>2136456.5677697137</v>
      </c>
      <c r="X14">
        <v>1.3963748912751459E-2</v>
      </c>
      <c r="Y14">
        <f t="shared" si="1"/>
        <v>8.4625059003306067</v>
      </c>
      <c r="Z14">
        <f t="shared" si="29"/>
        <v>8.4625059157986122</v>
      </c>
      <c r="AA14">
        <f t="shared" si="3"/>
        <v>-1.5468005543084473E-8</v>
      </c>
      <c r="AB14">
        <f t="shared" si="4"/>
        <v>8.1316465961717523E-6</v>
      </c>
      <c r="AC14">
        <v>653.1850744984971</v>
      </c>
      <c r="AD14">
        <f t="shared" si="30"/>
        <v>44629.30202274608</v>
      </c>
      <c r="AE14">
        <f>+gettm2(AD14,AC14,AK14,AL14,テーブル2[[#This Row],[Fcorr]])</f>
        <v>621.38384892485612</v>
      </c>
      <c r="AF14" s="14">
        <f t="shared" si="6"/>
        <v>0</v>
      </c>
      <c r="AG14">
        <v>8.186082944623098E-6</v>
      </c>
      <c r="AH14">
        <f t="shared" si="7"/>
        <v>52.757748815396518</v>
      </c>
      <c r="AI14">
        <f t="shared" si="8"/>
        <v>0.3034405772394384</v>
      </c>
      <c r="AJ14">
        <f t="shared" si="9"/>
        <v>21.698523906106477</v>
      </c>
      <c r="AK14">
        <f t="array" ref="AK14">+S14*テーブル2[[#This Row],[F_form]]/(E14*CpFromTP((テーブル2[[#This Row],[Tin]]+テーブル2[[#This Row],[Tf]])/2,テーブル2[[#This Row],[P]])*AI14)</f>
        <v>1.8317654637608483</v>
      </c>
      <c r="AL14">
        <f t="shared" si="10"/>
        <v>1.4611413919535472</v>
      </c>
      <c r="AM14">
        <f t="shared" si="11"/>
        <v>623.57769162644536</v>
      </c>
      <c r="AN14">
        <f t="shared" si="12"/>
        <v>7.0205032898229547E-9</v>
      </c>
      <c r="AO14">
        <f t="shared" si="13"/>
        <v>5.4436348451345731E-8</v>
      </c>
      <c r="AP14">
        <v>2.9644528998471165</v>
      </c>
      <c r="AQ14">
        <f t="shared" si="14"/>
        <v>2.6753656601746481E-5</v>
      </c>
      <c r="AR14">
        <f t="shared" si="15"/>
        <v>4.1202596465372219E-6</v>
      </c>
      <c r="AS14">
        <f t="shared" si="16"/>
        <v>10.921408083029148</v>
      </c>
      <c r="AT14">
        <f t="shared" si="17"/>
        <v>8.9036245366818196</v>
      </c>
      <c r="AU14">
        <f t="shared" si="18"/>
        <v>2.7017209689339587</v>
      </c>
      <c r="AV14">
        <f t="shared" si="19"/>
        <v>0.26273193091315772</v>
      </c>
      <c r="AW14">
        <f t="shared" si="20"/>
        <v>6.0763455276189567E-3</v>
      </c>
      <c r="AX14">
        <f t="shared" si="21"/>
        <v>0.2627319244188554</v>
      </c>
      <c r="AY14">
        <f t="shared" si="22"/>
        <v>6.4943023181385229E-9</v>
      </c>
      <c r="AZ14">
        <f t="shared" si="23"/>
        <v>886319.53660751623</v>
      </c>
      <c r="BA14">
        <f t="shared" si="24"/>
        <v>9.0248209385030968E-6</v>
      </c>
      <c r="BB14" s="15">
        <f t="shared" si="25"/>
        <v>3063230.3617803822</v>
      </c>
      <c r="BC14" s="20">
        <f t="shared" si="26"/>
        <v>4269.3656866322272</v>
      </c>
      <c r="BD14" s="19">
        <f t="shared" si="27"/>
        <v>0.13956914429716977</v>
      </c>
      <c r="BE14" s="15">
        <v>2619411.5769735198</v>
      </c>
      <c r="BF14" s="16">
        <f>テーブル2[[#This Row],[q_P]]/テーブル2[[#This Row],[q_M]]</f>
        <v>1.1694345358737601</v>
      </c>
      <c r="BG14">
        <v>0.73367993758103567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3.063230361780382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3177037.20703125</v>
      </c>
      <c r="T15">
        <v>601.48333333333335</v>
      </c>
      <c r="U15" s="12">
        <f>+T15+BG15*S15*テーブル2[[#This Row],[Pw]]*R15/(N15*O15*K15)</f>
        <v>627.05645045395033</v>
      </c>
      <c r="V15">
        <v>0.03</v>
      </c>
      <c r="W15" s="8">
        <f t="shared" si="28"/>
        <v>2123836.013133083</v>
      </c>
      <c r="X15">
        <v>1.3974962066725397E-2</v>
      </c>
      <c r="Y15">
        <f t="shared" si="1"/>
        <v>8.4591101693275306</v>
      </c>
      <c r="Z15">
        <f t="shared" si="29"/>
        <v>8.4591101857217321</v>
      </c>
      <c r="AA15">
        <f t="shared" si="3"/>
        <v>-1.6394201551861443E-8</v>
      </c>
      <c r="AB15">
        <f t="shared" si="4"/>
        <v>8.1608029244634802E-6</v>
      </c>
      <c r="AC15">
        <v>646.75244390309865</v>
      </c>
      <c r="AD15">
        <f t="shared" si="30"/>
        <v>44383.475831181611</v>
      </c>
      <c r="AE15">
        <f>+gettm2(AD15,AC15,AK15,AL15,テーブル2[[#This Row],[Fcorr]])</f>
        <v>627.05645045395022</v>
      </c>
      <c r="AF15" s="14">
        <f t="shared" si="6"/>
        <v>0</v>
      </c>
      <c r="AG15">
        <v>8.2179244479264592E-6</v>
      </c>
      <c r="AH15">
        <f t="shared" si="7"/>
        <v>52.108414711899705</v>
      </c>
      <c r="AI15">
        <f t="shared" si="8"/>
        <v>0.30174868889881501</v>
      </c>
      <c r="AJ15">
        <f t="shared" si="9"/>
        <v>21.662940657112514</v>
      </c>
      <c r="AK15">
        <f t="array" ref="AK15">+S15*テーブル2[[#This Row],[F_form]]/(E15*CpFromTP((テーブル2[[#This Row],[Tin]]+テーブル2[[#This Row],[Tf]])/2,テーブル2[[#This Row],[P]])*AI15)</f>
        <v>1.4197655686256432</v>
      </c>
      <c r="AL15">
        <f t="shared" si="10"/>
        <v>1.4674493516224545</v>
      </c>
      <c r="AM15">
        <f t="shared" si="11"/>
        <v>623.74674728767934</v>
      </c>
      <c r="AN15">
        <f t="shared" si="12"/>
        <v>4.4044554670108482E-9</v>
      </c>
      <c r="AO15">
        <f t="shared" si="13"/>
        <v>5.7121523462978988E-8</v>
      </c>
      <c r="AP15">
        <v>2.9463897576416356</v>
      </c>
      <c r="AQ15">
        <f t="shared" si="14"/>
        <v>2.6768737996788069E-5</v>
      </c>
      <c r="AR15">
        <f t="shared" si="15"/>
        <v>4.1375229856947191E-6</v>
      </c>
      <c r="AS15">
        <f t="shared" si="16"/>
        <v>10.906758205736402</v>
      </c>
      <c r="AT15">
        <f t="shared" si="17"/>
        <v>8.8969130798885399</v>
      </c>
      <c r="AU15">
        <f t="shared" si="18"/>
        <v>2.6846318571030849</v>
      </c>
      <c r="AV15">
        <f t="shared" si="19"/>
        <v>0.26175790053855064</v>
      </c>
      <c r="AW15">
        <f t="shared" si="20"/>
        <v>6.1176203562084966E-3</v>
      </c>
      <c r="AX15">
        <f t="shared" si="21"/>
        <v>0.26175789540314331</v>
      </c>
      <c r="AY15">
        <f t="shared" si="22"/>
        <v>5.1354073216103302E-9</v>
      </c>
      <c r="AZ15">
        <f t="shared" si="23"/>
        <v>883760.40977061237</v>
      </c>
      <c r="BA15">
        <f t="shared" si="24"/>
        <v>9.0852671230483905E-6</v>
      </c>
      <c r="BB15" s="15">
        <f t="shared" si="25"/>
        <v>3179901.7422909196</v>
      </c>
      <c r="BC15" s="20">
        <f t="shared" si="26"/>
        <v>2864.5352596696466</v>
      </c>
      <c r="BD15" s="19">
        <f t="shared" si="27"/>
        <v>9.0163730324908042E-2</v>
      </c>
      <c r="BE15" s="15">
        <v>2687029.2575224498</v>
      </c>
      <c r="BF15" s="16">
        <f>テーブル2[[#This Row],[q_P]]/テーブル2[[#This Row],[q_M]]</f>
        <v>1.1834265419286569</v>
      </c>
      <c r="BG15">
        <v>0.61982065892134453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3.1799017422909195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668421.484375</v>
      </c>
      <c r="T16">
        <v>587.81666666666661</v>
      </c>
      <c r="U16" s="12">
        <f>+T16+BG16*S16*テーブル2[[#This Row],[Pw]]*R16/(N16*O16*K16)</f>
        <v>631.33287451271224</v>
      </c>
      <c r="V16">
        <v>0.03</v>
      </c>
      <c r="W16" s="8">
        <f t="shared" si="28"/>
        <v>1148948.3519083303</v>
      </c>
      <c r="X16">
        <v>1.7947228785031476E-2</v>
      </c>
      <c r="Y16">
        <f t="shared" ref="Y16:Y40" si="31">IF(X16&gt;0,1/X16^0.5,1)</f>
        <v>7.46450993592223</v>
      </c>
      <c r="Z16">
        <f t="shared" si="29"/>
        <v>7.464509945170315</v>
      </c>
      <c r="AA16">
        <f t="shared" ref="AA16:AA40" si="32">+Y16-Z16</f>
        <v>-9.2480849644971386E-9</v>
      </c>
      <c r="AB16">
        <f t="shared" ref="AB16:AB40" si="33">32/X16*L16*V16*E16/N16^2</f>
        <v>2.4969487573206528E-5</v>
      </c>
      <c r="AC16">
        <v>624.6766948456368</v>
      </c>
      <c r="AD16">
        <f t="shared" si="30"/>
        <v>27209.729032503245</v>
      </c>
      <c r="AE16">
        <f>+gettm2(AD16,AC16,AK16,AL16,テーブル2[[#This Row],[Fcorr]])</f>
        <v>631.3328747703988</v>
      </c>
      <c r="AF16" s="14">
        <f t="shared" ref="AF16:AF40" si="34">+AE16-U16</f>
        <v>2.5768656541913515E-7</v>
      </c>
      <c r="AG16">
        <v>2.4989123761397571E-5</v>
      </c>
      <c r="AH16">
        <f t="shared" ref="AH16:AH40" si="35">+X16*N16^2/(8*E16)</f>
        <v>26.951462954326068</v>
      </c>
      <c r="AI16">
        <f t="shared" ref="AI16:AI40" si="36">+(AH16/E16)^0.5</f>
        <v>0.21002619511840076</v>
      </c>
      <c r="AJ16">
        <f t="shared" ref="AJ16:AJ40" si="37">+AG16*AI16/I16*E16</f>
        <v>45.566959306804321</v>
      </c>
      <c r="AK16">
        <f t="array" ref="AK16">+S16*テーブル2[[#This Row],[F_form]]/(E16*CpFromTP((テーブル2[[#This Row],[Tin]]+テーブル2[[#This Row],[Tf]])/2,テーブル2[[#This Row],[P]])*AI16)</f>
        <v>0.69447763843689148</v>
      </c>
      <c r="AL16">
        <f t="shared" ref="AL16:AL40" si="38">+K16*I16/J16</f>
        <v>1.1961215883036658</v>
      </c>
      <c r="AM16">
        <f t="shared" ref="AM16:AM40" si="39">+gettyp(AC16,AJ16,AK16,AL16)</f>
        <v>613.05026987715962</v>
      </c>
      <c r="AN16">
        <f t="shared" ref="AN16:AN40" si="40">+C16-AM16</f>
        <v>1.0654048310243525E-8</v>
      </c>
      <c r="AO16">
        <f t="shared" ref="AO16:AO40" si="41">+AG16-AB16</f>
        <v>1.9636188191043383E-8</v>
      </c>
      <c r="AP16">
        <v>2.8786077905397032</v>
      </c>
      <c r="AQ16">
        <f t="shared" ref="AQ16:AQ40" si="42">2*PI()*L16*(D16+E16)/(D16*E16*AP16^2)</f>
        <v>5.289048650195415E-5</v>
      </c>
      <c r="AR16">
        <f t="shared" ref="AR16:AR40" si="43">+AO16+AB16/2</f>
        <v>1.2504379974794307E-5</v>
      </c>
      <c r="AS16">
        <f t="shared" ref="AS16:AS40" si="44">+AR16*AI16/I16*E16</f>
        <v>22.80138266986615</v>
      </c>
      <c r="AT16">
        <f t="shared" ref="AT16:AT40" si="45">+getublp(AS16)</f>
        <v>12.584105887684197</v>
      </c>
      <c r="AU16">
        <f t="shared" ref="AU16:AU40" si="46">+AT16*AI16</f>
        <v>2.6429918785573769</v>
      </c>
      <c r="AV16">
        <f t="shared" ref="AV16:AV40" si="47">+AP16-AU16</f>
        <v>0.23561591198232623</v>
      </c>
      <c r="AW16">
        <f t="shared" ref="AW16:AW40" si="48">2/3*AB16/(L16/(9.8*(E16-D16)))^0.5</f>
        <v>1.5843936821735748E-2</v>
      </c>
      <c r="AX16">
        <f t="shared" ref="AX16:AX40" si="49">+(2*AQ16*9.8*(E16-D16)/(E16*AW16))^0.5</f>
        <v>0.23561591141705601</v>
      </c>
      <c r="AY16">
        <f t="shared" ref="AY16:AY40" si="50">+AV16-AX16</f>
        <v>5.6527021952135215E-10</v>
      </c>
      <c r="AZ16">
        <f t="shared" ref="AZ16:AZ40" si="51">+F16-G16</f>
        <v>1028533.0792909416</v>
      </c>
      <c r="BA16">
        <f t="shared" ref="BA16:BA40" si="52">+AQ16/AP16</f>
        <v>1.8373634183779457E-5</v>
      </c>
      <c r="BB16" s="15">
        <f t="shared" ref="BB16:BB40" si="53">+E16*AO16*AZ16/BA16</f>
        <v>671607.90454016102</v>
      </c>
      <c r="BC16" s="20">
        <f t="shared" ref="BC16:BC40" si="54">BB16-S16</f>
        <v>3186.4201651610201</v>
      </c>
      <c r="BD16" s="19">
        <f t="shared" ref="BD16:BD40" si="55">+(BB16-S16)/S16*100</f>
        <v>0.47670822073297753</v>
      </c>
      <c r="BE16" s="15">
        <v>934294.72739999997</v>
      </c>
      <c r="BF16" s="16">
        <f>テーブル2[[#This Row],[q_P]]/テーブル2[[#This Row],[q_M]]</f>
        <v>0.71883944631598595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0.67160790454016095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955010.77454375022</v>
      </c>
      <c r="T17">
        <v>588.87222222222226</v>
      </c>
      <c r="U17" s="12">
        <f>+T17+BG17*S17*テーブル2[[#This Row],[Pw]]*R17/(N17*O17*K17)</f>
        <v>638.59356415800437</v>
      </c>
      <c r="V17">
        <v>0.03</v>
      </c>
      <c r="W17" s="8">
        <f t="shared" si="28"/>
        <v>1242494.4871012333</v>
      </c>
      <c r="X17">
        <v>1.6437499229920417E-2</v>
      </c>
      <c r="Y17">
        <f t="shared" si="31"/>
        <v>7.7997759423759687</v>
      </c>
      <c r="Z17">
        <f t="shared" si="29"/>
        <v>7.7997759564197757</v>
      </c>
      <c r="AA17">
        <f t="shared" si="32"/>
        <v>-1.4043807006203224E-8</v>
      </c>
      <c r="AB17">
        <f t="shared" si="33"/>
        <v>1.6281267644159479E-5</v>
      </c>
      <c r="AC17">
        <v>640.34658614454941</v>
      </c>
      <c r="AD17">
        <f t="shared" si="30"/>
        <v>28160.30498526575</v>
      </c>
      <c r="AE17">
        <f>+gettm2(AD17,AC17,AK17,AL17,テーブル2[[#This Row],[Fcorr]])</f>
        <v>638.59356457992499</v>
      </c>
      <c r="AF17" s="14">
        <f t="shared" si="34"/>
        <v>4.2192061755486066E-7</v>
      </c>
      <c r="AG17">
        <v>1.6309275365511767E-5</v>
      </c>
      <c r="AH17">
        <f t="shared" si="35"/>
        <v>26.813977177784075</v>
      </c>
      <c r="AI17">
        <f t="shared" si="36"/>
        <v>0.21606894314552855</v>
      </c>
      <c r="AJ17">
        <f t="shared" si="37"/>
        <v>30.778455569638329</v>
      </c>
      <c r="AK17">
        <f t="array" ref="AK17">+S17*テーブル2[[#This Row],[F_form]]/(E17*CpFromTP((テーブル2[[#This Row],[Tin]]+テーブル2[[#This Row],[Tf]])/2,テーブル2[[#This Row],[P]])*AI17)</f>
        <v>0.95814258747102898</v>
      </c>
      <c r="AL17">
        <f t="shared" si="38"/>
        <v>1.4487735538805233</v>
      </c>
      <c r="AM17">
        <f t="shared" si="39"/>
        <v>623.23870131168451</v>
      </c>
      <c r="AN17">
        <f t="shared" si="40"/>
        <v>2.1451910470204893E-8</v>
      </c>
      <c r="AO17">
        <f t="shared" si="41"/>
        <v>2.8007721352288562E-8</v>
      </c>
      <c r="AP17">
        <v>2.5182413985573286</v>
      </c>
      <c r="AQ17">
        <f t="shared" si="42"/>
        <v>3.7944106723492499E-5</v>
      </c>
      <c r="AR17">
        <f t="shared" si="43"/>
        <v>8.1686415434320279E-6</v>
      </c>
      <c r="AS17">
        <f t="shared" si="44"/>
        <v>15.415655519587537</v>
      </c>
      <c r="AT17">
        <f t="shared" si="45"/>
        <v>10.626917926103483</v>
      </c>
      <c r="AU17">
        <f t="shared" si="46"/>
        <v>2.2961469251874513</v>
      </c>
      <c r="AV17">
        <f t="shared" si="47"/>
        <v>0.22209447336987731</v>
      </c>
      <c r="AW17">
        <f t="shared" si="48"/>
        <v>1.2089362096043598E-2</v>
      </c>
      <c r="AX17">
        <f t="shared" si="49"/>
        <v>0.22209446389611892</v>
      </c>
      <c r="AY17">
        <f t="shared" si="50"/>
        <v>9.4737583888893084E-9</v>
      </c>
      <c r="AZ17">
        <f t="shared" si="51"/>
        <v>891419.29711468448</v>
      </c>
      <c r="BA17">
        <f t="shared" si="52"/>
        <v>1.5067700318655009E-5</v>
      </c>
      <c r="BB17" s="15">
        <f t="shared" si="53"/>
        <v>951676.56378213875</v>
      </c>
      <c r="BC17" s="20">
        <f t="shared" si="54"/>
        <v>-3334.2107616114663</v>
      </c>
      <c r="BD17" s="19">
        <f t="shared" si="55"/>
        <v>-0.34912807797423673</v>
      </c>
      <c r="BE17" s="15">
        <v>982919.73179999983</v>
      </c>
      <c r="BF17" s="16">
        <f>テーブル2[[#This Row],[q_P]]/テーブル2[[#This Row],[q_M]]</f>
        <v>0.96821391716224259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0.95167656378213872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1303284.35984375</v>
      </c>
      <c r="T18">
        <v>556.42777777777769</v>
      </c>
      <c r="U18" s="12">
        <f>+T18+BG18*S18*テーブル2[[#This Row],[Pw]]*R18/(N18*O18*K18)</f>
        <v>624.44996717060576</v>
      </c>
      <c r="V18">
        <v>0.03</v>
      </c>
      <c r="W18" s="8">
        <f t="shared" si="28"/>
        <v>1239417.4824278767</v>
      </c>
      <c r="X18">
        <v>1.6451586070915805E-2</v>
      </c>
      <c r="Y18">
        <f t="shared" si="31"/>
        <v>7.7964359077637271</v>
      </c>
      <c r="Z18">
        <f t="shared" si="29"/>
        <v>7.7964359219427264</v>
      </c>
      <c r="AA18">
        <f t="shared" si="32"/>
        <v>-1.4178999308001039E-8</v>
      </c>
      <c r="AB18">
        <f t="shared" si="33"/>
        <v>1.6348198136847576E-5</v>
      </c>
      <c r="AC18">
        <v>654.30604421615317</v>
      </c>
      <c r="AD18">
        <f t="shared" si="30"/>
        <v>28102.6008843729</v>
      </c>
      <c r="AE18">
        <f>+gettm2(AD18,AC18,AK18,AL18,テーブル2[[#This Row],[Fcorr]])</f>
        <v>624.44996773565015</v>
      </c>
      <c r="AF18" s="14">
        <f t="shared" si="34"/>
        <v>5.6504438816773472E-7</v>
      </c>
      <c r="AG18">
        <v>1.6386418200945752E-5</v>
      </c>
      <c r="AH18">
        <f t="shared" si="35"/>
        <v>26.704199165038343</v>
      </c>
      <c r="AI18">
        <f t="shared" si="36"/>
        <v>0.21562618998281938</v>
      </c>
      <c r="AJ18">
        <f t="shared" si="37"/>
        <v>30.860670248717966</v>
      </c>
      <c r="AK18">
        <f t="array" ref="AK18">+S18*テーブル2[[#This Row],[F_form]]/(E18*CpFromTP((テーブル2[[#This Row],[Tin]]+テーブル2[[#This Row],[Tf]])/2,テーブル2[[#This Row],[P]])*AI18)</f>
        <v>1.739305041389795</v>
      </c>
      <c r="AL18">
        <f t="shared" si="38"/>
        <v>1.4487735538805233</v>
      </c>
      <c r="AM18">
        <f t="shared" si="39"/>
        <v>623.23870132546085</v>
      </c>
      <c r="AN18">
        <f t="shared" si="40"/>
        <v>7.6755668487749062E-9</v>
      </c>
      <c r="AO18">
        <f t="shared" si="41"/>
        <v>3.8220064098175196E-8</v>
      </c>
      <c r="AP18">
        <v>2.516750404658318</v>
      </c>
      <c r="AQ18">
        <f t="shared" si="42"/>
        <v>3.7989078358079382E-5</v>
      </c>
      <c r="AR18">
        <f t="shared" si="43"/>
        <v>8.2123191325219634E-6</v>
      </c>
      <c r="AS18">
        <f t="shared" si="44"/>
        <v>15.466325197984425</v>
      </c>
      <c r="AT18">
        <f t="shared" si="45"/>
        <v>10.643325463019297</v>
      </c>
      <c r="AU18">
        <f t="shared" si="46"/>
        <v>2.2949797183379776</v>
      </c>
      <c r="AV18">
        <f t="shared" si="47"/>
        <v>0.22177068632034036</v>
      </c>
      <c r="AW18">
        <f t="shared" si="48"/>
        <v>1.213906012810459E-2</v>
      </c>
      <c r="AX18">
        <f t="shared" si="49"/>
        <v>0.22177066907150705</v>
      </c>
      <c r="AY18">
        <f t="shared" si="50"/>
        <v>1.724883330611604E-8</v>
      </c>
      <c r="AZ18">
        <f t="shared" si="51"/>
        <v>891419.29711468448</v>
      </c>
      <c r="BA18">
        <f t="shared" si="52"/>
        <v>1.5094495778272021E-5</v>
      </c>
      <c r="BB18" s="15">
        <f t="shared" si="53"/>
        <v>1296377.1637133057</v>
      </c>
      <c r="BC18" s="20">
        <f t="shared" si="54"/>
        <v>-6907.1961304442957</v>
      </c>
      <c r="BD18" s="19">
        <f t="shared" si="55"/>
        <v>-0.52998381191901933</v>
      </c>
      <c r="BE18" s="15">
        <v>1274669.7582</v>
      </c>
      <c r="BF18" s="16">
        <f>テーブル2[[#This Row],[q_P]]/テーブル2[[#This Row],[q_M]]</f>
        <v>1.0170298270384632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1.2963771637133057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993451.99203124992</v>
      </c>
      <c r="T19">
        <v>557.53888888888889</v>
      </c>
      <c r="U19" s="12">
        <f>+T19+BG19*S19*テーブル2[[#This Row],[Pw]]*R19/(N19*O19*K19)</f>
        <v>623.29309544606917</v>
      </c>
      <c r="V19">
        <v>0.03</v>
      </c>
      <c r="W19" s="8">
        <f t="shared" si="28"/>
        <v>1136437.7149280838</v>
      </c>
      <c r="X19">
        <v>1.8069825945164094E-2</v>
      </c>
      <c r="Y19">
        <f t="shared" si="31"/>
        <v>7.4391448545865719</v>
      </c>
      <c r="Z19">
        <f t="shared" si="29"/>
        <v>7.4391448717583062</v>
      </c>
      <c r="AA19">
        <f t="shared" si="32"/>
        <v>-1.7171734256749005E-8</v>
      </c>
      <c r="AB19">
        <f t="shared" si="33"/>
        <v>2.5762736125966368E-5</v>
      </c>
      <c r="AC19">
        <v>633.96925237751282</v>
      </c>
      <c r="AD19">
        <f t="shared" si="30"/>
        <v>27005.214656034936</v>
      </c>
      <c r="AE19">
        <f>+gettm2(AD19,AC19,AK19,AL19,テーブル2[[#This Row],[Fcorr]])</f>
        <v>623.29309544606917</v>
      </c>
      <c r="AF19" s="14">
        <f t="shared" si="34"/>
        <v>0</v>
      </c>
      <c r="AG19">
        <v>2.5791874778117186E-5</v>
      </c>
      <c r="AH19">
        <f t="shared" si="35"/>
        <v>26.649769196813612</v>
      </c>
      <c r="AI19">
        <f t="shared" si="36"/>
        <v>0.20853504844415208</v>
      </c>
      <c r="AJ19">
        <f t="shared" si="37"/>
        <v>46.677259443769977</v>
      </c>
      <c r="AK19">
        <f t="array" ref="AK19">+S19*テーブル2[[#This Row],[F_form]]/(E19*CpFromTP((テーブル2[[#This Row],[Tin]]+テーブル2[[#This Row],[Tf]])/2,テーブル2[[#This Row],[P]])*AI19)</f>
        <v>1.2850518428458284</v>
      </c>
      <c r="AL19">
        <f t="shared" si="38"/>
        <v>1.186598293632519</v>
      </c>
      <c r="AM19">
        <f t="shared" si="39"/>
        <v>612.48370253968505</v>
      </c>
      <c r="AN19">
        <f t="shared" si="40"/>
        <v>1.1610381989157759E-8</v>
      </c>
      <c r="AO19">
        <f t="shared" si="41"/>
        <v>2.9138652150818758E-8</v>
      </c>
      <c r="AP19">
        <v>2.8856183113011831</v>
      </c>
      <c r="AQ19">
        <f t="shared" si="42"/>
        <v>5.4186575412714654E-5</v>
      </c>
      <c r="AR19">
        <f t="shared" si="43"/>
        <v>1.2910506715134003E-5</v>
      </c>
      <c r="AS19">
        <f t="shared" si="44"/>
        <v>23.364996793646668</v>
      </c>
      <c r="AT19">
        <f t="shared" si="45"/>
        <v>12.706195194617383</v>
      </c>
      <c r="AU19">
        <f t="shared" si="46"/>
        <v>2.6496870304503881</v>
      </c>
      <c r="AV19">
        <f t="shared" si="47"/>
        <v>0.23593128085079496</v>
      </c>
      <c r="AW19">
        <f t="shared" si="48"/>
        <v>1.6228633277820294E-2</v>
      </c>
      <c r="AX19">
        <f t="shared" si="49"/>
        <v>0.23593128003625569</v>
      </c>
      <c r="AY19">
        <f t="shared" si="50"/>
        <v>8.1453926936703169E-10</v>
      </c>
      <c r="AZ19">
        <f t="shared" si="51"/>
        <v>1035404.645585787</v>
      </c>
      <c r="BA19">
        <f t="shared" si="52"/>
        <v>1.8778150665491461E-5</v>
      </c>
      <c r="BB19" s="15">
        <f t="shared" si="53"/>
        <v>984605.11274772789</v>
      </c>
      <c r="BC19" s="20">
        <f t="shared" si="54"/>
        <v>-8846.8792835220229</v>
      </c>
      <c r="BD19" s="19">
        <f t="shared" si="55"/>
        <v>-0.89051905421552935</v>
      </c>
      <c r="BE19" s="15">
        <v>1180892.9639999999</v>
      </c>
      <c r="BF19" s="16">
        <f>テーブル2[[#This Row],[q_P]]/テーブル2[[#This Row],[q_M]]</f>
        <v>0.83378015007609785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0.98460511274772788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1509189.0330422502</v>
      </c>
      <c r="T20">
        <v>529.53888888888889</v>
      </c>
      <c r="U20" s="12">
        <f>+T20+BG20*S20*テーブル2[[#This Row],[Pw]]*R20/(N20*O20*K20)</f>
        <v>608.4538924301321</v>
      </c>
      <c r="V20">
        <v>0.03</v>
      </c>
      <c r="W20" s="8">
        <f t="shared" si="28"/>
        <v>1224366.1886239857</v>
      </c>
      <c r="X20">
        <v>1.6462010911340728E-2</v>
      </c>
      <c r="Y20">
        <f t="shared" si="31"/>
        <v>7.7939669058850152</v>
      </c>
      <c r="Z20">
        <f t="shared" si="29"/>
        <v>7.7939669201516413</v>
      </c>
      <c r="AA20">
        <f t="shared" si="32"/>
        <v>-1.4266626102710234E-8</v>
      </c>
      <c r="AB20">
        <f t="shared" si="33"/>
        <v>1.6373376592761435E-5</v>
      </c>
      <c r="AC20">
        <v>665.1498440911912</v>
      </c>
      <c r="AD20">
        <f t="shared" si="30"/>
        <v>27770.121591671035</v>
      </c>
      <c r="AE20">
        <f>+gettm2(AD20,AC20,AK20,AL20,テーブル2[[#This Row],[Fcorr]])</f>
        <v>608.4538924301321</v>
      </c>
      <c r="AF20" s="14">
        <f t="shared" si="34"/>
        <v>0</v>
      </c>
      <c r="AG20">
        <v>1.6418983742515858E-5</v>
      </c>
      <c r="AH20">
        <f t="shared" si="35"/>
        <v>25.971826932633167</v>
      </c>
      <c r="AI20">
        <f t="shared" si="36"/>
        <v>0.21303095360291072</v>
      </c>
      <c r="AJ20">
        <f t="shared" si="37"/>
        <v>30.556165830194786</v>
      </c>
      <c r="AK20">
        <f t="array" ref="AK20">+S20*テーブル2[[#This Row],[F_form]]/(E20*CpFromTP((テーブル2[[#This Row],[Tin]]+テーブル2[[#This Row],[Tf]])/2,テーブル2[[#This Row],[P]])*AI20)</f>
        <v>2.3018556324018129</v>
      </c>
      <c r="AL20">
        <f t="shared" si="38"/>
        <v>1.4674493516224545</v>
      </c>
      <c r="AM20">
        <f t="shared" si="39"/>
        <v>623.74674728061336</v>
      </c>
      <c r="AN20">
        <f t="shared" si="40"/>
        <v>1.1470433491922449E-8</v>
      </c>
      <c r="AO20">
        <f t="shared" si="41"/>
        <v>4.5607149754423054E-8</v>
      </c>
      <c r="AP20">
        <v>2.4770787446502553</v>
      </c>
      <c r="AQ20">
        <f t="shared" si="42"/>
        <v>3.7872908952882429E-5</v>
      </c>
      <c r="AR20">
        <f t="shared" si="43"/>
        <v>8.2322954461351404E-6</v>
      </c>
      <c r="AS20">
        <f t="shared" si="44"/>
        <v>15.320520974991748</v>
      </c>
      <c r="AT20">
        <f t="shared" si="45"/>
        <v>10.595965849673767</v>
      </c>
      <c r="AU20">
        <f t="shared" si="46"/>
        <v>2.2572687092998787</v>
      </c>
      <c r="AV20">
        <f t="shared" si="47"/>
        <v>0.21981003535037669</v>
      </c>
      <c r="AW20">
        <f t="shared" si="48"/>
        <v>1.2274049854025896E-2</v>
      </c>
      <c r="AX20">
        <f t="shared" si="49"/>
        <v>0.21981002378344977</v>
      </c>
      <c r="AY20">
        <f t="shared" si="50"/>
        <v>1.1566926916284359E-8</v>
      </c>
      <c r="AZ20">
        <f t="shared" si="51"/>
        <v>883760.40977061237</v>
      </c>
      <c r="BA20">
        <f t="shared" si="52"/>
        <v>1.5289343964004583E-5</v>
      </c>
      <c r="BB20" s="15">
        <f t="shared" si="53"/>
        <v>1508675.0224698167</v>
      </c>
      <c r="BC20" s="20">
        <f t="shared" si="54"/>
        <v>-514.01057243347168</v>
      </c>
      <c r="BD20" s="19">
        <f t="shared" si="55"/>
        <v>-3.4058726983810635E-2</v>
      </c>
      <c r="BE20" s="15">
        <v>1500428.7072000001</v>
      </c>
      <c r="BF20" s="16">
        <f>テーブル2[[#This Row],[q_P]]/テーブル2[[#This Row],[q_M]]</f>
        <v>1.0054959727378219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1.5086750224698167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1746530.1511437499</v>
      </c>
      <c r="T21">
        <v>504.48333333333335</v>
      </c>
      <c r="U21" s="12">
        <f>+T21+BG21*S21*テーブル2[[#This Row],[Pw]]*R21/(N21*O21*K21)</f>
        <v>593.08202540398497</v>
      </c>
      <c r="V21">
        <v>0.03</v>
      </c>
      <c r="W21" s="8">
        <f t="shared" si="28"/>
        <v>1262048.4981628675</v>
      </c>
      <c r="X21">
        <v>1.6290988941210699E-2</v>
      </c>
      <c r="Y21">
        <f t="shared" si="31"/>
        <v>7.834770430461246</v>
      </c>
      <c r="Z21">
        <f t="shared" si="29"/>
        <v>7.8347704419592903</v>
      </c>
      <c r="AA21">
        <f t="shared" si="32"/>
        <v>-1.1498044294455667E-8</v>
      </c>
      <c r="AB21">
        <f t="shared" si="33"/>
        <v>1.5571994950689427E-5</v>
      </c>
      <c r="AC21">
        <v>673.56223901705573</v>
      </c>
      <c r="AD21">
        <f t="shared" si="30"/>
        <v>28475.724309918431</v>
      </c>
      <c r="AE21">
        <f>+gettm2(AD21,AC21,AK21,AL21,テーブル2[[#This Row],[Fcorr]])</f>
        <v>593.08202615068217</v>
      </c>
      <c r="AF21" s="14">
        <f t="shared" si="34"/>
        <v>7.4669719651865307E-7</v>
      </c>
      <c r="AG21">
        <v>1.5623012059238102E-5</v>
      </c>
      <c r="AH21">
        <f t="shared" si="35"/>
        <v>27.308415172020059</v>
      </c>
      <c r="AI21">
        <f t="shared" si="36"/>
        <v>0.21844379342202522</v>
      </c>
      <c r="AJ21">
        <f t="shared" si="37"/>
        <v>29.813595290536643</v>
      </c>
      <c r="AK21">
        <f t="array" ref="AK21">+S21*テーブル2[[#This Row],[F_form]]/(E21*CpFromTP((テーブル2[[#This Row],[Tin]]+テーブル2[[#This Row],[Tf]])/2,テーブル2[[#This Row],[P]])*AI21)</f>
        <v>2.7817459820139714</v>
      </c>
      <c r="AL21">
        <f t="shared" si="38"/>
        <v>1.4674493516224545</v>
      </c>
      <c r="AM21">
        <f t="shared" si="39"/>
        <v>623.74674728300647</v>
      </c>
      <c r="AN21">
        <f t="shared" si="40"/>
        <v>9.0773255578824319E-9</v>
      </c>
      <c r="AO21">
        <f t="shared" si="41"/>
        <v>5.1017108548674731E-8</v>
      </c>
      <c r="AP21">
        <v>2.5106634454397092</v>
      </c>
      <c r="AQ21">
        <f t="shared" si="42"/>
        <v>3.6866447501173083E-5</v>
      </c>
      <c r="AR21">
        <f t="shared" si="43"/>
        <v>7.8370145838933883E-6</v>
      </c>
      <c r="AS21">
        <f t="shared" si="44"/>
        <v>14.955475948190843</v>
      </c>
      <c r="AT21">
        <f t="shared" si="45"/>
        <v>10.475387584654758</v>
      </c>
      <c r="AU21">
        <f t="shared" si="46"/>
        <v>2.2882834015579716</v>
      </c>
      <c r="AV21">
        <f t="shared" si="47"/>
        <v>0.2223800438817376</v>
      </c>
      <c r="AW21">
        <f t="shared" si="48"/>
        <v>1.1673306435515538E-2</v>
      </c>
      <c r="AX21">
        <f t="shared" si="49"/>
        <v>0.22238004044181903</v>
      </c>
      <c r="AY21">
        <f t="shared" si="50"/>
        <v>3.4399185722122638E-9</v>
      </c>
      <c r="AZ21">
        <f t="shared" si="51"/>
        <v>883760.40977061237</v>
      </c>
      <c r="BA21">
        <f t="shared" si="52"/>
        <v>1.4683946415891045E-5</v>
      </c>
      <c r="BB21" s="15">
        <f t="shared" si="53"/>
        <v>1757214.0601004327</v>
      </c>
      <c r="BC21" s="20">
        <f t="shared" si="54"/>
        <v>10683.908956682775</v>
      </c>
      <c r="BD21" s="19">
        <f t="shared" si="55"/>
        <v>0.61172198771868924</v>
      </c>
      <c r="BE21" s="15">
        <v>1757446.5875999997</v>
      </c>
      <c r="BF21" s="16">
        <f>テーブル2[[#This Row],[q_P]]/テーブル2[[#This Row],[q_M]]</f>
        <v>0.99986769014705335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1.7572140601004327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1240031.5992187501</v>
      </c>
      <c r="T22">
        <v>528.26111111111106</v>
      </c>
      <c r="U22" s="12">
        <f>+T22+BG22*S22*テーブル2[[#This Row],[Pw]]*R22/(N22*O22*K22)</f>
        <v>609.31398433161041</v>
      </c>
      <c r="V22">
        <v>0.03</v>
      </c>
      <c r="W22" s="8">
        <f t="shared" si="28"/>
        <v>1150764.9680159315</v>
      </c>
      <c r="X22">
        <v>1.7987417136489485E-2</v>
      </c>
      <c r="Y22">
        <f t="shared" si="31"/>
        <v>7.456166489642114</v>
      </c>
      <c r="Z22">
        <f t="shared" si="29"/>
        <v>7.4561665009139944</v>
      </c>
      <c r="AA22">
        <f t="shared" si="32"/>
        <v>-1.1271880318020067E-8</v>
      </c>
      <c r="AB22">
        <f t="shared" si="33"/>
        <v>2.5240337618482405E-5</v>
      </c>
      <c r="AC22">
        <v>642.32473294466126</v>
      </c>
      <c r="AD22">
        <f t="shared" si="30"/>
        <v>27283.246476804561</v>
      </c>
      <c r="AE22">
        <f>+gettm2(AD22,AC22,AK22,AL22,テーブル2[[#This Row],[Fcorr]])</f>
        <v>609.31398433161041</v>
      </c>
      <c r="AF22" s="14">
        <f t="shared" si="34"/>
        <v>0</v>
      </c>
      <c r="AG22">
        <v>2.5276382604067552E-5</v>
      </c>
      <c r="AH22">
        <f t="shared" si="35"/>
        <v>27.201338667224068</v>
      </c>
      <c r="AI22">
        <f t="shared" si="36"/>
        <v>0.21068201820357418</v>
      </c>
      <c r="AJ22">
        <f t="shared" si="37"/>
        <v>46.215299429149375</v>
      </c>
      <c r="AK22">
        <f t="array" ref="AK22">+S22*テーブル2[[#This Row],[F_form]]/(E22*CpFromTP((テーブル2[[#This Row],[Tin]]+テーブル2[[#This Row],[Tf]])/2,テーブル2[[#This Row],[P]])*AI22)</f>
        <v>1.7874518765933995</v>
      </c>
      <c r="AL22">
        <f t="shared" si="38"/>
        <v>1.186598293632519</v>
      </c>
      <c r="AM22">
        <f t="shared" si="39"/>
        <v>612.48370252649647</v>
      </c>
      <c r="AN22">
        <f t="shared" si="40"/>
        <v>2.4798964659566991E-8</v>
      </c>
      <c r="AO22">
        <f t="shared" si="41"/>
        <v>3.604498558514664E-8</v>
      </c>
      <c r="AP22">
        <v>2.903678857779104</v>
      </c>
      <c r="AQ22">
        <f t="shared" si="42"/>
        <v>5.351460326956076E-5</v>
      </c>
      <c r="AR22">
        <f t="shared" si="43"/>
        <v>1.2656213794826349E-5</v>
      </c>
      <c r="AS22">
        <f t="shared" si="44"/>
        <v>23.140602012928269</v>
      </c>
      <c r="AT22">
        <f t="shared" si="45"/>
        <v>12.657943687716458</v>
      </c>
      <c r="AU22">
        <f t="shared" si="46"/>
        <v>2.6668011224352957</v>
      </c>
      <c r="AV22">
        <f t="shared" si="47"/>
        <v>0.23687773534380829</v>
      </c>
      <c r="AW22">
        <f t="shared" si="48"/>
        <v>1.5899560551950426E-2</v>
      </c>
      <c r="AX22">
        <f t="shared" si="49"/>
        <v>0.23687773379779747</v>
      </c>
      <c r="AY22">
        <f t="shared" si="50"/>
        <v>1.5460108193643407E-9</v>
      </c>
      <c r="AZ22">
        <f t="shared" si="51"/>
        <v>1035404.645585787</v>
      </c>
      <c r="BA22">
        <f t="shared" si="52"/>
        <v>1.8429931783328039E-5</v>
      </c>
      <c r="BB22" s="15">
        <f t="shared" si="53"/>
        <v>1240985.1234315147</v>
      </c>
      <c r="BC22" s="20">
        <f t="shared" si="54"/>
        <v>953.52421276457608</v>
      </c>
      <c r="BD22" s="19">
        <f t="shared" si="55"/>
        <v>7.6895154394881496E-2</v>
      </c>
      <c r="BE22" s="15">
        <v>1389285.8399999999</v>
      </c>
      <c r="BF22" s="16">
        <f>テーブル2[[#This Row],[q_P]]/テーブル2[[#This Row],[q_M]]</f>
        <v>0.89325399259198879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1.2409851234315146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754742.10775625007</v>
      </c>
      <c r="T23">
        <v>590.26111111111106</v>
      </c>
      <c r="U23" s="12">
        <f>+T23+BG23*S23*テーブル2[[#This Row],[Pw]]*R23/(N23*O23*K23)</f>
        <v>630.30149714631182</v>
      </c>
      <c r="V23">
        <v>0.03</v>
      </c>
      <c r="W23" s="8">
        <f t="shared" si="28"/>
        <v>1417824.965573414</v>
      </c>
      <c r="X23">
        <v>1.6693187942087306E-2</v>
      </c>
      <c r="Y23">
        <f t="shared" si="31"/>
        <v>7.7398110504563666</v>
      </c>
      <c r="Z23">
        <f t="shared" si="29"/>
        <v>7.7398110599011058</v>
      </c>
      <c r="AA23">
        <f t="shared" si="32"/>
        <v>-9.4447392129382024E-9</v>
      </c>
      <c r="AB23">
        <f t="shared" si="33"/>
        <v>1.7916480839867945E-5</v>
      </c>
      <c r="AC23">
        <v>623.0283735547456</v>
      </c>
      <c r="AD23">
        <f t="shared" si="30"/>
        <v>32383.014299600702</v>
      </c>
      <c r="AE23">
        <f>+gettm2(AD23,AC23,AK23,AL23,テーブル2[[#This Row],[Fcorr]])</f>
        <v>630.30149738660975</v>
      </c>
      <c r="AF23" s="14">
        <f t="shared" si="34"/>
        <v>2.4029793621593853E-7</v>
      </c>
      <c r="AG23">
        <v>1.7932712125523776E-5</v>
      </c>
      <c r="AH23">
        <f t="shared" si="35"/>
        <v>38.320637728568364</v>
      </c>
      <c r="AI23">
        <f t="shared" si="36"/>
        <v>0.25006257279372485</v>
      </c>
      <c r="AJ23">
        <f t="shared" si="37"/>
        <v>38.916883345564514</v>
      </c>
      <c r="AK23">
        <f t="array" ref="AK23">+S23*テーブル2[[#This Row],[F_form]]/(E23*CpFromTP((テーブル2[[#This Row],[Tin]]+テーブル2[[#This Row],[Tf]])/2,テーブル2[[#This Row],[P]])*AI23)</f>
        <v>0.64830338409727395</v>
      </c>
      <c r="AL23">
        <f t="shared" si="38"/>
        <v>1.186598293632519</v>
      </c>
      <c r="AM23">
        <f t="shared" si="39"/>
        <v>612.48370254561371</v>
      </c>
      <c r="AN23">
        <f t="shared" si="40"/>
        <v>5.6817270888132043E-9</v>
      </c>
      <c r="AO23">
        <f t="shared" si="41"/>
        <v>1.623128565583033E-8</v>
      </c>
      <c r="AP23">
        <v>3.2044830704982417</v>
      </c>
      <c r="AQ23">
        <f t="shared" si="42"/>
        <v>4.3939338249198122E-5</v>
      </c>
      <c r="AR23">
        <f t="shared" si="43"/>
        <v>8.974471705589803E-6</v>
      </c>
      <c r="AS23">
        <f t="shared" si="44"/>
        <v>19.476053929255091</v>
      </c>
      <c r="AT23">
        <f t="shared" si="45"/>
        <v>11.795928536637296</v>
      </c>
      <c r="AU23">
        <f t="shared" si="46"/>
        <v>2.9497202383624401</v>
      </c>
      <c r="AV23">
        <f t="shared" si="47"/>
        <v>0.25476283213580153</v>
      </c>
      <c r="AW23">
        <f t="shared" si="48"/>
        <v>1.1286068209434185E-2</v>
      </c>
      <c r="AX23">
        <f t="shared" si="49"/>
        <v>0.25476283060750005</v>
      </c>
      <c r="AY23">
        <f t="shared" si="50"/>
        <v>1.5283014853650911E-9</v>
      </c>
      <c r="AZ23">
        <f t="shared" si="51"/>
        <v>1035404.645585787</v>
      </c>
      <c r="BA23">
        <f t="shared" si="52"/>
        <v>1.371183347907852E-5</v>
      </c>
      <c r="BB23" s="15">
        <f t="shared" si="53"/>
        <v>751108.77798629203</v>
      </c>
      <c r="BC23" s="20">
        <f t="shared" si="54"/>
        <v>-3633.3297699580435</v>
      </c>
      <c r="BD23" s="19">
        <f t="shared" si="55"/>
        <v>-0.48140016737100566</v>
      </c>
      <c r="BE23" s="15">
        <v>1041964.3799999998</v>
      </c>
      <c r="BF23" s="16">
        <f>テーブル2[[#This Row],[q_P]]/テーブル2[[#This Row],[q_M]]</f>
        <v>0.72085840207540708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0.75110877798629194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1137258.4139062499</v>
      </c>
      <c r="T24">
        <v>589.70555555555552</v>
      </c>
      <c r="U24" s="12">
        <f>+T24+BG24*S24*テーブル2[[#This Row],[Pw]]*R24/(N24*O24*K24)</f>
        <v>637.31392800284368</v>
      </c>
      <c r="V24">
        <v>0.03</v>
      </c>
      <c r="W24" s="8">
        <f t="shared" si="28"/>
        <v>1545271.7469594833</v>
      </c>
      <c r="X24">
        <v>1.5267549608855889E-2</v>
      </c>
      <c r="Y24">
        <f t="shared" si="31"/>
        <v>8.093107890663477</v>
      </c>
      <c r="Z24">
        <f t="shared" si="29"/>
        <v>8.0931078934007719</v>
      </c>
      <c r="AA24">
        <f t="shared" si="32"/>
        <v>-2.73729483524221E-9</v>
      </c>
      <c r="AB24">
        <f t="shared" si="33"/>
        <v>1.1332711520924359E-5</v>
      </c>
      <c r="AC24">
        <v>639.39317766963552</v>
      </c>
      <c r="AD24">
        <f t="shared" si="30"/>
        <v>33753.168307306951</v>
      </c>
      <c r="AE24">
        <f>+gettm2(AD24,AC24,AK24,AL24,テーブル2[[#This Row],[Fcorr]])</f>
        <v>637.31392841476202</v>
      </c>
      <c r="AF24" s="14">
        <f t="shared" si="34"/>
        <v>4.1191833588527516E-7</v>
      </c>
      <c r="AG24">
        <v>1.1358182790652559E-5</v>
      </c>
      <c r="AH24">
        <f t="shared" si="35"/>
        <v>38.522602311885002</v>
      </c>
      <c r="AI24">
        <f t="shared" si="36"/>
        <v>0.25898197508119558</v>
      </c>
      <c r="AJ24">
        <f t="shared" si="37"/>
        <v>25.692017121879719</v>
      </c>
      <c r="AK24">
        <f t="array" ref="AK24">+S24*テーブル2[[#This Row],[F_form]]/(E24*CpFromTP((テーブル2[[#This Row],[Tin]]+テーブル2[[#This Row],[Tf]])/2,テーブル2[[#This Row],[P]])*AI24)</f>
        <v>0.9519274280147344</v>
      </c>
      <c r="AL24">
        <f t="shared" si="38"/>
        <v>1.4487735538805233</v>
      </c>
      <c r="AM24">
        <f t="shared" si="39"/>
        <v>623.23870133054243</v>
      </c>
      <c r="AN24">
        <f t="shared" si="40"/>
        <v>2.593992576294113E-9</v>
      </c>
      <c r="AO24">
        <f t="shared" si="41"/>
        <v>2.5471269728200022E-8</v>
      </c>
      <c r="AP24">
        <v>2.7616911338283692</v>
      </c>
      <c r="AQ24">
        <f t="shared" si="42"/>
        <v>3.1549235526140582E-5</v>
      </c>
      <c r="AR24">
        <f t="shared" si="43"/>
        <v>5.6918270301903794E-6</v>
      </c>
      <c r="AS24">
        <f t="shared" si="44"/>
        <v>12.874816351324757</v>
      </c>
      <c r="AT24">
        <f t="shared" si="45"/>
        <v>9.726365912366461</v>
      </c>
      <c r="AU24">
        <f t="shared" si="46"/>
        <v>2.5189534543470811</v>
      </c>
      <c r="AV24">
        <f t="shared" si="47"/>
        <v>0.2427376794812881</v>
      </c>
      <c r="AW24">
        <f t="shared" si="48"/>
        <v>8.4149008603520477E-3</v>
      </c>
      <c r="AX24">
        <f t="shared" si="49"/>
        <v>0.24273766927084195</v>
      </c>
      <c r="AY24">
        <f t="shared" si="50"/>
        <v>1.0210446155234365E-8</v>
      </c>
      <c r="AZ24">
        <f t="shared" si="51"/>
        <v>891419.29711468448</v>
      </c>
      <c r="BA24">
        <f t="shared" si="52"/>
        <v>1.1423882685391304E-5</v>
      </c>
      <c r="BB24" s="15">
        <f t="shared" si="53"/>
        <v>1141551.2964153367</v>
      </c>
      <c r="BC24" s="20">
        <f t="shared" si="54"/>
        <v>4292.8825090867467</v>
      </c>
      <c r="BD24" s="19">
        <f t="shared" si="55"/>
        <v>0.37747643425574434</v>
      </c>
      <c r="BE24" s="15">
        <v>1142687.6033999999</v>
      </c>
      <c r="BF24" s="16">
        <f>テーブル2[[#This Row],[q_P]]/テーブル2[[#This Row],[q_M]]</f>
        <v>0.99900558386974514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1.1415512964153367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950901.02686874999</v>
      </c>
      <c r="T25">
        <v>587.53888888888889</v>
      </c>
      <c r="U25" s="12">
        <f>+T25+BG25*S25*テーブル2[[#This Row],[Pw]]*R25/(N25*O25*K25)</f>
        <v>629.1685675644685</v>
      </c>
      <c r="V25">
        <v>0.03</v>
      </c>
      <c r="W25" s="8">
        <f t="shared" si="28"/>
        <v>1718124.1902947028</v>
      </c>
      <c r="X25">
        <v>1.5621800486987138E-2</v>
      </c>
      <c r="Y25">
        <f t="shared" si="31"/>
        <v>8.0008192011435852</v>
      </c>
      <c r="Z25">
        <f t="shared" si="29"/>
        <v>8.0008192058973577</v>
      </c>
      <c r="AA25">
        <f t="shared" si="32"/>
        <v>-4.7537724867652287E-9</v>
      </c>
      <c r="AB25">
        <f t="shared" si="33"/>
        <v>1.3037581582869497E-5</v>
      </c>
      <c r="AC25">
        <v>623.91788048922558</v>
      </c>
      <c r="AD25">
        <f t="shared" si="30"/>
        <v>37961.652280068418</v>
      </c>
      <c r="AE25">
        <f>+gettm2(AD25,AC25,AK25,AL25,テーブル2[[#This Row],[Fcorr]])</f>
        <v>629.16856781421495</v>
      </c>
      <c r="AF25" s="14">
        <f t="shared" si="34"/>
        <v>2.4974644929898204E-7</v>
      </c>
      <c r="AG25">
        <v>1.3053377610436084E-5</v>
      </c>
      <c r="AH25">
        <f t="shared" si="35"/>
        <v>52.660914700432144</v>
      </c>
      <c r="AI25">
        <f t="shared" si="36"/>
        <v>0.29314097658820265</v>
      </c>
      <c r="AJ25">
        <f t="shared" si="37"/>
        <v>33.208007045843168</v>
      </c>
      <c r="AK25">
        <f t="array" ref="AK25">+S25*テーブル2[[#This Row],[F_form]]/(E25*CpFromTP((テーブル2[[#This Row],[Tin]]+テーブル2[[#This Row],[Tf]])/2,テーブル2[[#This Row],[P]])*AI25)</f>
        <v>0.72056127325426189</v>
      </c>
      <c r="AL25">
        <f t="shared" si="38"/>
        <v>1.186598293632519</v>
      </c>
      <c r="AM25">
        <f t="shared" si="39"/>
        <v>612.48370254946906</v>
      </c>
      <c r="AN25">
        <f t="shared" si="40"/>
        <v>1.8263790479977615E-9</v>
      </c>
      <c r="AO25">
        <f t="shared" si="41"/>
        <v>1.5796027566587125E-8</v>
      </c>
      <c r="AP25">
        <v>3.4992915183309274</v>
      </c>
      <c r="AQ25">
        <f t="shared" si="42"/>
        <v>3.6847601745701093E-5</v>
      </c>
      <c r="AR25">
        <f t="shared" si="43"/>
        <v>6.5345868190013356E-6</v>
      </c>
      <c r="AS25">
        <f t="shared" si="44"/>
        <v>16.624096199713076</v>
      </c>
      <c r="AT25">
        <f t="shared" si="45"/>
        <v>11.004266105685565</v>
      </c>
      <c r="AU25">
        <f t="shared" si="46"/>
        <v>3.2258013128571239</v>
      </c>
      <c r="AV25">
        <f t="shared" si="47"/>
        <v>0.27349020547380354</v>
      </c>
      <c r="AW25">
        <f t="shared" si="48"/>
        <v>8.212719693417905E-3</v>
      </c>
      <c r="AX25">
        <f t="shared" si="49"/>
        <v>0.27349019329814472</v>
      </c>
      <c r="AY25">
        <f t="shared" si="50"/>
        <v>1.2175658814506107E-8</v>
      </c>
      <c r="AZ25">
        <f t="shared" si="51"/>
        <v>1035404.645585787</v>
      </c>
      <c r="BA25">
        <f t="shared" si="52"/>
        <v>1.053001773435454E-5</v>
      </c>
      <c r="BB25" s="15">
        <f t="shared" si="53"/>
        <v>951840.60416425206</v>
      </c>
      <c r="BC25" s="20">
        <f t="shared" si="54"/>
        <v>939.57729550206568</v>
      </c>
      <c r="BD25" s="19">
        <f t="shared" si="55"/>
        <v>9.8809157730750108E-2</v>
      </c>
      <c r="BE25" s="15">
        <v>1226044.7537999998</v>
      </c>
      <c r="BF25" s="16">
        <f>テーブル2[[#This Row],[q_P]]/テーブル2[[#This Row],[q_M]]</f>
        <v>0.77635061951378193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0.95184060416425198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1293178.49609375</v>
      </c>
      <c r="T26">
        <v>591.03888888888889</v>
      </c>
      <c r="U26" s="12">
        <f>+T26+BG26*S26*テーブル2[[#This Row],[Pw]]*R26/(N26*O26*K26)</f>
        <v>636.38058215701233</v>
      </c>
      <c r="V26">
        <v>0.03</v>
      </c>
      <c r="W26" s="8">
        <f t="shared" si="28"/>
        <v>1844972.002144377</v>
      </c>
      <c r="X26">
        <v>1.4409273835108405E-2</v>
      </c>
      <c r="Y26">
        <f t="shared" si="31"/>
        <v>8.3306512273914564</v>
      </c>
      <c r="Z26">
        <f t="shared" si="29"/>
        <v>8.3306512327619124</v>
      </c>
      <c r="AA26">
        <f t="shared" si="32"/>
        <v>-5.3704560798450984E-9</v>
      </c>
      <c r="AB26">
        <f t="shared" si="33"/>
        <v>8.4234741448604967E-6</v>
      </c>
      <c r="AC26">
        <v>638.33805705849738</v>
      </c>
      <c r="AD26">
        <f t="shared" si="30"/>
        <v>39150.36706632455</v>
      </c>
      <c r="AE26">
        <f>+gettm2(AD26,AC26,AK26,AL26,テーブル2[[#This Row],[Fcorr]])</f>
        <v>636.38058215701221</v>
      </c>
      <c r="AF26" s="14">
        <f t="shared" si="34"/>
        <v>0</v>
      </c>
      <c r="AG26">
        <v>8.4469260648453051E-6</v>
      </c>
      <c r="AH26">
        <f t="shared" si="35"/>
        <v>51.827254589752961</v>
      </c>
      <c r="AI26">
        <f t="shared" si="36"/>
        <v>0.30039370810104249</v>
      </c>
      <c r="AJ26">
        <f t="shared" si="37"/>
        <v>22.162019633443652</v>
      </c>
      <c r="AK26">
        <f t="array" ref="AK26">+S26*テーブル2[[#This Row],[F_form]]/(E26*CpFromTP((テーブル2[[#This Row],[Tin]]+テーブル2[[#This Row],[Tf]])/2,テーブル2[[#This Row],[P]])*AI26)</f>
        <v>0.93321532647525873</v>
      </c>
      <c r="AL26">
        <f t="shared" si="38"/>
        <v>1.4487735538805233</v>
      </c>
      <c r="AM26">
        <f t="shared" si="39"/>
        <v>623.23870133741389</v>
      </c>
      <c r="AN26">
        <f t="shared" si="40"/>
        <v>-4.2774672692758031E-9</v>
      </c>
      <c r="AO26">
        <f t="shared" si="41"/>
        <v>2.3451919984808403E-8</v>
      </c>
      <c r="AP26">
        <v>2.9629729013043731</v>
      </c>
      <c r="AQ26">
        <f t="shared" si="42"/>
        <v>2.7408400552293701E-5</v>
      </c>
      <c r="AR26">
        <f t="shared" si="43"/>
        <v>4.2351889924150567E-6</v>
      </c>
      <c r="AS26">
        <f t="shared" si="44"/>
        <v>11.111774967686529</v>
      </c>
      <c r="AT26">
        <f t="shared" si="45"/>
        <v>8.9900267697943654</v>
      </c>
      <c r="AU26">
        <f t="shared" si="46"/>
        <v>2.7005474773061664</v>
      </c>
      <c r="AV26">
        <f t="shared" si="47"/>
        <v>0.26242542399820667</v>
      </c>
      <c r="AW26">
        <f t="shared" si="48"/>
        <v>6.2546990363130878E-3</v>
      </c>
      <c r="AX26">
        <f t="shared" si="49"/>
        <v>0.26242541763493971</v>
      </c>
      <c r="AY26">
        <f t="shared" si="50"/>
        <v>6.3632669689006605E-9</v>
      </c>
      <c r="AZ26">
        <f t="shared" si="51"/>
        <v>891419.29711468448</v>
      </c>
      <c r="BA26">
        <f t="shared" si="52"/>
        <v>9.2503041591193263E-6</v>
      </c>
      <c r="BB26" s="15">
        <f t="shared" si="53"/>
        <v>1298018.7385118625</v>
      </c>
      <c r="BC26" s="20">
        <f t="shared" si="54"/>
        <v>4840.2424181124661</v>
      </c>
      <c r="BD26" s="19">
        <f t="shared" si="55"/>
        <v>0.37429035765234137</v>
      </c>
      <c r="BE26" s="15">
        <v>1316348.3333999999</v>
      </c>
      <c r="BF26" s="16">
        <f>テーブル2[[#This Row],[q_P]]/テーブル2[[#This Row],[q_M]]</f>
        <v>0.98607542211810006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1.2980187385118624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1497704.5601562501</v>
      </c>
      <c r="T27">
        <v>562.26111111111106</v>
      </c>
      <c r="U27" s="12">
        <f>+T27+BG27*S27*テーブル2[[#This Row],[Pw]]*R27/(N27*O27*K27)</f>
        <v>625.13389876205042</v>
      </c>
      <c r="V27">
        <v>0.03</v>
      </c>
      <c r="W27" s="8">
        <f t="shared" si="28"/>
        <v>1540963.9404167845</v>
      </c>
      <c r="X27">
        <v>1.5281701919476852E-2</v>
      </c>
      <c r="Y27">
        <f t="shared" si="31"/>
        <v>8.0893595284883091</v>
      </c>
      <c r="Z27">
        <f t="shared" si="29"/>
        <v>8.0893595311426321</v>
      </c>
      <c r="AA27">
        <f t="shared" si="32"/>
        <v>-2.6543229836306637E-9</v>
      </c>
      <c r="AB27">
        <f t="shared" si="33"/>
        <v>1.1385607960680792E-5</v>
      </c>
      <c r="AC27">
        <v>650.8606355445047</v>
      </c>
      <c r="AD27">
        <f t="shared" si="30"/>
        <v>33674.67004017171</v>
      </c>
      <c r="AE27">
        <f>+gettm2(AD27,AC27,AK27,AL27,テーブル2[[#This Row],[Fcorr]])</f>
        <v>625.13389929229209</v>
      </c>
      <c r="AF27" s="14">
        <f t="shared" si="34"/>
        <v>5.3024166390969185E-7</v>
      </c>
      <c r="AG27">
        <v>1.1419055849671611E-5</v>
      </c>
      <c r="AH27">
        <f t="shared" si="35"/>
        <v>38.343630005839628</v>
      </c>
      <c r="AI27">
        <f t="shared" si="36"/>
        <v>0.25837967202987772</v>
      </c>
      <c r="AJ27">
        <f t="shared" si="37"/>
        <v>25.769639921556504</v>
      </c>
      <c r="AK27">
        <f t="array" ref="AK27">+S27*テーブル2[[#This Row],[F_form]]/(E27*CpFromTP((テーブル2[[#This Row],[Tin]]+テーブル2[[#This Row],[Tf]])/2,テーブル2[[#This Row],[P]])*AI27)</f>
        <v>1.6261271503989341</v>
      </c>
      <c r="AL27">
        <f t="shared" si="38"/>
        <v>1.4487735538805233</v>
      </c>
      <c r="AM27">
        <f t="shared" si="39"/>
        <v>623.23870132705656</v>
      </c>
      <c r="AN27">
        <f t="shared" si="40"/>
        <v>6.0798583945143037E-9</v>
      </c>
      <c r="AO27">
        <f t="shared" si="41"/>
        <v>3.3447888990819795E-8</v>
      </c>
      <c r="AP27">
        <v>2.7601827412183813</v>
      </c>
      <c r="AQ27">
        <f t="shared" si="42"/>
        <v>3.1583727182214162E-5</v>
      </c>
      <c r="AR27">
        <f t="shared" si="43"/>
        <v>5.7262518693312156E-6</v>
      </c>
      <c r="AS27">
        <f t="shared" si="44"/>
        <v>12.922561262107223</v>
      </c>
      <c r="AT27">
        <f t="shared" si="45"/>
        <v>9.7448735940433089</v>
      </c>
      <c r="AU27">
        <f t="shared" si="46"/>
        <v>2.5178772432015259</v>
      </c>
      <c r="AV27">
        <f t="shared" si="47"/>
        <v>0.2423054980168553</v>
      </c>
      <c r="AW27">
        <f t="shared" si="48"/>
        <v>8.4541781591339071E-3</v>
      </c>
      <c r="AX27">
        <f t="shared" si="49"/>
        <v>0.242305488368354</v>
      </c>
      <c r="AY27">
        <f t="shared" si="50"/>
        <v>9.6485013034719458E-9</v>
      </c>
      <c r="AZ27">
        <f t="shared" si="51"/>
        <v>891419.29711468448</v>
      </c>
      <c r="BA27">
        <f t="shared" si="52"/>
        <v>1.144262179114731E-5</v>
      </c>
      <c r="BB27" s="15">
        <f t="shared" si="53"/>
        <v>1496586.2159831477</v>
      </c>
      <c r="BC27" s="20">
        <f t="shared" si="54"/>
        <v>-1118.3441731024068</v>
      </c>
      <c r="BD27" s="19">
        <f t="shared" si="55"/>
        <v>-7.4670546037847008E-2</v>
      </c>
      <c r="BE27" s="15">
        <v>1444857.2735999997</v>
      </c>
      <c r="BF27" s="16">
        <f>テーブル2[[#This Row],[q_P]]/テーブル2[[#This Row],[q_M]]</f>
        <v>1.0358021123112462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1.4965862159831476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1139853.37890625</v>
      </c>
      <c r="T28">
        <v>563.87222222222226</v>
      </c>
      <c r="U28" s="12">
        <f>+T28+BG28*S28*テーブル2[[#This Row],[Pw]]*R28/(N28*O28*K28)</f>
        <v>624.09999043118751</v>
      </c>
      <c r="V28">
        <v>0.03</v>
      </c>
      <c r="W28" s="8">
        <f t="shared" si="28"/>
        <v>1423555.866808553</v>
      </c>
      <c r="X28">
        <v>1.6669562288415936E-2</v>
      </c>
      <c r="Y28">
        <f t="shared" si="31"/>
        <v>7.7452938983919202</v>
      </c>
      <c r="Z28">
        <f t="shared" si="29"/>
        <v>7.7452939091269748</v>
      </c>
      <c r="AA28">
        <f t="shared" si="32"/>
        <v>-1.0735054623012275E-8</v>
      </c>
      <c r="AB28">
        <f t="shared" si="33"/>
        <v>1.7797704991570021E-5</v>
      </c>
      <c r="AC28">
        <v>631.85784796809185</v>
      </c>
      <c r="AD28">
        <f t="shared" si="30"/>
        <v>32490.891243882081</v>
      </c>
      <c r="AE28">
        <f>+gettm2(AD28,AC28,AK28,AL28,テーブル2[[#This Row],[Fcorr]])</f>
        <v>624.09999043118762</v>
      </c>
      <c r="AF28" s="14">
        <f t="shared" si="34"/>
        <v>0</v>
      </c>
      <c r="AG28">
        <v>1.7822319250919835E-5</v>
      </c>
      <c r="AH28">
        <f t="shared" si="35"/>
        <v>38.576376671071557</v>
      </c>
      <c r="AI28">
        <f t="shared" si="36"/>
        <v>0.25089560167678532</v>
      </c>
      <c r="AJ28">
        <f t="shared" si="37"/>
        <v>38.806157994038777</v>
      </c>
      <c r="AK28">
        <f t="array" ref="AK28">+S28*テーブル2[[#This Row],[F_form]]/(E28*CpFromTP((テーブル2[[#This Row],[Tin]]+テーブル2[[#This Row],[Tf]])/2,テーブル2[[#This Row],[P]])*AI28)</f>
        <v>1.1916755949823794</v>
      </c>
      <c r="AL28">
        <f t="shared" si="38"/>
        <v>1.186598293632519</v>
      </c>
      <c r="AM28">
        <f t="shared" si="39"/>
        <v>612.48370254321412</v>
      </c>
      <c r="AN28">
        <f t="shared" si="40"/>
        <v>8.0813151726033539E-9</v>
      </c>
      <c r="AO28">
        <f t="shared" si="41"/>
        <v>2.4614259349814335E-8</v>
      </c>
      <c r="AP28">
        <v>3.2116127709065836</v>
      </c>
      <c r="AQ28">
        <f t="shared" si="42"/>
        <v>4.3744466320615382E-5</v>
      </c>
      <c r="AR28">
        <f t="shared" si="43"/>
        <v>8.9234667551348248E-6</v>
      </c>
      <c r="AS28">
        <f t="shared" si="44"/>
        <v>19.429876430725606</v>
      </c>
      <c r="AT28">
        <f t="shared" si="45"/>
        <v>11.784059518267554</v>
      </c>
      <c r="AU28">
        <f t="shared" si="46"/>
        <v>2.9565687030307868</v>
      </c>
      <c r="AV28">
        <f t="shared" si="47"/>
        <v>0.25504406787579681</v>
      </c>
      <c r="AW28">
        <f t="shared" si="48"/>
        <v>1.1211248140833388E-2</v>
      </c>
      <c r="AX28">
        <f t="shared" si="49"/>
        <v>0.2550440661676785</v>
      </c>
      <c r="AY28">
        <f t="shared" si="50"/>
        <v>1.7081183134592948E-9</v>
      </c>
      <c r="AZ28">
        <f t="shared" si="51"/>
        <v>1035404.645585787</v>
      </c>
      <c r="BA28">
        <f t="shared" si="52"/>
        <v>1.3620716269684986E-5</v>
      </c>
      <c r="BB28" s="15">
        <f t="shared" si="53"/>
        <v>1146653.6895582648</v>
      </c>
      <c r="BC28" s="20">
        <f t="shared" si="54"/>
        <v>6800.3106520147994</v>
      </c>
      <c r="BD28" s="19">
        <f t="shared" si="55"/>
        <v>0.59659520933649024</v>
      </c>
      <c r="BE28" s="15">
        <v>1312875.1187999998</v>
      </c>
      <c r="BF28" s="16">
        <f>テーブル2[[#This Row],[q_P]]/テーブル2[[#This Row],[q_M]]</f>
        <v>0.87339128690803014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1.1466536895582649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1788354.00390625</v>
      </c>
      <c r="T29">
        <v>531.70555555555552</v>
      </c>
      <c r="U29" s="12">
        <f>+T29+BG29*S29*テーブル2[[#This Row],[Pw]]*R29/(N29*O29*K29)</f>
        <v>606.58559999117165</v>
      </c>
      <c r="V29">
        <v>0.03</v>
      </c>
      <c r="W29" s="8">
        <f t="shared" si="28"/>
        <v>1534377.1293675061</v>
      </c>
      <c r="X29">
        <v>1.5268891371430436E-2</v>
      </c>
      <c r="Y29">
        <f t="shared" si="31"/>
        <v>8.0927522896055279</v>
      </c>
      <c r="Z29">
        <f t="shared" si="29"/>
        <v>8.0927522923370763</v>
      </c>
      <c r="AA29">
        <f t="shared" si="32"/>
        <v>-2.7315483208667501E-9</v>
      </c>
      <c r="AB29">
        <f t="shared" si="33"/>
        <v>1.1324400695231637E-5</v>
      </c>
      <c r="AC29">
        <v>662.00151498820458</v>
      </c>
      <c r="AD29">
        <f t="shared" si="30"/>
        <v>33516.671283355128</v>
      </c>
      <c r="AE29">
        <f>+gettm2(AD29,AC29,AK29,AL29,テーブル2[[#This Row],[Fcorr]])</f>
        <v>606.58559999117165</v>
      </c>
      <c r="AF29" s="14">
        <f t="shared" si="34"/>
        <v>0</v>
      </c>
      <c r="AG29">
        <v>1.1364491571971689E-5</v>
      </c>
      <c r="AH29">
        <f t="shared" si="35"/>
        <v>37.883450093482246</v>
      </c>
      <c r="AI29">
        <f t="shared" si="36"/>
        <v>0.25713150388292377</v>
      </c>
      <c r="AJ29">
        <f t="shared" si="37"/>
        <v>25.526172224310073</v>
      </c>
      <c r="AK29">
        <f t="array" ref="AK29">+S29*テーブル2[[#This Row],[F_form]]/(E29*CpFromTP((テーブル2[[#This Row],[Tin]]+テーブル2[[#This Row],[Tf]])/2,テーブル2[[#This Row],[P]])*AI29)</f>
        <v>2.2557051000539183</v>
      </c>
      <c r="AL29">
        <f t="shared" si="38"/>
        <v>1.4611413919535472</v>
      </c>
      <c r="AM29">
        <f t="shared" si="39"/>
        <v>623.57769162700424</v>
      </c>
      <c r="AN29">
        <f t="shared" si="40"/>
        <v>6.4616187955834903E-9</v>
      </c>
      <c r="AO29">
        <f t="shared" si="41"/>
        <v>4.0090876740052036E-8</v>
      </c>
      <c r="AP29">
        <v>2.7355423834701842</v>
      </c>
      <c r="AQ29">
        <f t="shared" si="42"/>
        <v>3.1418493823781478E-5</v>
      </c>
      <c r="AR29">
        <f t="shared" si="43"/>
        <v>5.7022912243558707E-6</v>
      </c>
      <c r="AS29">
        <f t="shared" si="44"/>
        <v>12.808110855136679</v>
      </c>
      <c r="AT29">
        <f t="shared" si="45"/>
        <v>9.7003931540252175</v>
      </c>
      <c r="AU29">
        <f t="shared" si="46"/>
        <v>2.4942766799501226</v>
      </c>
      <c r="AV29">
        <f t="shared" si="47"/>
        <v>0.2412657035200616</v>
      </c>
      <c r="AW29">
        <f t="shared" si="48"/>
        <v>8.4621202733811459E-3</v>
      </c>
      <c r="AX29">
        <f t="shared" si="49"/>
        <v>0.24126570193798536</v>
      </c>
      <c r="AY29">
        <f t="shared" si="50"/>
        <v>1.5820762477858352E-9</v>
      </c>
      <c r="AZ29">
        <f t="shared" si="51"/>
        <v>886319.53660751623</v>
      </c>
      <c r="BA29">
        <f t="shared" si="52"/>
        <v>1.1485288626354753E-5</v>
      </c>
      <c r="BB29" s="15">
        <f t="shared" si="53"/>
        <v>1772690.4569745613</v>
      </c>
      <c r="BC29" s="20">
        <f t="shared" si="54"/>
        <v>-15663.546931688674</v>
      </c>
      <c r="BD29" s="19">
        <f t="shared" si="55"/>
        <v>-0.8758638892230084</v>
      </c>
      <c r="BE29" s="15">
        <v>1802598.3773999999</v>
      </c>
      <c r="BF29" s="16">
        <f>テーブル2[[#This Row],[q_P]]/テーブル2[[#This Row],[q_M]]</f>
        <v>0.98340843928386501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1.7726904569745612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1727307.76171875</v>
      </c>
      <c r="T30">
        <v>563.15</v>
      </c>
      <c r="U30" s="12">
        <f>+T30+BG30*S30*テーブル2[[#This Row],[Pw]]*R30/(N30*O30*K30)</f>
        <v>623.50897384915709</v>
      </c>
      <c r="V30">
        <v>0.03</v>
      </c>
      <c r="W30" s="8">
        <f t="shared" si="28"/>
        <v>1838537.935470514</v>
      </c>
      <c r="X30">
        <v>1.439434697529866E-2</v>
      </c>
      <c r="Y30">
        <f t="shared" si="31"/>
        <v>8.3349695282571972</v>
      </c>
      <c r="Z30">
        <f t="shared" si="29"/>
        <v>8.3349695329837292</v>
      </c>
      <c r="AA30">
        <f t="shared" si="32"/>
        <v>-4.7265320546330258E-9</v>
      </c>
      <c r="AB30">
        <f t="shared" si="33"/>
        <v>8.3666154533925182E-6</v>
      </c>
      <c r="AC30">
        <v>650.00094961620721</v>
      </c>
      <c r="AD30">
        <f t="shared" si="30"/>
        <v>38993.623109014188</v>
      </c>
      <c r="AE30">
        <f>+gettm2(AD30,AC30,AK30,AL30,テーブル2[[#This Row],[Fcorr]])</f>
        <v>623.50897384915697</v>
      </c>
      <c r="AF30" s="14">
        <f t="shared" si="34"/>
        <v>0</v>
      </c>
      <c r="AG30">
        <v>8.3981783058336328E-6</v>
      </c>
      <c r="AH30">
        <f t="shared" si="35"/>
        <v>51.27609497128833</v>
      </c>
      <c r="AI30">
        <f t="shared" si="36"/>
        <v>0.29914930594089306</v>
      </c>
      <c r="AJ30">
        <f t="shared" si="37"/>
        <v>21.945904499928066</v>
      </c>
      <c r="AK30">
        <f t="array" ref="AK30">+S30*テーブル2[[#This Row],[F_form]]/(E30*CpFromTP((テーブル2[[#This Row],[Tin]]+テーブル2[[#This Row],[Tf]])/2,テーブル2[[#This Row],[P]])*AI30)</f>
        <v>1.6286118987049232</v>
      </c>
      <c r="AL30">
        <f t="shared" si="38"/>
        <v>1.4611413919535472</v>
      </c>
      <c r="AM30">
        <f t="shared" si="39"/>
        <v>623.57769164387946</v>
      </c>
      <c r="AN30">
        <f t="shared" si="40"/>
        <v>-1.0413600648462307E-8</v>
      </c>
      <c r="AO30">
        <f t="shared" si="41"/>
        <v>3.1562852441114611E-8</v>
      </c>
      <c r="AP30">
        <v>2.9375547551611527</v>
      </c>
      <c r="AQ30">
        <f t="shared" si="42"/>
        <v>2.7245847185912295E-5</v>
      </c>
      <c r="AR30">
        <f t="shared" si="43"/>
        <v>4.2148705791373737E-6</v>
      </c>
      <c r="AS30">
        <f t="shared" si="44"/>
        <v>11.014191868854766</v>
      </c>
      <c r="AT30">
        <f t="shared" si="45"/>
        <v>8.9459230557011615</v>
      </c>
      <c r="AU30">
        <f t="shared" si="46"/>
        <v>2.6761666731136358</v>
      </c>
      <c r="AV30">
        <f t="shared" si="47"/>
        <v>0.26138808204751696</v>
      </c>
      <c r="AW30">
        <f t="shared" si="48"/>
        <v>6.2519252146869238E-3</v>
      </c>
      <c r="AX30">
        <f t="shared" si="49"/>
        <v>0.26138807756226046</v>
      </c>
      <c r="AY30">
        <f t="shared" si="50"/>
        <v>4.485256499542345E-9</v>
      </c>
      <c r="AZ30">
        <f t="shared" si="51"/>
        <v>886319.53660751623</v>
      </c>
      <c r="BA30">
        <f t="shared" si="52"/>
        <v>9.2750091340570092E-6</v>
      </c>
      <c r="BB30" s="15">
        <f t="shared" si="53"/>
        <v>1728188.717025348</v>
      </c>
      <c r="BC30" s="20">
        <f t="shared" si="54"/>
        <v>880.95530659798533</v>
      </c>
      <c r="BD30" s="19">
        <f t="shared" si="55"/>
        <v>5.1001641173741646E-2</v>
      </c>
      <c r="BE30" s="15">
        <v>1708821.5831999998</v>
      </c>
      <c r="BF30" s="16">
        <f>テーブル2[[#This Row],[q_P]]/テーブル2[[#This Row],[q_M]]</f>
        <v>1.0113336196217049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1.7281887170253478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1171294.04296875</v>
      </c>
      <c r="T31">
        <v>573.59444444444443</v>
      </c>
      <c r="U31" s="12">
        <f>+T31+BG31*S31*テーブル2[[#This Row],[Pw]]*R31/(N31*O31*K31)</f>
        <v>626.20647864972148</v>
      </c>
      <c r="V31">
        <v>0.03</v>
      </c>
      <c r="W31" s="8">
        <f t="shared" si="28"/>
        <v>1674569.3409076456</v>
      </c>
      <c r="X31">
        <v>1.5758855691055958E-2</v>
      </c>
      <c r="Y31">
        <f t="shared" si="31"/>
        <v>7.9659515513541637</v>
      </c>
      <c r="Z31">
        <f t="shared" si="29"/>
        <v>7.965951562280897</v>
      </c>
      <c r="AA31">
        <f t="shared" si="32"/>
        <v>-1.0926733295946178E-8</v>
      </c>
      <c r="AB31">
        <f t="shared" si="33"/>
        <v>1.3605242318012635E-5</v>
      </c>
      <c r="AC31">
        <v>628.61018686364582</v>
      </c>
      <c r="AD31">
        <f t="shared" si="30"/>
        <v>37161.264692903947</v>
      </c>
      <c r="AE31">
        <f>+gettm2(AD31,AC31,AK31,AL31,テーブル2[[#This Row],[Fcorr]])</f>
        <v>626.20647864972125</v>
      </c>
      <c r="AF31" s="14">
        <f t="shared" si="34"/>
        <v>0</v>
      </c>
      <c r="AG31">
        <v>1.3625237560062736E-5</v>
      </c>
      <c r="AH31">
        <f t="shared" si="35"/>
        <v>50.463707708199458</v>
      </c>
      <c r="AI31">
        <f t="shared" si="36"/>
        <v>0.28696036049648271</v>
      </c>
      <c r="AJ31">
        <f t="shared" si="37"/>
        <v>33.931993328609344</v>
      </c>
      <c r="AK31">
        <f t="array" ref="AK31">+S31*テーブル2[[#This Row],[F_form]]/(E31*CpFromTP((テーブル2[[#This Row],[Tin]]+テーブル2[[#This Row],[Tf]])/2,テーブル2[[#This Row],[P]])*AI31)</f>
        <v>1.0128205654156655</v>
      </c>
      <c r="AL31">
        <f t="shared" si="38"/>
        <v>1.186598293632519</v>
      </c>
      <c r="AM31">
        <f t="shared" si="39"/>
        <v>612.48370254989641</v>
      </c>
      <c r="AN31">
        <f t="shared" si="40"/>
        <v>1.3990302250022069E-9</v>
      </c>
      <c r="AO31">
        <f t="shared" si="41"/>
        <v>1.9995242050101277E-8</v>
      </c>
      <c r="AP31">
        <v>3.4598756938382422</v>
      </c>
      <c r="AQ31">
        <f t="shared" si="42"/>
        <v>3.7691939331431325E-5</v>
      </c>
      <c r="AR31">
        <f t="shared" si="43"/>
        <v>6.8226164010564185E-6</v>
      </c>
      <c r="AS31">
        <f t="shared" si="44"/>
        <v>16.990894520832203</v>
      </c>
      <c r="AT31">
        <f t="shared" si="45"/>
        <v>11.113387920704325</v>
      </c>
      <c r="AU31">
        <f t="shared" si="46"/>
        <v>3.1891018040625694</v>
      </c>
      <c r="AV31">
        <f t="shared" si="47"/>
        <v>0.27077388977567285</v>
      </c>
      <c r="AW31">
        <f t="shared" si="48"/>
        <v>8.5703043013497741E-3</v>
      </c>
      <c r="AX31">
        <f t="shared" si="49"/>
        <v>0.27077387831224403</v>
      </c>
      <c r="AY31">
        <f t="shared" si="50"/>
        <v>1.1463428817304333E-8</v>
      </c>
      <c r="AZ31">
        <f t="shared" si="51"/>
        <v>1035404.645585787</v>
      </c>
      <c r="BA31">
        <f t="shared" si="52"/>
        <v>1.0894015469560831E-5</v>
      </c>
      <c r="BB31" s="15">
        <f t="shared" si="53"/>
        <v>1164619.6810814335</v>
      </c>
      <c r="BC31" s="20">
        <f t="shared" si="54"/>
        <v>-6674.3618873164523</v>
      </c>
      <c r="BD31" s="19">
        <f t="shared" si="55"/>
        <v>-0.56982803996848497</v>
      </c>
      <c r="BE31" s="15">
        <v>1378866.1961999999</v>
      </c>
      <c r="BF31" s="16">
        <f>テーブル2[[#This Row],[q_P]]/テーブル2[[#This Row],[q_M]]</f>
        <v>0.84462124337444366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1.1646196810814335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1414847.3804687499</v>
      </c>
      <c r="T32">
        <v>557.20555555555552</v>
      </c>
      <c r="U32" s="12">
        <f>+T32+BG32*S32*テーブル2[[#This Row],[Pw]]*R32/(N32*O32*K32)</f>
        <v>620.34691693653042</v>
      </c>
      <c r="V32">
        <v>0.03</v>
      </c>
      <c r="W32" s="8">
        <f t="shared" si="28"/>
        <v>1685458.0532544099</v>
      </c>
      <c r="X32">
        <v>1.5724088035081955E-2</v>
      </c>
      <c r="Y32">
        <f t="shared" si="31"/>
        <v>7.9747534779185463</v>
      </c>
      <c r="Z32">
        <f t="shared" si="29"/>
        <v>7.9747534869978196</v>
      </c>
      <c r="AA32">
        <f t="shared" si="32"/>
        <v>-9.0792733331568343E-9</v>
      </c>
      <c r="AB32">
        <f t="shared" si="33"/>
        <v>1.3459715100159322E-5</v>
      </c>
      <c r="AC32">
        <v>633.77915845866471</v>
      </c>
      <c r="AD32">
        <f t="shared" si="30"/>
        <v>37361.619458258676</v>
      </c>
      <c r="AE32">
        <f>+gettm2(AD32,AC32,AK32,AL32,テーブル2[[#This Row],[Fcorr]])</f>
        <v>620.34691728922871</v>
      </c>
      <c r="AF32" s="14">
        <f t="shared" si="34"/>
        <v>3.5269829368189676E-7</v>
      </c>
      <c r="AG32">
        <v>1.3483936789954287E-5</v>
      </c>
      <c r="AH32">
        <f t="shared" si="35"/>
        <v>51.009324233563362</v>
      </c>
      <c r="AI32">
        <f t="shared" si="36"/>
        <v>0.28850750578791728</v>
      </c>
      <c r="AJ32">
        <f t="shared" si="37"/>
        <v>33.761147924004071</v>
      </c>
      <c r="AK32">
        <f t="array" ref="AK32">+S32*テーブル2[[#This Row],[F_form]]/(E32*CpFromTP((テーブル2[[#This Row],[Tin]]+テーブル2[[#This Row],[Tf]])/2,テーブル2[[#This Row],[P]])*AI32)</f>
        <v>1.338517606313548</v>
      </c>
      <c r="AL32">
        <f t="shared" si="38"/>
        <v>1.186598293632519</v>
      </c>
      <c r="AM32">
        <f t="shared" si="39"/>
        <v>612.48370254701933</v>
      </c>
      <c r="AN32">
        <f t="shared" si="40"/>
        <v>4.2761030272231437E-9</v>
      </c>
      <c r="AO32">
        <f t="shared" si="41"/>
        <v>2.4221689794964906E-8</v>
      </c>
      <c r="AP32">
        <v>3.4708601729310575</v>
      </c>
      <c r="AQ32">
        <f t="shared" si="42"/>
        <v>3.7453744100493985E-5</v>
      </c>
      <c r="AR32">
        <f t="shared" si="43"/>
        <v>6.7540792398746259E-6</v>
      </c>
      <c r="AS32">
        <f t="shared" si="44"/>
        <v>16.910897155624035</v>
      </c>
      <c r="AT32">
        <f t="shared" si="45"/>
        <v>11.089791081206998</v>
      </c>
      <c r="AU32">
        <f t="shared" si="46"/>
        <v>3.1994879645481218</v>
      </c>
      <c r="AV32">
        <f t="shared" si="47"/>
        <v>0.27137220838293574</v>
      </c>
      <c r="AW32">
        <f t="shared" si="48"/>
        <v>8.4786328329570001E-3</v>
      </c>
      <c r="AX32">
        <f t="shared" si="49"/>
        <v>0.2713721966629275</v>
      </c>
      <c r="AY32">
        <f t="shared" si="50"/>
        <v>1.1720008241677959E-8</v>
      </c>
      <c r="AZ32">
        <f t="shared" si="51"/>
        <v>1035404.645585787</v>
      </c>
      <c r="BA32">
        <f t="shared" si="52"/>
        <v>1.079091125381326E-5</v>
      </c>
      <c r="BB32" s="15">
        <f t="shared" si="53"/>
        <v>1424268.1544034772</v>
      </c>
      <c r="BC32" s="20">
        <f t="shared" si="54"/>
        <v>9420.7739347273018</v>
      </c>
      <c r="BD32" s="19">
        <f t="shared" si="55"/>
        <v>0.66585089422197086</v>
      </c>
      <c r="BE32" s="15">
        <v>1618518.0035999999</v>
      </c>
      <c r="BF32" s="16">
        <f>テーブル2[[#This Row],[q_P]]/テーブル2[[#This Row],[q_M]]</f>
        <v>0.87998289251990947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1.4242681544034772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1442710.48484375</v>
      </c>
      <c r="T33">
        <v>534.98333333333335</v>
      </c>
      <c r="U33" s="12">
        <f>+T33+BG33*S33*テーブル2[[#This Row],[Pw]]*R33/(N33*O33*K33)</f>
        <v>610.90786291058157</v>
      </c>
      <c r="V33">
        <v>0.03</v>
      </c>
      <c r="W33" s="8">
        <f t="shared" si="28"/>
        <v>1429286.7680436922</v>
      </c>
      <c r="X33">
        <v>1.6646081566640145E-2</v>
      </c>
      <c r="Y33">
        <f t="shared" si="31"/>
        <v>7.7507546730943346</v>
      </c>
      <c r="Z33">
        <f t="shared" si="29"/>
        <v>7.7507546848786424</v>
      </c>
      <c r="AA33">
        <f t="shared" si="32"/>
        <v>-1.1784307751838696E-8</v>
      </c>
      <c r="AB33">
        <f t="shared" si="33"/>
        <v>1.7680171212762467E-5</v>
      </c>
      <c r="AC33">
        <v>640.2651373755175</v>
      </c>
      <c r="AD33">
        <f t="shared" si="30"/>
        <v>32598.708402301083</v>
      </c>
      <c r="AE33">
        <f>+gettm2(AD33,AC33,AK33,AL33,テーブル2[[#This Row],[Fcorr]])</f>
        <v>610.90786291058134</v>
      </c>
      <c r="AF33" s="14">
        <f t="shared" si="34"/>
        <v>0</v>
      </c>
      <c r="AG33">
        <v>1.7711132546260257E-5</v>
      </c>
      <c r="AH33">
        <f t="shared" si="35"/>
        <v>38.832823696854994</v>
      </c>
      <c r="AI33">
        <f t="shared" si="36"/>
        <v>0.25172816889168775</v>
      </c>
      <c r="AJ33">
        <f t="shared" si="37"/>
        <v>38.69203131130579</v>
      </c>
      <c r="AK33">
        <f t="array" ref="AK33">+S33*テーブル2[[#This Row],[F_form]]/(E33*CpFromTP((テーブル2[[#This Row],[Tin]]+テーブル2[[#This Row],[Tf]])/2,テーブル2[[#This Row],[P]])*AI33)</f>
        <v>1.7095700396661577</v>
      </c>
      <c r="AL33">
        <f t="shared" si="38"/>
        <v>1.186598293632519</v>
      </c>
      <c r="AM33">
        <f t="shared" si="39"/>
        <v>612.48370254249005</v>
      </c>
      <c r="AN33">
        <f t="shared" si="40"/>
        <v>8.8053866420523264E-9</v>
      </c>
      <c r="AO33">
        <f t="shared" si="41"/>
        <v>3.0961333497789853E-8</v>
      </c>
      <c r="AP33">
        <v>3.2184784595860232</v>
      </c>
      <c r="AQ33">
        <f t="shared" si="42"/>
        <v>4.3558033165137885E-5</v>
      </c>
      <c r="AR33">
        <f t="shared" si="43"/>
        <v>8.8710469398790232E-6</v>
      </c>
      <c r="AS33">
        <f t="shared" si="44"/>
        <v>19.379834974716974</v>
      </c>
      <c r="AT33">
        <f t="shared" si="45"/>
        <v>11.771165455949417</v>
      </c>
      <c r="AU33">
        <f t="shared" si="46"/>
        <v>2.9631339259472353</v>
      </c>
      <c r="AV33">
        <f t="shared" si="47"/>
        <v>0.25534453363878784</v>
      </c>
      <c r="AW33">
        <f t="shared" si="48"/>
        <v>1.1137210484867889E-2</v>
      </c>
      <c r="AX33">
        <f t="shared" si="49"/>
        <v>0.25534453174890992</v>
      </c>
      <c r="AY33">
        <f t="shared" si="50"/>
        <v>1.88987792082429E-9</v>
      </c>
      <c r="AZ33">
        <f t="shared" si="51"/>
        <v>1035404.645585787</v>
      </c>
      <c r="BA33">
        <f t="shared" si="52"/>
        <v>1.3533734561871369E-5</v>
      </c>
      <c r="BB33" s="15">
        <f t="shared" si="53"/>
        <v>1451601.6389527679</v>
      </c>
      <c r="BC33" s="20">
        <f t="shared" si="54"/>
        <v>8891.1541090179235</v>
      </c>
      <c r="BD33" s="19">
        <f t="shared" si="55"/>
        <v>0.61628124300911724</v>
      </c>
      <c r="BE33" s="15">
        <v>1608098.3597999997</v>
      </c>
      <c r="BF33" s="16">
        <f>テーブル2[[#This Row],[q_P]]/テーブル2[[#This Row],[q_M]]</f>
        <v>0.90268212146756033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1.4516016389527679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1364022.10203125</v>
      </c>
      <c r="T34">
        <v>510.81666666666661</v>
      </c>
      <c r="U34" s="12">
        <f>+T34+BG34*S34*テーブル2[[#This Row],[Pw]]*R34/(N34*O34*K34)</f>
        <v>599.88528613114852</v>
      </c>
      <c r="V34">
        <v>0.03</v>
      </c>
      <c r="W34" s="8">
        <f t="shared" si="28"/>
        <v>1151911.1482629592</v>
      </c>
      <c r="X34">
        <v>1.7980892766135202E-2</v>
      </c>
      <c r="Y34">
        <f t="shared" si="31"/>
        <v>7.4575191026675158</v>
      </c>
      <c r="Z34">
        <f t="shared" si="29"/>
        <v>7.4575191136027144</v>
      </c>
      <c r="AA34">
        <f t="shared" si="32"/>
        <v>-1.093519852446434E-8</v>
      </c>
      <c r="AB34">
        <f t="shared" si="33"/>
        <v>2.5199273325269434E-5</v>
      </c>
      <c r="AC34">
        <v>646.89684467676489</v>
      </c>
      <c r="AD34">
        <f t="shared" si="30"/>
        <v>27305.467577339827</v>
      </c>
      <c r="AE34">
        <f>+gettm2(AD34,AC34,AK34,AL34,テーブル2[[#This Row],[Fcorr]])</f>
        <v>599.8852866110891</v>
      </c>
      <c r="AF34" s="14">
        <f t="shared" si="34"/>
        <v>4.7994058149924967E-7</v>
      </c>
      <c r="AG34">
        <v>2.5238563873363364E-5</v>
      </c>
      <c r="AH34">
        <f t="shared" si="35"/>
        <v>27.245665490954185</v>
      </c>
      <c r="AI34">
        <f t="shared" si="36"/>
        <v>0.21085361018444254</v>
      </c>
      <c r="AJ34">
        <f t="shared" si="37"/>
        <v>46.183735893342977</v>
      </c>
      <c r="AK34">
        <f t="array" ref="AK34">+S34*テーブル2[[#This Row],[F_form]]/(E34*CpFromTP((テーブル2[[#This Row],[Tin]]+テーブル2[[#This Row],[Tf]])/2,テーブル2[[#This Row],[P]])*AI34)</f>
        <v>2.0615283213135798</v>
      </c>
      <c r="AL34">
        <f t="shared" si="38"/>
        <v>1.186598293632519</v>
      </c>
      <c r="AM34">
        <f t="shared" si="39"/>
        <v>612.48370250223741</v>
      </c>
      <c r="AN34">
        <f t="shared" si="40"/>
        <v>4.9058030526794028E-8</v>
      </c>
      <c r="AO34">
        <f t="shared" si="41"/>
        <v>3.9290548093929819E-8</v>
      </c>
      <c r="AP34">
        <v>2.9053266724137439</v>
      </c>
      <c r="AQ34">
        <f t="shared" si="42"/>
        <v>5.345391671053805E-5</v>
      </c>
      <c r="AR34">
        <f t="shared" si="43"/>
        <v>1.2638927210728647E-5</v>
      </c>
      <c r="AS34">
        <f t="shared" si="44"/>
        <v>23.127816590686646</v>
      </c>
      <c r="AT34">
        <f t="shared" si="45"/>
        <v>12.655180372489156</v>
      </c>
      <c r="AU34">
        <f t="shared" si="46"/>
        <v>2.668390469074637</v>
      </c>
      <c r="AV34">
        <f t="shared" si="47"/>
        <v>0.23693620333910692</v>
      </c>
      <c r="AW34">
        <f t="shared" si="48"/>
        <v>1.5873693060543155E-2</v>
      </c>
      <c r="AX34">
        <f t="shared" si="49"/>
        <v>0.2369362017211433</v>
      </c>
      <c r="AY34">
        <f t="shared" si="50"/>
        <v>1.6179636241897555E-9</v>
      </c>
      <c r="AZ34">
        <f t="shared" si="51"/>
        <v>1035404.645585787</v>
      </c>
      <c r="BA34">
        <f t="shared" si="52"/>
        <v>1.8398590842842661E-5</v>
      </c>
      <c r="BB34" s="15">
        <f t="shared" si="53"/>
        <v>1355030.1937619823</v>
      </c>
      <c r="BC34" s="20">
        <f t="shared" si="54"/>
        <v>-8991.9082692677621</v>
      </c>
      <c r="BD34" s="19">
        <f t="shared" si="55"/>
        <v>-0.65922012963553545</v>
      </c>
      <c r="BE34" s="15">
        <v>1583785.8576000002</v>
      </c>
      <c r="BF34" s="16">
        <f>テーブル2[[#This Row],[q_P]]/テーブル2[[#This Row],[q_M]]</f>
        <v>0.85556401912524693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1.3550301937619822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1590596.71015625</v>
      </c>
      <c r="T35">
        <v>515.87222222222226</v>
      </c>
      <c r="U35" s="12">
        <f>+T35+BG35*S35*テーブル2[[#This Row],[Pw]]*R35/(N35*O35*K35)</f>
        <v>600.49558925308497</v>
      </c>
      <c r="V35">
        <v>0.03</v>
      </c>
      <c r="W35" s="8">
        <f t="shared" si="28"/>
        <v>1413813.3347088164</v>
      </c>
      <c r="X35">
        <v>1.67098129407534E-2</v>
      </c>
      <c r="Y35">
        <f t="shared" si="31"/>
        <v>7.7359598293180518</v>
      </c>
      <c r="Z35">
        <f t="shared" si="29"/>
        <v>7.7359598377011789</v>
      </c>
      <c r="AA35">
        <f t="shared" si="32"/>
        <v>-8.3831270814016534E-9</v>
      </c>
      <c r="AB35">
        <f t="shared" si="33"/>
        <v>1.8000372639109338E-5</v>
      </c>
      <c r="AC35">
        <v>645.24780436165179</v>
      </c>
      <c r="AD35">
        <f t="shared" si="30"/>
        <v>32307.464696100233</v>
      </c>
      <c r="AE35">
        <f>+gettm2(AD35,AC35,AK35,AL35,テーブル2[[#This Row],[Fcorr]])</f>
        <v>600.49558925308497</v>
      </c>
      <c r="AF35" s="14">
        <f t="shared" si="34"/>
        <v>0</v>
      </c>
      <c r="AG35">
        <v>1.8034783666700574E-5</v>
      </c>
      <c r="AH35">
        <f t="shared" si="35"/>
        <v>38.142042134378137</v>
      </c>
      <c r="AI35">
        <f t="shared" si="36"/>
        <v>0.24947917657093699</v>
      </c>
      <c r="AJ35">
        <f t="shared" si="37"/>
        <v>39.047085171918226</v>
      </c>
      <c r="AK35">
        <f t="array" ref="AK35">+S35*テーブル2[[#This Row],[F_form]]/(E35*CpFromTP((テーブル2[[#This Row],[Tin]]+テーブル2[[#This Row],[Tf]])/2,テーブル2[[#This Row],[P]])*AI35)</f>
        <v>2.0133562172881723</v>
      </c>
      <c r="AL35">
        <f t="shared" si="38"/>
        <v>1.186598293632519</v>
      </c>
      <c r="AM35">
        <f t="shared" si="39"/>
        <v>612.48370255042528</v>
      </c>
      <c r="AN35">
        <f t="shared" si="40"/>
        <v>8.7015905592124909E-10</v>
      </c>
      <c r="AO35">
        <f t="shared" si="41"/>
        <v>3.4411027591235265E-8</v>
      </c>
      <c r="AP35">
        <v>3.2025741523740585</v>
      </c>
      <c r="AQ35">
        <f t="shared" si="42"/>
        <v>4.3991734598379575E-5</v>
      </c>
      <c r="AR35">
        <f t="shared" si="43"/>
        <v>9.0345973471459045E-6</v>
      </c>
      <c r="AS35">
        <f t="shared" si="44"/>
        <v>19.560794220080158</v>
      </c>
      <c r="AT35">
        <f t="shared" si="45"/>
        <v>11.817636340404578</v>
      </c>
      <c r="AU35">
        <f t="shared" si="46"/>
        <v>2.9482541832189151</v>
      </c>
      <c r="AV35">
        <f t="shared" si="47"/>
        <v>0.25431996915514343</v>
      </c>
      <c r="AW35">
        <f t="shared" si="48"/>
        <v>1.1338913886937084E-2</v>
      </c>
      <c r="AX35">
        <f t="shared" si="49"/>
        <v>0.25431996768337978</v>
      </c>
      <c r="AY35">
        <f t="shared" si="50"/>
        <v>1.4717636553918112E-9</v>
      </c>
      <c r="AZ35">
        <f t="shared" si="51"/>
        <v>1035404.645585787</v>
      </c>
      <c r="BA35">
        <f t="shared" si="52"/>
        <v>1.3736367217529885E-5</v>
      </c>
      <c r="BB35" s="15">
        <f t="shared" si="53"/>
        <v>1589539.0304738276</v>
      </c>
      <c r="BC35" s="20">
        <f t="shared" si="54"/>
        <v>-1057.6796824224293</v>
      </c>
      <c r="BD35" s="19">
        <f t="shared" si="55"/>
        <v>-6.649577958189852E-2</v>
      </c>
      <c r="BE35" s="15">
        <v>1795651.9481999998</v>
      </c>
      <c r="BF35" s="16">
        <f>テーブル2[[#This Row],[q_P]]/テーブル2[[#This Row],[q_M]]</f>
        <v>0.88521555197109092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1.5895390304738275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1474922.71265625</v>
      </c>
      <c r="T36">
        <v>498.03888888888889</v>
      </c>
      <c r="U36" s="12">
        <f>+T36+BG36*S36*テーブル2[[#This Row],[Pw]]*R36/(N36*O36*K36)</f>
        <v>593.02595083113704</v>
      </c>
      <c r="V36">
        <v>0.03</v>
      </c>
      <c r="W36" s="8">
        <f t="shared" si="28"/>
        <v>1167957.6717213488</v>
      </c>
      <c r="X36">
        <v>1.7890589814481706E-2</v>
      </c>
      <c r="Y36">
        <f t="shared" si="31"/>
        <v>7.4763163681007336</v>
      </c>
      <c r="Z36">
        <f t="shared" si="29"/>
        <v>7.4763163747504882</v>
      </c>
      <c r="AA36">
        <f t="shared" si="32"/>
        <v>-6.6497545248012102E-9</v>
      </c>
      <c r="AB36">
        <f t="shared" si="33"/>
        <v>2.4635328916945323E-5</v>
      </c>
      <c r="AC36">
        <v>650.26342683003668</v>
      </c>
      <c r="AD36">
        <f t="shared" si="30"/>
        <v>27616.233354462089</v>
      </c>
      <c r="AE36">
        <f>+gettm2(AD36,AC36,AK36,AL36,テーブル2[[#This Row],[Fcorr]])</f>
        <v>593.02595083113692</v>
      </c>
      <c r="AF36" s="14">
        <f t="shared" si="34"/>
        <v>0</v>
      </c>
      <c r="AG36">
        <v>2.4676962150180358E-5</v>
      </c>
      <c r="AH36">
        <f t="shared" si="35"/>
        <v>27.869364925067444</v>
      </c>
      <c r="AI36">
        <f t="shared" si="36"/>
        <v>0.21325335250133956</v>
      </c>
      <c r="AJ36">
        <f t="shared" si="37"/>
        <v>45.669992775806371</v>
      </c>
      <c r="AK36">
        <f t="array" ref="AK36">+S36*テーブル2[[#This Row],[F_form]]/(E36*CpFromTP((テーブル2[[#This Row],[Tin]]+テーブル2[[#This Row],[Tf]])/2,テーブル2[[#This Row],[P]])*AI36)</f>
        <v>2.2670021852037805</v>
      </c>
      <c r="AL36">
        <f t="shared" si="38"/>
        <v>1.186598293632519</v>
      </c>
      <c r="AM36">
        <f t="shared" si="39"/>
        <v>612.4837024918462</v>
      </c>
      <c r="AN36">
        <f t="shared" si="40"/>
        <v>5.9449234868225176E-8</v>
      </c>
      <c r="AO36">
        <f t="shared" si="41"/>
        <v>4.1633233235035031E-8</v>
      </c>
      <c r="AP36">
        <v>2.9249925605554488</v>
      </c>
      <c r="AQ36">
        <f t="shared" si="42"/>
        <v>5.2737549168232502E-5</v>
      </c>
      <c r="AR36">
        <f t="shared" si="43"/>
        <v>1.2359297691707697E-5</v>
      </c>
      <c r="AS36">
        <f t="shared" si="44"/>
        <v>22.873521986181977</v>
      </c>
      <c r="AT36">
        <f t="shared" si="45"/>
        <v>12.599899982240874</v>
      </c>
      <c r="AU36">
        <f t="shared" si="46"/>
        <v>2.6869709123944352</v>
      </c>
      <c r="AV36">
        <f t="shared" si="47"/>
        <v>0.23802164816101357</v>
      </c>
      <c r="AW36">
        <f t="shared" si="48"/>
        <v>1.5518449465801486E-2</v>
      </c>
      <c r="AX36">
        <f t="shared" si="49"/>
        <v>0.23802164560769484</v>
      </c>
      <c r="AY36">
        <f t="shared" si="50"/>
        <v>2.5533187231197019E-9</v>
      </c>
      <c r="AZ36">
        <f t="shared" si="51"/>
        <v>1035404.645585787</v>
      </c>
      <c r="BA36">
        <f t="shared" si="52"/>
        <v>1.8029977197007906E-5</v>
      </c>
      <c r="BB36" s="15">
        <f t="shared" si="53"/>
        <v>1465178.0671304977</v>
      </c>
      <c r="BC36" s="20">
        <f t="shared" si="54"/>
        <v>-9744.6455257523339</v>
      </c>
      <c r="BD36" s="19">
        <f t="shared" si="55"/>
        <v>-0.66068855283968031</v>
      </c>
      <c r="BE36" s="15">
        <v>1691455.5101999997</v>
      </c>
      <c r="BF36" s="16">
        <f>テーブル2[[#This Row],[q_P]]/テーブル2[[#This Row],[q_M]]</f>
        <v>0.86622323690751601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1.4651780671304977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1646908.10546875</v>
      </c>
      <c r="T37">
        <v>548.03888888888889</v>
      </c>
      <c r="U37" s="12">
        <f>+T37+BG37*S37*テーブル2[[#This Row],[Pw]]*R37/(N37*O37*K37)</f>
        <v>616.8249390166327</v>
      </c>
      <c r="V37">
        <v>0.03</v>
      </c>
      <c r="W37" s="8">
        <f t="shared" si="28"/>
        <v>1543526.988873719</v>
      </c>
      <c r="X37">
        <v>1.5256082746684437E-2</v>
      </c>
      <c r="Y37">
        <f t="shared" si="31"/>
        <v>8.0961488128523058</v>
      </c>
      <c r="Z37">
        <f t="shared" si="29"/>
        <v>8.0961488156324393</v>
      </c>
      <c r="AA37">
        <f t="shared" si="32"/>
        <v>-2.7801334567811864E-9</v>
      </c>
      <c r="AB37">
        <f t="shared" si="33"/>
        <v>1.1283359577166686E-5</v>
      </c>
      <c r="AC37">
        <v>656.26415767612593</v>
      </c>
      <c r="AD37">
        <f t="shared" si="30"/>
        <v>33702.394373126059</v>
      </c>
      <c r="AE37">
        <f>+gettm2(AD37,AC37,AK37,AL37,テーブル2[[#This Row],[Fcorr]])</f>
        <v>616.82493959999476</v>
      </c>
      <c r="AF37" s="14">
        <f t="shared" si="34"/>
        <v>5.8336206620879238E-7</v>
      </c>
      <c r="AG37">
        <v>1.1320121944945197E-5</v>
      </c>
      <c r="AH37">
        <f t="shared" si="35"/>
        <v>38.355631019331</v>
      </c>
      <c r="AI37">
        <f t="shared" si="36"/>
        <v>0.25857419900883644</v>
      </c>
      <c r="AJ37">
        <f t="shared" si="37"/>
        <v>25.567405867704366</v>
      </c>
      <c r="AK37">
        <f t="array" ref="AK37">+S37*テーブル2[[#This Row],[F_form]]/(E37*CpFromTP((テーブル2[[#This Row],[Tin]]+テーブル2[[#This Row],[Tf]])/2,テーブル2[[#This Row],[P]])*AI37)</f>
        <v>1.9334632161457466</v>
      </c>
      <c r="AL37">
        <f t="shared" si="38"/>
        <v>1.4549166438635874</v>
      </c>
      <c r="AM37">
        <f t="shared" si="39"/>
        <v>623.40834328776396</v>
      </c>
      <c r="AN37">
        <f t="shared" si="40"/>
        <v>4.2430201574461535E-9</v>
      </c>
      <c r="AO37">
        <f t="shared" si="41"/>
        <v>3.6762367778511135E-8</v>
      </c>
      <c r="AP37">
        <v>2.7521704186736904</v>
      </c>
      <c r="AQ37">
        <f t="shared" si="42"/>
        <v>3.1402563555483152E-5</v>
      </c>
      <c r="AR37">
        <f t="shared" si="43"/>
        <v>5.6784421563618539E-6</v>
      </c>
      <c r="AS37">
        <f t="shared" si="44"/>
        <v>12.825218316028375</v>
      </c>
      <c r="AT37">
        <f t="shared" si="45"/>
        <v>9.7070670680211002</v>
      </c>
      <c r="AU37">
        <f t="shared" si="46"/>
        <v>2.5099970918386103</v>
      </c>
      <c r="AV37">
        <f t="shared" si="47"/>
        <v>0.24217332683508008</v>
      </c>
      <c r="AW37">
        <f t="shared" si="48"/>
        <v>8.4047397913388881E-3</v>
      </c>
      <c r="AX37">
        <f t="shared" si="49"/>
        <v>0.24217331990996696</v>
      </c>
      <c r="AY37">
        <f t="shared" si="50"/>
        <v>6.9251131218361905E-9</v>
      </c>
      <c r="AZ37">
        <f t="shared" si="51"/>
        <v>888872.47317885025</v>
      </c>
      <c r="BA37">
        <f t="shared" si="52"/>
        <v>1.1410108670020691E-5</v>
      </c>
      <c r="BB37" s="15">
        <f t="shared" si="53"/>
        <v>1642902.9442623714</v>
      </c>
      <c r="BC37" s="20">
        <f t="shared" si="54"/>
        <v>-4005.1612063786015</v>
      </c>
      <c r="BD37" s="19">
        <f t="shared" si="55"/>
        <v>-0.24319275575115559</v>
      </c>
      <c r="BE37" s="15">
        <v>1635884.0766</v>
      </c>
      <c r="BF37" s="16">
        <f>テーブル2[[#This Row],[q_P]]/テーブル2[[#This Row],[q_M]]</f>
        <v>1.0042905654274472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1.6429029442623713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993438.86328125</v>
      </c>
      <c r="T38">
        <v>557.48333333333335</v>
      </c>
      <c r="U38" s="12">
        <f>+T38+BG38*S38*テーブル2[[#This Row],[Pw]]*R38/(N38*O38*K38)</f>
        <v>623.16650292884856</v>
      </c>
      <c r="V38">
        <v>0.03</v>
      </c>
      <c r="W38" s="8">
        <f t="shared" ref="W38:W57" si="56">+N38*P38/I38</f>
        <v>1139727.7349423061</v>
      </c>
      <c r="X38">
        <v>1.8067592826180864E-2</v>
      </c>
      <c r="Y38">
        <f t="shared" si="31"/>
        <v>7.4396045722276378</v>
      </c>
      <c r="Z38">
        <f t="shared" ref="Z38:Z57" si="57">IF(X38&gt;0,1.14-2*LOG((0.72*L38*E38)/(X38*P38*N38^2)+9.35/(W38*X38^0.5)),0)</f>
        <v>7.4396045878554853</v>
      </c>
      <c r="AA38">
        <f t="shared" si="32"/>
        <v>-1.5627847460564226E-8</v>
      </c>
      <c r="AB38">
        <f t="shared" si="33"/>
        <v>2.575469600855332E-5</v>
      </c>
      <c r="AC38">
        <v>633.68255072893567</v>
      </c>
      <c r="AD38">
        <f t="shared" ref="AD38:AD57" si="58">+P38/2*AI38/I38*E38</f>
        <v>27081.721960485043</v>
      </c>
      <c r="AE38">
        <f>+gettm2(AD38,AC38,AK38,AL38,テーブル2[[#This Row],[Fcorr]])</f>
        <v>623.1665032805754</v>
      </c>
      <c r="AF38" s="14">
        <f t="shared" si="34"/>
        <v>3.5172683965356555E-7</v>
      </c>
      <c r="AG38">
        <v>2.5784058843403216E-5</v>
      </c>
      <c r="AH38">
        <f t="shared" si="35"/>
        <v>26.835244092327123</v>
      </c>
      <c r="AI38">
        <f t="shared" si="36"/>
        <v>0.20915557570394011</v>
      </c>
      <c r="AJ38">
        <f t="shared" si="37"/>
        <v>46.795313679655344</v>
      </c>
      <c r="AK38">
        <f t="array" ref="AK38">+S38*テーブル2[[#This Row],[F_form]]/(E38*CpFromTP((テーブル2[[#This Row],[Tin]]+テーブル2[[#This Row],[Tf]])/2,テーブル2[[#This Row],[P]])*AI38)</f>
        <v>1.2808139117308206</v>
      </c>
      <c r="AL38">
        <f t="shared" si="38"/>
        <v>1.1834832388614511</v>
      </c>
      <c r="AM38">
        <f t="shared" si="39"/>
        <v>612.29412140102079</v>
      </c>
      <c r="AN38">
        <f t="shared" si="40"/>
        <v>1.1117663234472275E-8</v>
      </c>
      <c r="AO38">
        <f t="shared" si="41"/>
        <v>2.9362834849895657E-8</v>
      </c>
      <c r="AP38">
        <v>2.8967975328785189</v>
      </c>
      <c r="AQ38">
        <f t="shared" si="42"/>
        <v>5.4290538384440948E-5</v>
      </c>
      <c r="AR38">
        <f t="shared" si="43"/>
        <v>1.2906710839126556E-5</v>
      </c>
      <c r="AS38">
        <f t="shared" si="44"/>
        <v>23.424302044829531</v>
      </c>
      <c r="AT38">
        <f t="shared" si="45"/>
        <v>12.718870161845787</v>
      </c>
      <c r="AU38">
        <f t="shared" si="46"/>
        <v>2.6602226110045217</v>
      </c>
      <c r="AV38">
        <f t="shared" si="47"/>
        <v>0.2365749218739972</v>
      </c>
      <c r="AW38">
        <f t="shared" si="48"/>
        <v>1.6184508866735343E-2</v>
      </c>
      <c r="AX38">
        <f t="shared" si="49"/>
        <v>0.23657492061995952</v>
      </c>
      <c r="AY38">
        <f t="shared" si="50"/>
        <v>1.2540376792546937E-9</v>
      </c>
      <c r="AZ38">
        <f t="shared" si="51"/>
        <v>1037689.2055825926</v>
      </c>
      <c r="BA38">
        <f t="shared" si="52"/>
        <v>1.8741571603899076E-5</v>
      </c>
      <c r="BB38" s="15">
        <f t="shared" si="53"/>
        <v>997300.25901307084</v>
      </c>
      <c r="BC38" s="20">
        <f t="shared" si="54"/>
        <v>3861.3957318208413</v>
      </c>
      <c r="BD38" s="19">
        <f t="shared" si="55"/>
        <v>0.38868982023382459</v>
      </c>
      <c r="BE38" s="15">
        <v>1184366.1786</v>
      </c>
      <c r="BF38" s="16">
        <f>テーブル2[[#This Row],[q_P]]/テーブル2[[#This Row],[q_M]]</f>
        <v>0.84205398383796004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0.99730025901307084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1066692.66796875</v>
      </c>
      <c r="T39">
        <v>535.26111111111106</v>
      </c>
      <c r="U39" s="12">
        <f>+T39+BG39*S39*テーブル2[[#This Row],[Pw]]*R39/(N39*O39*K39)</f>
        <v>609.02634894040762</v>
      </c>
      <c r="V39">
        <v>0.03</v>
      </c>
      <c r="W39" s="8">
        <f t="shared" si="56"/>
        <v>1129123.7973020803</v>
      </c>
      <c r="X39">
        <v>1.8095543488679221E-2</v>
      </c>
      <c r="Y39">
        <f t="shared" si="31"/>
        <v>7.433856686393165</v>
      </c>
      <c r="Z39">
        <f t="shared" si="57"/>
        <v>7.4338566867084772</v>
      </c>
      <c r="AA39">
        <f t="shared" si="32"/>
        <v>-3.1531222077774146E-10</v>
      </c>
      <c r="AB39">
        <f t="shared" si="33"/>
        <v>2.5920904158505433E-5</v>
      </c>
      <c r="AC39">
        <v>646.24266097557336</v>
      </c>
      <c r="AD39">
        <f t="shared" si="58"/>
        <v>26850.500606663794</v>
      </c>
      <c r="AE39">
        <f>+gettm2(AD39,AC39,AK39,AL39,テーブル2[[#This Row],[Fcorr]])</f>
        <v>609.02634894040773</v>
      </c>
      <c r="AF39" s="14">
        <f t="shared" si="34"/>
        <v>0</v>
      </c>
      <c r="AG39">
        <v>2.5952832886521055E-5</v>
      </c>
      <c r="AH39">
        <f t="shared" si="35"/>
        <v>26.31165587060881</v>
      </c>
      <c r="AI39">
        <f t="shared" si="36"/>
        <v>0.20731110884371209</v>
      </c>
      <c r="AJ39">
        <f t="shared" si="37"/>
        <v>46.69947106443977</v>
      </c>
      <c r="AK39">
        <f t="array" ref="AK39">+S39*テーブル2[[#This Row],[F_form]]/(E39*CpFromTP((テーブル2[[#This Row],[Tin]]+テーブル2[[#This Row],[Tf]])/2,テーブル2[[#This Row],[P]])*AI39)</f>
        <v>2.0044226890791044</v>
      </c>
      <c r="AL39">
        <f t="shared" si="38"/>
        <v>1.1897427482145444</v>
      </c>
      <c r="AM39">
        <f t="shared" si="39"/>
        <v>612.67292004971978</v>
      </c>
      <c r="AN39">
        <f t="shared" si="40"/>
        <v>3.4897652767540421E-8</v>
      </c>
      <c r="AO39">
        <f t="shared" si="41"/>
        <v>3.1928728015621498E-8</v>
      </c>
      <c r="AP39">
        <v>2.8697246215590679</v>
      </c>
      <c r="AQ39">
        <f t="shared" si="42"/>
        <v>5.4261168512861123E-5</v>
      </c>
      <c r="AR39">
        <f t="shared" si="43"/>
        <v>1.2992380807268338E-5</v>
      </c>
      <c r="AS39">
        <f t="shared" si="44"/>
        <v>23.378461774102796</v>
      </c>
      <c r="AT39">
        <f t="shared" si="45"/>
        <v>12.709075807486251</v>
      </c>
      <c r="AU39">
        <f t="shared" si="46"/>
        <v>2.6347325980287701</v>
      </c>
      <c r="AV39">
        <f t="shared" si="47"/>
        <v>0.2349920235302978</v>
      </c>
      <c r="AW39">
        <f t="shared" si="48"/>
        <v>1.6367817214889759E-2</v>
      </c>
      <c r="AX39">
        <f t="shared" si="49"/>
        <v>0.23499200649806182</v>
      </c>
      <c r="AY39">
        <f t="shared" si="50"/>
        <v>1.7032235982705757E-8</v>
      </c>
      <c r="AZ39">
        <f t="shared" si="51"/>
        <v>1033117.12785038</v>
      </c>
      <c r="BA39">
        <f t="shared" si="52"/>
        <v>1.8908144741561316E-5</v>
      </c>
      <c r="BB39" s="15">
        <f t="shared" si="53"/>
        <v>1068034.5258905541</v>
      </c>
      <c r="BC39" s="20">
        <f t="shared" si="54"/>
        <v>1341.8579218040686</v>
      </c>
      <c r="BD39" s="19">
        <f t="shared" si="55"/>
        <v>0.12579611373529942</v>
      </c>
      <c r="BE39" s="15">
        <v>1183347.055731178</v>
      </c>
      <c r="BF39" s="16">
        <f>テーブル2[[#This Row],[q_P]]/テーブル2[[#This Row],[q_M]]</f>
        <v>0.90255392170695559</v>
      </c>
      <c r="BG39">
        <v>1.2999931692195916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1.0680345258905539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1314120.8701562502</v>
      </c>
      <c r="T40">
        <v>534.31666666666661</v>
      </c>
      <c r="U40" s="12">
        <f>+T40+BG40*S40*テーブル2[[#This Row],[Pw]]*R40/(N40*O40*K40)</f>
        <v>606.06729887709139</v>
      </c>
      <c r="V40">
        <v>0.03</v>
      </c>
      <c r="W40" s="8">
        <f t="shared" si="56"/>
        <v>1432725.3087847754</v>
      </c>
      <c r="X40">
        <v>1.6632062081703331E-2</v>
      </c>
      <c r="Y40">
        <f t="shared" si="31"/>
        <v>7.7540206150823083</v>
      </c>
      <c r="Z40">
        <f t="shared" si="57"/>
        <v>7.7540206273913039</v>
      </c>
      <c r="AA40">
        <f t="shared" si="32"/>
        <v>-1.2308995600562866E-8</v>
      </c>
      <c r="AB40">
        <f t="shared" si="33"/>
        <v>1.7610239736655148E-5</v>
      </c>
      <c r="AC40">
        <v>645.70274865333056</v>
      </c>
      <c r="AD40">
        <f t="shared" si="58"/>
        <v>32663.370131127485</v>
      </c>
      <c r="AE40">
        <f>+gettm2(AD40,AC40,AK40,AL40,テーブル2[[#This Row],[Fcorr]])</f>
        <v>606.06729887709128</v>
      </c>
      <c r="AF40" s="14">
        <f t="shared" si="34"/>
        <v>0</v>
      </c>
      <c r="AG40">
        <v>1.763791490543299E-5</v>
      </c>
      <c r="AH40">
        <f t="shared" si="35"/>
        <v>38.98703151702928</v>
      </c>
      <c r="AI40">
        <f t="shared" si="36"/>
        <v>0.25222748863141375</v>
      </c>
      <c r="AJ40">
        <f t="shared" si="37"/>
        <v>38.608509817385389</v>
      </c>
      <c r="AK40">
        <f t="array" ref="AK40">+S40*テーブル2[[#This Row],[F_form]]/(E40*CpFromTP((テーブル2[[#This Row],[Tin]]+テーブル2[[#This Row],[Tf]])/2,テーブル2[[#This Row],[P]])*AI40)</f>
        <v>2.0448609737992824</v>
      </c>
      <c r="AL40">
        <f t="shared" si="38"/>
        <v>1.186598293632519</v>
      </c>
      <c r="AM40">
        <f t="shared" si="39"/>
        <v>612.48370250914161</v>
      </c>
      <c r="AN40">
        <f t="shared" si="40"/>
        <v>4.2153828871960286E-8</v>
      </c>
      <c r="AO40">
        <f t="shared" si="41"/>
        <v>2.7675168777841673E-8</v>
      </c>
      <c r="AP40">
        <v>3.2216592224552114</v>
      </c>
      <c r="AQ40">
        <f t="shared" si="42"/>
        <v>4.3472065425862468E-5</v>
      </c>
      <c r="AR40">
        <f t="shared" si="43"/>
        <v>8.8327950371054158E-6</v>
      </c>
      <c r="AS40">
        <f t="shared" si="44"/>
        <v>19.334544685891018</v>
      </c>
      <c r="AT40">
        <f t="shared" si="45"/>
        <v>11.759466880411356</v>
      </c>
      <c r="AU40">
        <f t="shared" si="46"/>
        <v>2.9660607988904419</v>
      </c>
      <c r="AV40">
        <f t="shared" si="47"/>
        <v>0.25559842356476947</v>
      </c>
      <c r="AW40">
        <f t="shared" si="48"/>
        <v>1.1093158786524464E-2</v>
      </c>
      <c r="AX40">
        <f t="shared" si="49"/>
        <v>0.2555984215840435</v>
      </c>
      <c r="AY40">
        <f t="shared" si="50"/>
        <v>1.9807259721282833E-9</v>
      </c>
      <c r="AZ40">
        <f t="shared" si="51"/>
        <v>1035404.645585787</v>
      </c>
      <c r="BA40">
        <f t="shared" si="52"/>
        <v>1.3493688321489388E-5</v>
      </c>
      <c r="BB40" s="15">
        <f t="shared" si="53"/>
        <v>1301382.7638677014</v>
      </c>
      <c r="BC40" s="20">
        <f t="shared" si="54"/>
        <v>-12738.106288548792</v>
      </c>
      <c r="BD40" s="19">
        <f t="shared" si="55"/>
        <v>-0.96932531685873147</v>
      </c>
      <c r="BE40" s="15">
        <v>1430613.6046899313</v>
      </c>
      <c r="BF40" s="16">
        <f>テーブル2[[#This Row],[q_P]]/テーブル2[[#This Row],[q_M]]</f>
        <v>0.90966754377382064</v>
      </c>
      <c r="BG40">
        <v>1.2999931692195916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1.3013827638677014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1269730.55859375</v>
      </c>
      <c r="T41">
        <v>537.15</v>
      </c>
      <c r="U41" s="12">
        <f>+T41+BG41*S41*テーブル2[[#This Row],[Pw]]*R41/(N41*O41*K41)</f>
        <v>608.13313716865605</v>
      </c>
      <c r="V41">
        <v>0.03</v>
      </c>
      <c r="W41" s="8">
        <f t="shared" si="56"/>
        <v>1191008.0785403857</v>
      </c>
      <c r="X41">
        <v>1.6620262938300233E-2</v>
      </c>
      <c r="Y41">
        <f t="shared" ref="Y41:Y59" si="59">IF(X41&gt;0,1/X41^0.5,1)</f>
        <v>7.756772514055946</v>
      </c>
      <c r="Z41">
        <f t="shared" si="57"/>
        <v>7.7567725268340526</v>
      </c>
      <c r="AA41">
        <f t="shared" ref="AA41:AA59" si="60">+Y41-Z41</f>
        <v>-1.2778106572852721E-8</v>
      </c>
      <c r="AB41">
        <f t="shared" ref="AB41:AB59" si="61">32/X41*L41*V41*E41/N41^2</f>
        <v>1.7138645153259314E-5</v>
      </c>
      <c r="AC41">
        <v>669.49568680594075</v>
      </c>
      <c r="AD41">
        <f t="shared" si="58"/>
        <v>27143.051032429463</v>
      </c>
      <c r="AE41">
        <f>+gettm2(AD41,AC41,AK41,AL41,テーブル2[[#This Row],[Fcorr]])</f>
        <v>608.13313716865605</v>
      </c>
      <c r="AF41" s="14">
        <f t="shared" ref="AF41:AF59" si="62">+AE41-U41</f>
        <v>0</v>
      </c>
      <c r="AG41">
        <v>1.717846818740522E-5</v>
      </c>
      <c r="AH41">
        <f t="shared" ref="AH41:AH59" si="63">+X41*N41^2/(8*E41)</f>
        <v>24.81214234657028</v>
      </c>
      <c r="AI41">
        <f t="shared" ref="AI41:AI59" si="64">+(AH41/E41)^0.5</f>
        <v>0.20822055193540023</v>
      </c>
      <c r="AJ41">
        <f t="shared" ref="AJ41:AJ59" si="65">+AG41*AI41/I41*E41</f>
        <v>31.247688913045366</v>
      </c>
      <c r="AK41">
        <f t="array" ref="AK41">+S41*テーブル2[[#This Row],[F_form]]/(E41*CpFromTP((テーブル2[[#This Row],[Tin]]+テーブル2[[#This Row],[Tf]])/2,テーブル2[[#This Row],[P]])*AI41)</f>
        <v>2.5355812330833802</v>
      </c>
      <c r="AL41">
        <f t="shared" ref="AL41:AL59" si="66">+K41*I41/J41</f>
        <v>1.4674493516224545</v>
      </c>
      <c r="AM41">
        <f t="shared" ref="AM41:AM59" si="67">+gettyp(AC41,AJ41,AK41,AL41)</f>
        <v>623.74674728455989</v>
      </c>
      <c r="AN41">
        <f t="shared" ref="AN41:AN59" si="68">+C41-AM41</f>
        <v>7.5239086072542705E-9</v>
      </c>
      <c r="AO41">
        <f t="shared" ref="AO41:AO59" si="69">+AG41-AB41</f>
        <v>3.9823034145906021E-8</v>
      </c>
      <c r="AP41">
        <v>2.4466389974879688</v>
      </c>
      <c r="AQ41">
        <f t="shared" ref="AQ41:AQ59" si="70">2*PI()*L41*(D41+E41)/(D41*E41*AP41^2)</f>
        <v>3.882115942065162E-5</v>
      </c>
      <c r="AR41">
        <f t="shared" ref="AR41:AR59" si="71">+AO41+AB41/2</f>
        <v>8.6091456107755632E-6</v>
      </c>
      <c r="AS41">
        <f t="shared" ref="AS41:AS59" si="72">+AR41*AI41/I41*E41</f>
        <v>15.660063570153465</v>
      </c>
      <c r="AT41">
        <f t="shared" ref="AT41:AT59" si="73">+getublp(AS41)</f>
        <v>10.705568749755953</v>
      </c>
      <c r="AU41">
        <f t="shared" ref="AU41:AU59" si="74">+AT41*AI41</f>
        <v>2.2291194338565572</v>
      </c>
      <c r="AV41">
        <f t="shared" ref="AV41:AV59" si="75">+AP41-AU41</f>
        <v>0.21751956363141156</v>
      </c>
      <c r="AW41">
        <f t="shared" ref="AW41:AW59" si="76">2/3*AB41/(L41/(9.8*(E41-D41)))^0.5</f>
        <v>1.2847721656543536E-2</v>
      </c>
      <c r="AX41">
        <f t="shared" ref="AX41:AX59" si="77">+(2*AQ41*9.8*(E41-D41)/(E41*AW41))^0.5</f>
        <v>0.21751954900049136</v>
      </c>
      <c r="AY41">
        <f t="shared" ref="AY41:AY59" si="78">+AV41-AX41</f>
        <v>1.4630920197600261E-8</v>
      </c>
      <c r="AZ41">
        <f t="shared" ref="AZ41:AZ59" si="79">+F41-G41</f>
        <v>883760.40977061237</v>
      </c>
      <c r="BA41">
        <f t="shared" ref="BA41:BA59" si="80">+AQ41/AP41</f>
        <v>1.586713833160935E-5</v>
      </c>
      <c r="BB41" s="15">
        <f t="shared" ref="BB41:BB59" si="81">+E41*AO41*AZ41/BA41</f>
        <v>1269367.4507750489</v>
      </c>
      <c r="BC41" s="20">
        <f t="shared" ref="BC41:BC59" si="82">BB41-S41</f>
        <v>-363.10781870107166</v>
      </c>
      <c r="BD41" s="19">
        <f t="shared" ref="BD41:BD59" si="83">+(BB41-S41)/S41*100</f>
        <v>-2.8597233975625524E-2</v>
      </c>
      <c r="BE41" s="15">
        <v>1280487.4856792598</v>
      </c>
      <c r="BF41" s="16">
        <f>テーブル2[[#This Row],[q_P]]/テーブル2[[#This Row],[q_M]]</f>
        <v>0.99131578010048882</v>
      </c>
      <c r="BG41">
        <v>1.2999931692195916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1.269367450775049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1536932.71484375</v>
      </c>
      <c r="T42">
        <v>539.03888888888889</v>
      </c>
      <c r="U42" s="12">
        <f>+T42+BG42*S42*テーブル2[[#This Row],[Pw]]*R42/(N42*O42*K42)</f>
        <v>605.56714738303128</v>
      </c>
      <c r="V42">
        <v>0.03</v>
      </c>
      <c r="W42" s="8">
        <f t="shared" si="56"/>
        <v>1538179.5205215563</v>
      </c>
      <c r="X42">
        <v>1.5239010602797311E-2</v>
      </c>
      <c r="Y42">
        <f t="shared" si="59"/>
        <v>8.1006825693876614</v>
      </c>
      <c r="Z42">
        <f t="shared" si="57"/>
        <v>8.1006825721955824</v>
      </c>
      <c r="AA42">
        <f t="shared" si="60"/>
        <v>-2.8079210068199245E-9</v>
      </c>
      <c r="AB42">
        <f t="shared" si="61"/>
        <v>1.1206576779235746E-5</v>
      </c>
      <c r="AC42">
        <v>666.08637768347717</v>
      </c>
      <c r="AD42">
        <f t="shared" si="58"/>
        <v>33566.837125346145</v>
      </c>
      <c r="AE42">
        <f>+gettm2(AD42,AC42,AK42,AL42,テーブル2[[#This Row],[Fcorr]])</f>
        <v>605.56714806520324</v>
      </c>
      <c r="AF42" s="14">
        <f t="shared" si="62"/>
        <v>6.8217195803299546E-7</v>
      </c>
      <c r="AG42">
        <v>1.1241714331309425E-5</v>
      </c>
      <c r="AH42">
        <f t="shared" si="63"/>
        <v>37.946155328891386</v>
      </c>
      <c r="AI42">
        <f t="shared" si="64"/>
        <v>0.25749888413851146</v>
      </c>
      <c r="AJ42">
        <f t="shared" si="65"/>
        <v>25.288191431171438</v>
      </c>
      <c r="AK42">
        <f t="array" ref="AK42">+S42*テーブル2[[#This Row],[F_form]]/(E42*CpFromTP((テーブル2[[#This Row],[Tin]]+テーブル2[[#This Row],[Tf]])/2,テーブル2[[#This Row],[P]])*AI42)</f>
        <v>2.4855801002106732</v>
      </c>
      <c r="AL42">
        <f t="shared" si="66"/>
        <v>1.4674493516224545</v>
      </c>
      <c r="AM42">
        <f t="shared" si="67"/>
        <v>623.746747288851</v>
      </c>
      <c r="AN42">
        <f t="shared" si="68"/>
        <v>3.2327989174518734E-9</v>
      </c>
      <c r="AO42">
        <f t="shared" si="69"/>
        <v>3.5137552073679739E-8</v>
      </c>
      <c r="AP42">
        <v>2.7266397533332278</v>
      </c>
      <c r="AQ42">
        <f t="shared" si="70"/>
        <v>3.1257393832689302E-5</v>
      </c>
      <c r="AR42">
        <f t="shared" si="71"/>
        <v>5.6384259416915525E-6</v>
      </c>
      <c r="AS42">
        <f t="shared" si="72"/>
        <v>12.683616607020721</v>
      </c>
      <c r="AT42">
        <f t="shared" si="73"/>
        <v>9.6515556485753518</v>
      </c>
      <c r="AU42">
        <f t="shared" si="74"/>
        <v>2.4852648097089003</v>
      </c>
      <c r="AV42">
        <f t="shared" si="75"/>
        <v>0.24137494362432754</v>
      </c>
      <c r="AW42">
        <f t="shared" si="76"/>
        <v>8.4008378664006608E-3</v>
      </c>
      <c r="AX42">
        <f t="shared" si="77"/>
        <v>0.24137494268874646</v>
      </c>
      <c r="AY42">
        <f t="shared" si="78"/>
        <v>9.3558108482660884E-10</v>
      </c>
      <c r="AZ42">
        <f t="shared" si="79"/>
        <v>883760.40977061237</v>
      </c>
      <c r="BA42">
        <f t="shared" si="80"/>
        <v>1.1463705021713324E-5</v>
      </c>
      <c r="BB42" s="15">
        <f t="shared" si="81"/>
        <v>1550237.0762418134</v>
      </c>
      <c r="BC42" s="20">
        <f t="shared" si="82"/>
        <v>13304.361398063367</v>
      </c>
      <c r="BD42" s="19">
        <f t="shared" si="83"/>
        <v>0.86564371163222553</v>
      </c>
      <c r="BE42" s="15">
        <v>1524810.3852456473</v>
      </c>
      <c r="BF42" s="16">
        <f>テーブル2[[#This Row],[q_P]]/テーブル2[[#This Row],[q_M]]</f>
        <v>1.0166753133649924</v>
      </c>
      <c r="BG42">
        <v>1.2999931692195916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1.5502370762418134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1128539.43359375</v>
      </c>
      <c r="T43">
        <v>564.03888888888889</v>
      </c>
      <c r="U43" s="12">
        <f>+T43+BG43*S43*テーブル2[[#This Row],[Pw]]*R43/(N43*O43*K43)</f>
        <v>624.21295064778906</v>
      </c>
      <c r="V43">
        <v>0.03</v>
      </c>
      <c r="W43" s="8">
        <f t="shared" si="56"/>
        <v>1239878.3664814811</v>
      </c>
      <c r="X43">
        <v>1.6351058183422914E-2</v>
      </c>
      <c r="Y43">
        <f t="shared" si="59"/>
        <v>7.8203658043830551</v>
      </c>
      <c r="Z43">
        <f t="shared" si="57"/>
        <v>7.820365817122183</v>
      </c>
      <c r="AA43">
        <f t="shared" si="60"/>
        <v>-1.2739127974725761E-8</v>
      </c>
      <c r="AB43">
        <f t="shared" si="61"/>
        <v>1.5834039417207831E-5</v>
      </c>
      <c r="AC43">
        <v>658.64753128329778</v>
      </c>
      <c r="AD43">
        <f t="shared" si="58"/>
        <v>28027.026571256378</v>
      </c>
      <c r="AE43">
        <f>+gettm2(AD43,AC43,AK43,AL43,テーブル2[[#This Row],[Fcorr]])</f>
        <v>624.21295064778906</v>
      </c>
      <c r="AF43" s="14">
        <f t="shared" si="62"/>
        <v>0</v>
      </c>
      <c r="AG43">
        <v>1.5868032507078831E-5</v>
      </c>
      <c r="AH43">
        <f t="shared" si="63"/>
        <v>26.383738468335768</v>
      </c>
      <c r="AI43">
        <f t="shared" si="64"/>
        <v>0.21497335392275246</v>
      </c>
      <c r="AJ43">
        <f t="shared" si="65"/>
        <v>29.804024443133606</v>
      </c>
      <c r="AK43">
        <f t="array" ref="AK43">+S43*テーブル2[[#This Row],[F_form]]/(E43*CpFromTP((テーブル2[[#This Row],[Tin]]+テーブル2[[#This Row],[Tf]])/2,テーブル2[[#This Row],[P]])*AI43)</f>
        <v>1.919229826263894</v>
      </c>
      <c r="AL43">
        <f t="shared" si="66"/>
        <v>1.4803212935190788</v>
      </c>
      <c r="AM43">
        <f t="shared" si="67"/>
        <v>624.08398424401753</v>
      </c>
      <c r="AN43">
        <f t="shared" si="68"/>
        <v>2.5910708245646674E-8</v>
      </c>
      <c r="AO43">
        <f t="shared" si="69"/>
        <v>3.399308987099957E-8</v>
      </c>
      <c r="AP43">
        <v>2.4708664183569895</v>
      </c>
      <c r="AQ43">
        <f t="shared" si="70"/>
        <v>3.7180840574353964E-5</v>
      </c>
      <c r="AR43">
        <f t="shared" si="71"/>
        <v>7.9510127984749151E-6</v>
      </c>
      <c r="AS43">
        <f t="shared" si="72"/>
        <v>14.933935866825308</v>
      </c>
      <c r="AT43">
        <f t="shared" si="73"/>
        <v>10.468180990818855</v>
      </c>
      <c r="AU43">
        <f t="shared" si="74"/>
        <v>2.2503799770667312</v>
      </c>
      <c r="AV43">
        <f t="shared" si="75"/>
        <v>0.22048644129025829</v>
      </c>
      <c r="AW43">
        <f t="shared" si="76"/>
        <v>1.1946363115015041E-2</v>
      </c>
      <c r="AX43">
        <f t="shared" si="77"/>
        <v>0.22048642852946626</v>
      </c>
      <c r="AY43">
        <f t="shared" si="78"/>
        <v>1.2760792034161028E-8</v>
      </c>
      <c r="AZ43">
        <f t="shared" si="79"/>
        <v>878623.26863463479</v>
      </c>
      <c r="BA43">
        <f t="shared" si="80"/>
        <v>1.5047693512738532E-5</v>
      </c>
      <c r="BB43" s="15">
        <f t="shared" si="81"/>
        <v>1133158.0148336194</v>
      </c>
      <c r="BC43" s="20">
        <f t="shared" si="82"/>
        <v>4618.5812398693524</v>
      </c>
      <c r="BD43" s="19">
        <f t="shared" si="83"/>
        <v>0.40925297799845806</v>
      </c>
      <c r="BE43" s="15">
        <v>1068544.7294288995</v>
      </c>
      <c r="BF43" s="16">
        <f>テーブル2[[#This Row],[q_P]]/テーブル2[[#This Row],[q_M]]</f>
        <v>1.0604684891752294</v>
      </c>
      <c r="BG43">
        <v>1.2999931692195916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1.1331580148336193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1322206.48046875</v>
      </c>
      <c r="T44">
        <v>563.48333333333335</v>
      </c>
      <c r="U44" s="12">
        <f>+T44+BG44*S44*テーブル2[[#This Row],[Pw]]*R44/(N44*O44*K44)</f>
        <v>621.41695484499132</v>
      </c>
      <c r="V44">
        <v>0.03</v>
      </c>
      <c r="W44" s="8">
        <f t="shared" si="56"/>
        <v>1535425.3320047432</v>
      </c>
      <c r="X44">
        <v>1.5299986260567673E-2</v>
      </c>
      <c r="Y44">
        <f t="shared" si="59"/>
        <v>8.0845244645052716</v>
      </c>
      <c r="Z44">
        <f t="shared" si="57"/>
        <v>8.0845244854782194</v>
      </c>
      <c r="AA44">
        <f t="shared" si="60"/>
        <v>-2.0972947822883725E-8</v>
      </c>
      <c r="AB44">
        <f t="shared" si="61"/>
        <v>1.1454191989426209E-5</v>
      </c>
      <c r="AC44">
        <v>655.38358745396044</v>
      </c>
      <c r="AD44">
        <f t="shared" si="58"/>
        <v>33573.702109286634</v>
      </c>
      <c r="AE44">
        <f>+gettm2(AD44,AC44,AK44,AL44,テーブル2[[#This Row],[Fcorr]])</f>
        <v>621.41695542259595</v>
      </c>
      <c r="AF44" s="14">
        <f t="shared" si="62"/>
        <v>5.7760462368605658E-7</v>
      </c>
      <c r="AG44">
        <v>1.1483953735138282E-5</v>
      </c>
      <c r="AH44">
        <f t="shared" si="63"/>
        <v>38.114040644586403</v>
      </c>
      <c r="AI44">
        <f t="shared" si="64"/>
        <v>0.2576049632996511</v>
      </c>
      <c r="AJ44">
        <f t="shared" si="65"/>
        <v>25.838391307324283</v>
      </c>
      <c r="AK44">
        <f t="array" ref="AK44">+S44*テーブル2[[#This Row],[F_form]]/(E44*CpFromTP((テーブル2[[#This Row],[Tin]]+テーブル2[[#This Row],[Tf]])/2,テーブル2[[#This Row],[P]])*AI44)</f>
        <v>1.8908196390551069</v>
      </c>
      <c r="AL44">
        <f t="shared" si="66"/>
        <v>1.4487735538805233</v>
      </c>
      <c r="AM44">
        <f t="shared" si="67"/>
        <v>623.23870132370791</v>
      </c>
      <c r="AN44">
        <f t="shared" si="68"/>
        <v>9.4285041996045038E-9</v>
      </c>
      <c r="AO44">
        <f t="shared" si="69"/>
        <v>2.9761745712073229E-8</v>
      </c>
      <c r="AP44">
        <v>2.7553304398660576</v>
      </c>
      <c r="AQ44">
        <f t="shared" si="70"/>
        <v>3.1695066791002458E-5</v>
      </c>
      <c r="AR44">
        <f t="shared" si="71"/>
        <v>5.7568577404251778E-6</v>
      </c>
      <c r="AS44">
        <f t="shared" si="72"/>
        <v>12.952676963733282</v>
      </c>
      <c r="AT44">
        <f t="shared" si="73"/>
        <v>9.7565124106453656</v>
      </c>
      <c r="AU44">
        <f t="shared" si="74"/>
        <v>2.5133260214768898</v>
      </c>
      <c r="AV44">
        <f t="shared" si="75"/>
        <v>0.24200441838916786</v>
      </c>
      <c r="AW44">
        <f t="shared" si="76"/>
        <v>8.5051039946173763E-3</v>
      </c>
      <c r="AX44">
        <f t="shared" si="77"/>
        <v>0.24200441041437865</v>
      </c>
      <c r="AY44">
        <f t="shared" si="78"/>
        <v>7.9747892178794189E-9</v>
      </c>
      <c r="AZ44">
        <f t="shared" si="79"/>
        <v>891419.29711468448</v>
      </c>
      <c r="BA44">
        <f t="shared" si="80"/>
        <v>1.1503181735452108E-5</v>
      </c>
      <c r="BB44" s="15">
        <f t="shared" si="81"/>
        <v>1324643.4364098536</v>
      </c>
      <c r="BC44" s="20">
        <f t="shared" si="82"/>
        <v>2436.9559411036316</v>
      </c>
      <c r="BD44" s="19">
        <f t="shared" si="83"/>
        <v>0.18430978648960181</v>
      </c>
      <c r="BE44" s="15">
        <v>1245163.6929708663</v>
      </c>
      <c r="BF44" s="16">
        <f>テーブル2[[#This Row],[q_P]]/テーブル2[[#This Row],[q_M]]</f>
        <v>1.063830758869426</v>
      </c>
      <c r="BG44">
        <v>1.2999931692195916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1.3246434364098536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1515370.80078125</v>
      </c>
      <c r="T45">
        <v>564.26111111111106</v>
      </c>
      <c r="U45" s="12">
        <f>+T45+BG45*S45*テーブル2[[#This Row],[Pw]]*R45/(N45*O45*K45)</f>
        <v>619.59261101040045</v>
      </c>
      <c r="V45">
        <v>0.03</v>
      </c>
      <c r="W45" s="8">
        <f t="shared" si="56"/>
        <v>1836211.7472429869</v>
      </c>
      <c r="X45">
        <v>1.441578214700232E-2</v>
      </c>
      <c r="Y45">
        <f t="shared" si="59"/>
        <v>8.3287704901266437</v>
      </c>
      <c r="Z45">
        <f t="shared" si="57"/>
        <v>8.3287704957889623</v>
      </c>
      <c r="AA45">
        <f t="shared" si="60"/>
        <v>-5.6623186139859172E-9</v>
      </c>
      <c r="AB45">
        <f t="shared" si="61"/>
        <v>8.4377409085819746E-6</v>
      </c>
      <c r="AC45">
        <v>653.84339252642928</v>
      </c>
      <c r="AD45">
        <f t="shared" si="58"/>
        <v>38973.272817071345</v>
      </c>
      <c r="AE45">
        <f>+gettm2(AD45,AC45,AK45,AL45,テーブル2[[#This Row],[Fcorr]])</f>
        <v>619.59261101040045</v>
      </c>
      <c r="AF45" s="14">
        <f t="shared" si="62"/>
        <v>0</v>
      </c>
      <c r="AG45">
        <v>8.4651598056856127E-6</v>
      </c>
      <c r="AH45">
        <f t="shared" si="63"/>
        <v>51.291024610635041</v>
      </c>
      <c r="AI45">
        <f t="shared" si="64"/>
        <v>0.29901385313628526</v>
      </c>
      <c r="AJ45">
        <f t="shared" si="65"/>
        <v>22.109394194469694</v>
      </c>
      <c r="AK45">
        <f t="array" ref="AK45">+S45*テーブル2[[#This Row],[F_form]]/(E45*CpFromTP((テーブル2[[#This Row],[Tin]]+テーブル2[[#This Row],[Tf]])/2,テーブル2[[#This Row],[P]])*AI45)</f>
        <v>1.8769141430576977</v>
      </c>
      <c r="AL45">
        <f t="shared" si="66"/>
        <v>1.4549166438635874</v>
      </c>
      <c r="AM45">
        <f t="shared" si="67"/>
        <v>623.40834329969016</v>
      </c>
      <c r="AN45">
        <f t="shared" si="68"/>
        <v>-7.6831838669022545E-9</v>
      </c>
      <c r="AO45">
        <f t="shared" si="69"/>
        <v>2.7418897103638067E-8</v>
      </c>
      <c r="AP45">
        <v>2.9468268171203249</v>
      </c>
      <c r="AQ45">
        <f t="shared" si="70"/>
        <v>2.7390913824442949E-5</v>
      </c>
      <c r="AR45">
        <f t="shared" si="71"/>
        <v>4.2462893513946254E-6</v>
      </c>
      <c r="AS45">
        <f t="shared" si="72"/>
        <v>11.090503580417527</v>
      </c>
      <c r="AT45">
        <f t="shared" si="73"/>
        <v>8.9804460442254701</v>
      </c>
      <c r="AU45">
        <f t="shared" si="74"/>
        <v>2.6852777745663685</v>
      </c>
      <c r="AV45">
        <f t="shared" si="75"/>
        <v>0.26154904255395639</v>
      </c>
      <c r="AW45">
        <f t="shared" si="76"/>
        <v>6.2850976500719233E-3</v>
      </c>
      <c r="AX45">
        <f t="shared" si="77"/>
        <v>0.26154903740272595</v>
      </c>
      <c r="AY45">
        <f t="shared" si="78"/>
        <v>5.1512304422018929E-9</v>
      </c>
      <c r="AZ45">
        <f t="shared" si="79"/>
        <v>888872.47317885025</v>
      </c>
      <c r="BA45">
        <f t="shared" si="80"/>
        <v>9.2950538067960446E-6</v>
      </c>
      <c r="BB45" s="15">
        <f t="shared" si="81"/>
        <v>1504167.797493615</v>
      </c>
      <c r="BC45" s="20">
        <f t="shared" si="82"/>
        <v>-11203.003287635045</v>
      </c>
      <c r="BD45" s="19">
        <f t="shared" si="83"/>
        <v>-0.73929122046296081</v>
      </c>
      <c r="BE45" s="15">
        <v>1483599.293752522</v>
      </c>
      <c r="BF45" s="16">
        <f>テーブル2[[#This Row],[q_P]]/テーブル2[[#This Row],[q_M]]</f>
        <v>1.0138639212270506</v>
      </c>
      <c r="BG45">
        <v>1.2999931692195916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1.504167797493615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904311.64546875004</v>
      </c>
      <c r="T46">
        <v>561.48333333333335</v>
      </c>
      <c r="U46" s="12">
        <f>+T46+BG46*S46*テーブル2[[#This Row],[Pw]]*R46/(N46*O46*K46)</f>
        <v>621.54345948852915</v>
      </c>
      <c r="V46">
        <v>0.03</v>
      </c>
      <c r="W46" s="8">
        <f t="shared" si="56"/>
        <v>1173488.5657808729</v>
      </c>
      <c r="X46">
        <v>1.7826663453641606E-2</v>
      </c>
      <c r="Y46">
        <f t="shared" si="59"/>
        <v>7.4897093958670071</v>
      </c>
      <c r="Z46">
        <f t="shared" si="57"/>
        <v>7.4897094000483806</v>
      </c>
      <c r="AA46">
        <f t="shared" si="60"/>
        <v>-4.1813734696916072E-9</v>
      </c>
      <c r="AB46">
        <f t="shared" si="61"/>
        <v>2.4228921185705779E-5</v>
      </c>
      <c r="AC46">
        <v>637.4504722451461</v>
      </c>
      <c r="AD46">
        <f t="shared" si="58"/>
        <v>27697.393805640302</v>
      </c>
      <c r="AE46">
        <f>+gettm2(AD46,AC46,AK46,AL46,テーブル2[[#This Row],[Fcorr]])</f>
        <v>621.54345948852915</v>
      </c>
      <c r="AF46" s="14">
        <f t="shared" si="62"/>
        <v>0</v>
      </c>
      <c r="AG46">
        <v>2.4254459953953714E-5</v>
      </c>
      <c r="AH46">
        <f t="shared" si="63"/>
        <v>27.961886189751461</v>
      </c>
      <c r="AI46">
        <f t="shared" si="64"/>
        <v>0.21382002119158272</v>
      </c>
      <c r="AJ46">
        <f t="shared" si="65"/>
        <v>45.019982226243698</v>
      </c>
      <c r="AK46">
        <f t="array" ref="AK46">+S46*テーブル2[[#This Row],[F_form]]/(E46*CpFromTP((テーブル2[[#This Row],[Tin]]+テーブル2[[#This Row],[Tf]])/2,テーブル2[[#This Row],[P]])*AI46)</f>
        <v>1.4738289972404788</v>
      </c>
      <c r="AL46">
        <f t="shared" si="66"/>
        <v>1.1929170333202277</v>
      </c>
      <c r="AM46">
        <f t="shared" si="67"/>
        <v>612.8617753627002</v>
      </c>
      <c r="AN46">
        <f t="shared" si="68"/>
        <v>4.0310396798304282E-8</v>
      </c>
      <c r="AO46">
        <f t="shared" si="69"/>
        <v>2.5538768247935047E-8</v>
      </c>
      <c r="AP46">
        <v>2.9157848244467512</v>
      </c>
      <c r="AQ46">
        <f t="shared" si="70"/>
        <v>5.2053473406226388E-5</v>
      </c>
      <c r="AR46">
        <f t="shared" si="71"/>
        <v>1.2139999361100824E-5</v>
      </c>
      <c r="AS46">
        <f t="shared" si="72"/>
        <v>22.533693040412434</v>
      </c>
      <c r="AT46">
        <f t="shared" si="73"/>
        <v>12.525058287926544</v>
      </c>
      <c r="AU46">
        <f t="shared" si="74"/>
        <v>2.6781082285502626</v>
      </c>
      <c r="AV46">
        <f t="shared" si="75"/>
        <v>0.2376765958964886</v>
      </c>
      <c r="AW46">
        <f t="shared" si="76"/>
        <v>1.5336603449944272E-2</v>
      </c>
      <c r="AX46">
        <f t="shared" si="77"/>
        <v>0.23767659379022921</v>
      </c>
      <c r="AY46">
        <f t="shared" si="78"/>
        <v>2.1062593891230108E-9</v>
      </c>
      <c r="AZ46">
        <f t="shared" si="79"/>
        <v>1030826.6174999001</v>
      </c>
      <c r="BA46">
        <f t="shared" si="80"/>
        <v>1.7852302738458469E-5</v>
      </c>
      <c r="BB46" s="15">
        <f t="shared" si="81"/>
        <v>901905.54188102216</v>
      </c>
      <c r="BC46" s="20">
        <f t="shared" si="82"/>
        <v>-2406.1035877278773</v>
      </c>
      <c r="BD46" s="19">
        <f t="shared" si="83"/>
        <v>-0.26607017611507955</v>
      </c>
      <c r="BE46" s="15">
        <v>965517.00069608551</v>
      </c>
      <c r="BF46" s="16">
        <f>テーブル2[[#This Row],[q_P]]/テーブル2[[#This Row],[q_M]]</f>
        <v>0.93411668694678296</v>
      </c>
      <c r="BG46">
        <v>1.2999931692195916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0.90190554188102212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1084744.48359375</v>
      </c>
      <c r="T47">
        <v>560.37222222222226</v>
      </c>
      <c r="U47" s="12">
        <f>+T47+BG47*S47*テーブル2[[#This Row],[Pw]]*R47/(N47*O47*K47)</f>
        <v>619.44654141169622</v>
      </c>
      <c r="V47">
        <v>0.03</v>
      </c>
      <c r="W47" s="8">
        <f t="shared" si="56"/>
        <v>1433780.6755375497</v>
      </c>
      <c r="X47">
        <v>1.6612978490425593E-2</v>
      </c>
      <c r="Y47">
        <f t="shared" si="59"/>
        <v>7.7584729199315809</v>
      </c>
      <c r="Z47">
        <f t="shared" si="57"/>
        <v>7.7584729328430893</v>
      </c>
      <c r="AA47">
        <f t="shared" si="60"/>
        <v>-1.2911508306956421E-8</v>
      </c>
      <c r="AB47">
        <f t="shared" si="61"/>
        <v>1.751023404007341E-5</v>
      </c>
      <c r="AC47">
        <v>637.30671686473067</v>
      </c>
      <c r="AD47">
        <f t="shared" si="58"/>
        <v>32668.672329907775</v>
      </c>
      <c r="AE47">
        <f>+gettm2(AD47,AC47,AK47,AL47,テーブル2[[#This Row],[Fcorr]])</f>
        <v>619.4465414116961</v>
      </c>
      <c r="AF47" s="14">
        <f t="shared" si="62"/>
        <v>0</v>
      </c>
      <c r="AG47">
        <v>1.753326831755194E-5</v>
      </c>
      <c r="AH47">
        <f t="shared" si="63"/>
        <v>38.949902583413362</v>
      </c>
      <c r="AI47">
        <f t="shared" si="64"/>
        <v>0.2522328646447749</v>
      </c>
      <c r="AJ47">
        <f t="shared" si="65"/>
        <v>38.385673773598789</v>
      </c>
      <c r="AK47">
        <f t="array" ref="AK47">+S47*テーブル2[[#This Row],[F_form]]/(E47*CpFromTP((テーブル2[[#This Row],[Tin]]+テーブル2[[#This Row],[Tf]])/2,テーブル2[[#This Row],[P]])*AI47)</f>
        <v>1.5152066851990311</v>
      </c>
      <c r="AL47">
        <f t="shared" si="66"/>
        <v>1.1897427482145444</v>
      </c>
      <c r="AM47">
        <f t="shared" si="67"/>
        <v>612.67292006080572</v>
      </c>
      <c r="AN47">
        <f t="shared" si="68"/>
        <v>2.3811708160792477E-8</v>
      </c>
      <c r="AO47">
        <f t="shared" si="69"/>
        <v>2.3034277478529747E-8</v>
      </c>
      <c r="AP47">
        <v>3.213803673465764</v>
      </c>
      <c r="AQ47">
        <f t="shared" si="70"/>
        <v>4.3264421812751839E-5</v>
      </c>
      <c r="AR47">
        <f t="shared" si="71"/>
        <v>8.7781512975152348E-6</v>
      </c>
      <c r="AS47">
        <f t="shared" si="72"/>
        <v>19.218051417395962</v>
      </c>
      <c r="AT47">
        <f t="shared" si="73"/>
        <v>11.729250076663034</v>
      </c>
      <c r="AU47">
        <f t="shared" si="74"/>
        <v>2.9585023469716627</v>
      </c>
      <c r="AV47">
        <f t="shared" si="75"/>
        <v>0.25530132649410131</v>
      </c>
      <c r="AW47">
        <f t="shared" si="76"/>
        <v>1.1056879359041134E-2</v>
      </c>
      <c r="AX47">
        <f t="shared" si="77"/>
        <v>0.25530132472370459</v>
      </c>
      <c r="AY47">
        <f t="shared" si="78"/>
        <v>1.7703967181148528E-9</v>
      </c>
      <c r="AZ47">
        <f t="shared" si="79"/>
        <v>1033117.12785038</v>
      </c>
      <c r="BA47">
        <f t="shared" si="80"/>
        <v>1.3462061223576707E-5</v>
      </c>
      <c r="BB47" s="15">
        <f t="shared" si="81"/>
        <v>1082220.174840905</v>
      </c>
      <c r="BC47" s="20">
        <f t="shared" si="82"/>
        <v>-2524.3087528450415</v>
      </c>
      <c r="BD47" s="19">
        <f t="shared" si="83"/>
        <v>-0.23270998756149708</v>
      </c>
      <c r="BE47" s="15">
        <v>1139192.3148456863</v>
      </c>
      <c r="BF47" s="16">
        <f>テーブル2[[#This Row],[q_P]]/テーブル2[[#This Row],[q_M]]</f>
        <v>0.94998900601563596</v>
      </c>
      <c r="BG47">
        <v>1.2999931692195916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1.082220174840905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1281183.65234375</v>
      </c>
      <c r="T48">
        <v>560.26111111111106</v>
      </c>
      <c r="U48" s="12">
        <f>+T48+BG48*S48*テーブル2[[#This Row],[Pw]]*R48/(N48*O48*K48)</f>
        <v>618.07164006457606</v>
      </c>
      <c r="V48">
        <v>0.03</v>
      </c>
      <c r="W48" s="8">
        <f t="shared" si="56"/>
        <v>1723997.5770876748</v>
      </c>
      <c r="X48">
        <v>1.5563670290763042E-2</v>
      </c>
      <c r="Y48">
        <f t="shared" si="59"/>
        <v>8.0157467765279247</v>
      </c>
      <c r="Z48">
        <f t="shared" si="57"/>
        <v>8.0157467977573926</v>
      </c>
      <c r="AA48">
        <f t="shared" si="60"/>
        <v>-2.1229467961347837E-8</v>
      </c>
      <c r="AB48">
        <f t="shared" si="61"/>
        <v>1.2788591577026091E-5</v>
      </c>
      <c r="AC48">
        <v>637.69691997873997</v>
      </c>
      <c r="AD48">
        <f t="shared" si="58"/>
        <v>38020.486783513152</v>
      </c>
      <c r="AE48">
        <f>+gettm2(AD48,AC48,AK48,AL48,テーブル2[[#This Row],[Fcorr]])</f>
        <v>618.07164006457606</v>
      </c>
      <c r="AF48" s="14">
        <f t="shared" si="62"/>
        <v>0</v>
      </c>
      <c r="AG48">
        <v>1.2810052917520122E-5</v>
      </c>
      <c r="AH48">
        <f t="shared" si="63"/>
        <v>52.622230936416727</v>
      </c>
      <c r="AI48">
        <f t="shared" si="64"/>
        <v>0.29347216821424105</v>
      </c>
      <c r="AJ48">
        <f t="shared" si="65"/>
        <v>32.639492756928973</v>
      </c>
      <c r="AK48">
        <f t="array" ref="AK48">+S48*テーブル2[[#This Row],[F_form]]/(E48*CpFromTP((テーブル2[[#This Row],[Tin]]+テーブル2[[#This Row],[Tf]])/2,テーブル2[[#This Row],[P]])*AI48)</f>
        <v>1.5494117076830229</v>
      </c>
      <c r="AL48">
        <f t="shared" si="66"/>
        <v>1.1961215883036658</v>
      </c>
      <c r="AM48">
        <f t="shared" si="67"/>
        <v>613.05026988284135</v>
      </c>
      <c r="AN48">
        <f t="shared" si="68"/>
        <v>4.9723212214303203E-9</v>
      </c>
      <c r="AO48">
        <f t="shared" si="69"/>
        <v>2.1461340494030774E-8</v>
      </c>
      <c r="AP48">
        <v>3.4773317335513054</v>
      </c>
      <c r="AQ48">
        <f t="shared" si="70"/>
        <v>3.6245183840813859E-5</v>
      </c>
      <c r="AR48">
        <f t="shared" si="71"/>
        <v>6.4157571290070764E-6</v>
      </c>
      <c r="AS48">
        <f t="shared" si="72"/>
        <v>16.347087688922731</v>
      </c>
      <c r="AT48">
        <f t="shared" si="73"/>
        <v>10.920248792379043</v>
      </c>
      <c r="AU48">
        <f t="shared" si="74"/>
        <v>3.2047890905384251</v>
      </c>
      <c r="AV48">
        <f t="shared" si="75"/>
        <v>0.27254264301288034</v>
      </c>
      <c r="AW48">
        <f t="shared" si="76"/>
        <v>8.1147695318668136E-3</v>
      </c>
      <c r="AX48">
        <f t="shared" si="77"/>
        <v>0.2725426310097277</v>
      </c>
      <c r="AY48">
        <f t="shared" si="78"/>
        <v>1.2003152638495607E-8</v>
      </c>
      <c r="AZ48">
        <f t="shared" si="79"/>
        <v>1028533.0792909416</v>
      </c>
      <c r="BA48">
        <f t="shared" si="80"/>
        <v>1.0423274688204E-5</v>
      </c>
      <c r="BB48" s="15">
        <f t="shared" si="81"/>
        <v>1293916.7666828108</v>
      </c>
      <c r="BC48" s="20">
        <f t="shared" si="82"/>
        <v>12733.114339060849</v>
      </c>
      <c r="BD48" s="19">
        <f t="shared" si="83"/>
        <v>0.9938555113287123</v>
      </c>
      <c r="BE48" s="15">
        <v>1357022.3698807789</v>
      </c>
      <c r="BF48" s="16">
        <f>テーブル2[[#This Row],[q_P]]/テーブル2[[#This Row],[q_M]]</f>
        <v>0.95349700594581044</v>
      </c>
      <c r="BG48">
        <v>1.2999931692195916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1.2939167666828109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874899.47109374998</v>
      </c>
      <c r="T49">
        <v>587.59444444444443</v>
      </c>
      <c r="U49" s="12">
        <f>+T49+BG49*S49*テーブル2[[#This Row],[Pw]]*R49/(N49*O49*K49)</f>
        <v>635.5606038333309</v>
      </c>
      <c r="V49">
        <v>0.03</v>
      </c>
      <c r="W49" s="8">
        <f t="shared" si="56"/>
        <v>1227109.4637344524</v>
      </c>
      <c r="X49">
        <v>1.6508472429758583E-2</v>
      </c>
      <c r="Y49">
        <f t="shared" si="59"/>
        <v>7.7829914905227708</v>
      </c>
      <c r="Z49">
        <f t="shared" si="57"/>
        <v>7.7829915049323635</v>
      </c>
      <c r="AA49">
        <f t="shared" si="60"/>
        <v>-1.4409592630215684E-8</v>
      </c>
      <c r="AB49">
        <f t="shared" si="61"/>
        <v>1.6620320805582792E-5</v>
      </c>
      <c r="AC49">
        <v>644.48989296197374</v>
      </c>
      <c r="AD49">
        <f t="shared" si="58"/>
        <v>27871.591023882043</v>
      </c>
      <c r="AE49">
        <f>+gettm2(AD49,AC49,AK49,AL49,テーブル2[[#This Row],[Fcorr]])</f>
        <v>635.56060383333067</v>
      </c>
      <c r="AF49" s="14">
        <f t="shared" si="62"/>
        <v>0</v>
      </c>
      <c r="AG49">
        <v>1.6646725404225498E-5</v>
      </c>
      <c r="AH49">
        <f t="shared" si="63"/>
        <v>26.266974274602656</v>
      </c>
      <c r="AI49">
        <f t="shared" si="64"/>
        <v>0.21385369297191797</v>
      </c>
      <c r="AJ49">
        <f t="shared" si="65"/>
        <v>31.093197150392605</v>
      </c>
      <c r="AK49">
        <f t="array" ref="AK49">+S49*テーブル2[[#This Row],[F_form]]/(E49*CpFromTP((テーブル2[[#This Row],[Tin]]+テーブル2[[#This Row],[Tf]])/2,テーブル2[[#This Row],[P]])*AI49)</f>
        <v>1.1884991915514642</v>
      </c>
      <c r="AL49">
        <f t="shared" si="66"/>
        <v>1.4487735538805233</v>
      </c>
      <c r="AM49">
        <f t="shared" si="67"/>
        <v>623.23870133053072</v>
      </c>
      <c r="AN49">
        <f t="shared" si="68"/>
        <v>2.6057023205794394E-9</v>
      </c>
      <c r="AO49">
        <f t="shared" si="69"/>
        <v>2.6404598642705123E-8</v>
      </c>
      <c r="AP49">
        <v>2.5043787391137302</v>
      </c>
      <c r="AQ49">
        <f t="shared" si="70"/>
        <v>3.8365338576602467E-5</v>
      </c>
      <c r="AR49">
        <f t="shared" si="71"/>
        <v>8.3365650014341014E-6</v>
      </c>
      <c r="AS49">
        <f t="shared" si="72"/>
        <v>15.57125818155547</v>
      </c>
      <c r="AT49">
        <f t="shared" si="73"/>
        <v>10.677133953225233</v>
      </c>
      <c r="AU49">
        <f t="shared" si="74"/>
        <v>2.2833445262530701</v>
      </c>
      <c r="AV49">
        <f t="shared" si="75"/>
        <v>0.22103421286066016</v>
      </c>
      <c r="AW49">
        <f t="shared" si="76"/>
        <v>1.2341119915387914E-2</v>
      </c>
      <c r="AX49">
        <f t="shared" si="77"/>
        <v>0.22103420751717287</v>
      </c>
      <c r="AY49">
        <f t="shared" si="78"/>
        <v>5.3434872915314457E-9</v>
      </c>
      <c r="AZ49">
        <f t="shared" si="79"/>
        <v>891419.29711468448</v>
      </c>
      <c r="BA49">
        <f t="shared" si="80"/>
        <v>1.5319303736853916E-5</v>
      </c>
      <c r="BB49" s="15">
        <f t="shared" si="81"/>
        <v>882468.30234136304</v>
      </c>
      <c r="BC49" s="20">
        <f t="shared" si="82"/>
        <v>7568.8312476130668</v>
      </c>
      <c r="BD49" s="19">
        <f t="shared" si="83"/>
        <v>0.86510867793198476</v>
      </c>
      <c r="BE49" s="15">
        <v>835996.42743197642</v>
      </c>
      <c r="BF49" s="16">
        <f>テーブル2[[#This Row],[q_P]]/テーブル2[[#This Row],[q_M]]</f>
        <v>1.0555886046692082</v>
      </c>
      <c r="BG49">
        <v>1.2999931692195916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0.88246830234136298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978947.7348437499</v>
      </c>
      <c r="T50">
        <v>592.03888888888889</v>
      </c>
      <c r="U50" s="12">
        <f>+T50+BG50*S50*テーブル2[[#This Row],[Pw]]*R50/(N50*O50*K50)</f>
        <v>635.41003868727125</v>
      </c>
      <c r="V50">
        <v>0.03</v>
      </c>
      <c r="W50" s="8">
        <f t="shared" si="56"/>
        <v>1513334.2453787837</v>
      </c>
      <c r="X50">
        <v>1.5356531069890664E-2</v>
      </c>
      <c r="Y50">
        <f t="shared" si="59"/>
        <v>8.0696265855658424</v>
      </c>
      <c r="Z50">
        <f t="shared" si="57"/>
        <v>8.0696265975257386</v>
      </c>
      <c r="AA50">
        <f t="shared" si="60"/>
        <v>-1.1959896184521313E-8</v>
      </c>
      <c r="AB50">
        <f t="shared" si="61"/>
        <v>1.1661302913555442E-5</v>
      </c>
      <c r="AC50">
        <v>641.94933036549435</v>
      </c>
      <c r="AD50">
        <f t="shared" si="58"/>
        <v>33151.747970074437</v>
      </c>
      <c r="AE50">
        <f>+gettm2(AD50,AC50,AK50,AL50,テーブル2[[#This Row],[Fcorr]])</f>
        <v>635.41003912580732</v>
      </c>
      <c r="AF50" s="14">
        <f t="shared" si="62"/>
        <v>4.3853606257471256E-7</v>
      </c>
      <c r="AG50">
        <v>1.1683709394333882E-5</v>
      </c>
      <c r="AH50">
        <f t="shared" si="63"/>
        <v>37.112523343953569</v>
      </c>
      <c r="AI50">
        <f t="shared" si="64"/>
        <v>0.25434948574277533</v>
      </c>
      <c r="AJ50">
        <f t="shared" si="65"/>
        <v>25.95744739780779</v>
      </c>
      <c r="AK50">
        <f t="array" ref="AK50">+S50*テーブル2[[#This Row],[F_form]]/(E50*CpFromTP((テーブル2[[#This Row],[Tin]]+テーブル2[[#This Row],[Tf]])/2,テーブル2[[#This Row],[P]])*AI50)</f>
        <v>1.085929713820259</v>
      </c>
      <c r="AL50">
        <f t="shared" si="66"/>
        <v>1.4549166438635874</v>
      </c>
      <c r="AM50">
        <f t="shared" si="67"/>
        <v>623.40834329050494</v>
      </c>
      <c r="AN50">
        <f t="shared" si="68"/>
        <v>1.502030499977991E-9</v>
      </c>
      <c r="AO50">
        <f t="shared" si="69"/>
        <v>2.2406480778439997E-8</v>
      </c>
      <c r="AP50">
        <v>2.7269729968026852</v>
      </c>
      <c r="AQ50">
        <f t="shared" si="70"/>
        <v>3.1985568453926291E-5</v>
      </c>
      <c r="AR50">
        <f t="shared" si="71"/>
        <v>5.8530579375561611E-6</v>
      </c>
      <c r="AS50">
        <f t="shared" si="72"/>
        <v>13.003613698584065</v>
      </c>
      <c r="AT50">
        <f t="shared" si="73"/>
        <v>9.7761364782364968</v>
      </c>
      <c r="AU50">
        <f t="shared" si="74"/>
        <v>2.4865552857906397</v>
      </c>
      <c r="AV50">
        <f t="shared" si="75"/>
        <v>0.24041771101204557</v>
      </c>
      <c r="AW50">
        <f t="shared" si="76"/>
        <v>8.6862619192560053E-3</v>
      </c>
      <c r="AX50">
        <f t="shared" si="77"/>
        <v>0.24041771017205862</v>
      </c>
      <c r="AY50">
        <f t="shared" si="78"/>
        <v>8.3998694111464545E-10</v>
      </c>
      <c r="AZ50">
        <f t="shared" si="79"/>
        <v>888872.47317885025</v>
      </c>
      <c r="BA50">
        <f t="shared" si="80"/>
        <v>1.1729330833649124E-5</v>
      </c>
      <c r="BB50" s="15">
        <f t="shared" si="81"/>
        <v>974088.97404827108</v>
      </c>
      <c r="BC50" s="20">
        <f t="shared" si="82"/>
        <v>-4858.7607954788255</v>
      </c>
      <c r="BD50" s="19">
        <f t="shared" si="83"/>
        <v>-0.49632484171939306</v>
      </c>
      <c r="BE50" s="15">
        <v>959629.70191135327</v>
      </c>
      <c r="BF50" s="16">
        <f>テーブル2[[#This Row],[q_P]]/テーブル2[[#This Row],[q_M]]</f>
        <v>1.0150675537742511</v>
      </c>
      <c r="BG50">
        <v>1.2999931692195916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0.97408897404827099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1146379.07421875</v>
      </c>
      <c r="T51">
        <v>591.48333333333335</v>
      </c>
      <c r="U51" s="12">
        <f>+T51+BG51*S51*テーブル2[[#This Row],[Pw]]*R51/(N51*O51*K51)</f>
        <v>633.79353954414273</v>
      </c>
      <c r="V51">
        <v>0.03</v>
      </c>
      <c r="W51" s="8">
        <f t="shared" si="56"/>
        <v>1822817.5684962124</v>
      </c>
      <c r="X51">
        <v>1.4465325434657367E-2</v>
      </c>
      <c r="Y51">
        <f t="shared" si="59"/>
        <v>8.3144953673293447</v>
      </c>
      <c r="Z51">
        <f t="shared" si="57"/>
        <v>8.3144953753275956</v>
      </c>
      <c r="AA51">
        <f t="shared" si="60"/>
        <v>-7.9982509504361587E-9</v>
      </c>
      <c r="AB51">
        <f t="shared" si="61"/>
        <v>8.5960371149621762E-6</v>
      </c>
      <c r="AC51">
        <v>641.0131906528793</v>
      </c>
      <c r="AD51">
        <f t="shared" si="58"/>
        <v>38755.408675020262</v>
      </c>
      <c r="AE51">
        <f>+gettm2(AD51,AC51,AK51,AL51,テーブル2[[#This Row],[Fcorr]])</f>
        <v>633.79353954414262</v>
      </c>
      <c r="AF51" s="14">
        <f t="shared" si="62"/>
        <v>0</v>
      </c>
      <c r="AG51">
        <v>8.6170410228369784E-6</v>
      </c>
      <c r="AH51">
        <f t="shared" si="63"/>
        <v>50.786837376028174</v>
      </c>
      <c r="AI51">
        <f t="shared" si="64"/>
        <v>0.29736326357140308</v>
      </c>
      <c r="AJ51">
        <f t="shared" si="65"/>
        <v>22.380268138002027</v>
      </c>
      <c r="AK51">
        <f t="array" ref="AK51">+S51*テーブル2[[#This Row],[F_form]]/(E51*CpFromTP((テーブル2[[#This Row],[Tin]]+テーブル2[[#This Row],[Tf]])/2,テーブル2[[#This Row],[P]])*AI51)</f>
        <v>1.0949880468880966</v>
      </c>
      <c r="AL51">
        <f t="shared" si="66"/>
        <v>1.4487735538805233</v>
      </c>
      <c r="AM51">
        <f t="shared" si="67"/>
        <v>623.23870132527975</v>
      </c>
      <c r="AN51">
        <f t="shared" si="68"/>
        <v>7.8566699812654406E-9</v>
      </c>
      <c r="AO51">
        <f t="shared" si="69"/>
        <v>2.1003907874802261E-8</v>
      </c>
      <c r="AP51">
        <v>2.9484307436382093</v>
      </c>
      <c r="AQ51">
        <f t="shared" si="70"/>
        <v>2.767943300456205E-5</v>
      </c>
      <c r="AR51">
        <f t="shared" si="71"/>
        <v>4.3190224653558903E-6</v>
      </c>
      <c r="AS51">
        <f t="shared" si="72"/>
        <v>11.217409852471127</v>
      </c>
      <c r="AT51">
        <f t="shared" si="73"/>
        <v>9.037335112529842</v>
      </c>
      <c r="AU51">
        <f t="shared" si="74"/>
        <v>2.6873714630503072</v>
      </c>
      <c r="AV51">
        <f t="shared" si="75"/>
        <v>0.26105928058790218</v>
      </c>
      <c r="AW51">
        <f t="shared" si="76"/>
        <v>6.3828325622474957E-3</v>
      </c>
      <c r="AX51">
        <f t="shared" si="77"/>
        <v>0.26105927535934864</v>
      </c>
      <c r="AY51">
        <f t="shared" si="78"/>
        <v>5.2285535345752976E-9</v>
      </c>
      <c r="AZ51">
        <f t="shared" si="79"/>
        <v>891419.29711468448</v>
      </c>
      <c r="BA51">
        <f t="shared" si="80"/>
        <v>9.3878525260549541E-6</v>
      </c>
      <c r="BB51" s="15">
        <f t="shared" si="81"/>
        <v>1145492.941604824</v>
      </c>
      <c r="BC51" s="20">
        <f t="shared" si="82"/>
        <v>-886.13261392596178</v>
      </c>
      <c r="BD51" s="19">
        <f t="shared" si="83"/>
        <v>-7.7298394035136719E-2</v>
      </c>
      <c r="BE51" s="15">
        <v>1097981.2233525608</v>
      </c>
      <c r="BF51" s="16">
        <f>テーブル2[[#This Row],[q_P]]/テーブル2[[#This Row],[q_M]]</f>
        <v>1.0432718859318848</v>
      </c>
      <c r="BG51">
        <v>1.2999931692195916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1.1454929416048241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534948.05390625005</v>
      </c>
      <c r="T52">
        <v>592.70555555555552</v>
      </c>
      <c r="U52" s="12">
        <f>+T52+BG52*S52*テーブル2[[#This Row],[Pw]]*R52/(N52*O52*K52)</f>
        <v>629.73397115386604</v>
      </c>
      <c r="V52">
        <v>0.03</v>
      </c>
      <c r="W52" s="8">
        <f t="shared" si="56"/>
        <v>1130133.7235694311</v>
      </c>
      <c r="X52">
        <v>1.8106595159717832E-2</v>
      </c>
      <c r="Y52">
        <f t="shared" si="59"/>
        <v>7.4315876491124939</v>
      </c>
      <c r="Z52">
        <f t="shared" si="57"/>
        <v>7.4315876495924504</v>
      </c>
      <c r="AA52">
        <f t="shared" si="60"/>
        <v>-4.7995651897281277E-10</v>
      </c>
      <c r="AB52">
        <f t="shared" si="61"/>
        <v>2.5998049742769597E-5</v>
      </c>
      <c r="AC52">
        <v>624.30724063933724</v>
      </c>
      <c r="AD52">
        <f t="shared" si="58"/>
        <v>26882.722014285268</v>
      </c>
      <c r="AE52">
        <f>+gettm2(AD52,AC52,AK52,AL52,テーブル2[[#This Row],[Fcorr]])</f>
        <v>629.73397115386592</v>
      </c>
      <c r="AF52" s="14">
        <f t="shared" si="62"/>
        <v>0</v>
      </c>
      <c r="AG52">
        <v>2.6013941130195277E-5</v>
      </c>
      <c r="AH52">
        <f t="shared" si="63"/>
        <v>26.408556735158957</v>
      </c>
      <c r="AI52">
        <f t="shared" si="64"/>
        <v>0.20758915672262077</v>
      </c>
      <c r="AJ52">
        <f t="shared" si="65"/>
        <v>46.865601826846301</v>
      </c>
      <c r="AK52">
        <f t="array" ref="AK52">+S52*テーブル2[[#This Row],[F_form]]/(E52*CpFromTP((テーブル2[[#This Row],[Tin]]+テーブル2[[#This Row],[Tf]])/2,テーブル2[[#This Row],[P]])*AI52)</f>
        <v>0.70674088104618471</v>
      </c>
      <c r="AL52">
        <f t="shared" si="66"/>
        <v>1.186598293632519</v>
      </c>
      <c r="AM52">
        <f t="shared" si="67"/>
        <v>612.48370253868393</v>
      </c>
      <c r="AN52">
        <f t="shared" si="68"/>
        <v>1.2611508282134309E-8</v>
      </c>
      <c r="AO52">
        <f t="shared" si="69"/>
        <v>1.5891387425680134E-8</v>
      </c>
      <c r="AP52">
        <v>2.8768840814663212</v>
      </c>
      <c r="AQ52">
        <f t="shared" si="70"/>
        <v>5.4516096121237412E-5</v>
      </c>
      <c r="AR52">
        <f t="shared" si="71"/>
        <v>1.3014916258810478E-5</v>
      </c>
      <c r="AS52">
        <f t="shared" si="72"/>
        <v>23.447115534799451</v>
      </c>
      <c r="AT52">
        <f t="shared" si="73"/>
        <v>12.723737412069802</v>
      </c>
      <c r="AU52">
        <f t="shared" si="74"/>
        <v>2.6413099197316314</v>
      </c>
      <c r="AV52">
        <f t="shared" si="75"/>
        <v>0.23557416173468981</v>
      </c>
      <c r="AW52">
        <f t="shared" si="76"/>
        <v>1.6376863588983871E-2</v>
      </c>
      <c r="AX52">
        <f t="shared" si="77"/>
        <v>0.23557416122741748</v>
      </c>
      <c r="AY52">
        <f t="shared" si="78"/>
        <v>5.0727233524838766E-10</v>
      </c>
      <c r="AZ52">
        <f t="shared" si="79"/>
        <v>1035404.645585787</v>
      </c>
      <c r="BA52">
        <f t="shared" si="80"/>
        <v>1.8949702030903887E-5</v>
      </c>
      <c r="BB52" s="15">
        <f t="shared" si="81"/>
        <v>532114.23492417252</v>
      </c>
      <c r="BC52" s="20">
        <f t="shared" si="82"/>
        <v>-2833.8189820775297</v>
      </c>
      <c r="BD52" s="19">
        <f t="shared" si="83"/>
        <v>-0.52973722614460772</v>
      </c>
      <c r="BE52" s="15">
        <v>762405.19262282364</v>
      </c>
      <c r="BF52" s="16">
        <f>テーブル2[[#This Row],[q_P]]/テーブル2[[#This Row],[q_M]]</f>
        <v>0.69794151466045895</v>
      </c>
      <c r="BG52">
        <v>1.2999931692195916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0.53211423492417254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910212.76484374993</v>
      </c>
      <c r="T53">
        <v>592.70555555555552</v>
      </c>
      <c r="U53" s="12">
        <f>+T53+BG53*S53*テーブル2[[#This Row],[Pw]]*R53/(N53*O53*K53)</f>
        <v>628.25698998068526</v>
      </c>
      <c r="V53">
        <v>0.03</v>
      </c>
      <c r="W53" s="8">
        <f t="shared" si="56"/>
        <v>1130133.7235694311</v>
      </c>
      <c r="X53">
        <v>1.8106595159717832E-2</v>
      </c>
      <c r="Y53">
        <f t="shared" si="59"/>
        <v>7.4315876491124939</v>
      </c>
      <c r="Z53">
        <f t="shared" si="57"/>
        <v>7.4315876495924504</v>
      </c>
      <c r="AA53">
        <f t="shared" si="60"/>
        <v>-4.7995651897281277E-10</v>
      </c>
      <c r="AB53">
        <f t="shared" si="61"/>
        <v>2.5998049742769597E-5</v>
      </c>
      <c r="AC53">
        <v>626.26087023094146</v>
      </c>
      <c r="AD53">
        <f t="shared" si="58"/>
        <v>26882.722014285268</v>
      </c>
      <c r="AE53">
        <f>+gettm2(AD53,AC53,AK53,AL53,テーブル2[[#This Row],[Fcorr]])</f>
        <v>628.25698998068515</v>
      </c>
      <c r="AF53" s="14">
        <f t="shared" si="62"/>
        <v>0</v>
      </c>
      <c r="AG53">
        <v>2.6025130489955581E-5</v>
      </c>
      <c r="AH53">
        <f t="shared" si="63"/>
        <v>26.408556735158957</v>
      </c>
      <c r="AI53">
        <f t="shared" si="64"/>
        <v>0.20758915672262077</v>
      </c>
      <c r="AJ53">
        <f t="shared" si="65"/>
        <v>46.885760098005576</v>
      </c>
      <c r="AK53">
        <f t="array" ref="AK53">+S53*テーブル2[[#This Row],[F_form]]/(E53*CpFromTP((テーブル2[[#This Row],[Tin]]+テーブル2[[#This Row],[Tf]])/2,テーブル2[[#This Row],[P]])*AI53)</f>
        <v>0.82346433560107646</v>
      </c>
      <c r="AL53">
        <f t="shared" si="66"/>
        <v>1.186598293632519</v>
      </c>
      <c r="AM53">
        <f t="shared" si="67"/>
        <v>612.48370255124985</v>
      </c>
      <c r="AN53">
        <f t="shared" si="68"/>
        <v>4.5588421926368028E-11</v>
      </c>
      <c r="AO53">
        <f t="shared" si="69"/>
        <v>2.7080747185984571E-8</v>
      </c>
      <c r="AP53">
        <v>2.8777085615457327</v>
      </c>
      <c r="AQ53">
        <f t="shared" si="70"/>
        <v>5.4484862245083156E-5</v>
      </c>
      <c r="AR53">
        <f t="shared" si="71"/>
        <v>1.3026105618570783E-5</v>
      </c>
      <c r="AS53">
        <f t="shared" si="72"/>
        <v>23.467273805958722</v>
      </c>
      <c r="AT53">
        <f t="shared" si="73"/>
        <v>12.728034232871078</v>
      </c>
      <c r="AU53">
        <f t="shared" si="74"/>
        <v>2.6422018931383562</v>
      </c>
      <c r="AV53">
        <f t="shared" si="75"/>
        <v>0.23550666840737655</v>
      </c>
      <c r="AW53">
        <f t="shared" si="76"/>
        <v>1.6376863588983871E-2</v>
      </c>
      <c r="AX53">
        <f t="shared" si="77"/>
        <v>0.23550666787324276</v>
      </c>
      <c r="AY53">
        <f t="shared" si="78"/>
        <v>5.3413379275113471E-10</v>
      </c>
      <c r="AZ53">
        <f t="shared" si="79"/>
        <v>1035404.645585787</v>
      </c>
      <c r="BA53">
        <f t="shared" si="80"/>
        <v>1.8933419100583678E-5</v>
      </c>
      <c r="BB53" s="15">
        <f t="shared" si="81"/>
        <v>907563.54194633476</v>
      </c>
      <c r="BC53" s="20">
        <f t="shared" si="82"/>
        <v>-2649.2228974151658</v>
      </c>
      <c r="BD53" s="19">
        <f t="shared" si="83"/>
        <v>-0.29105534439191699</v>
      </c>
      <c r="BE53" s="15">
        <v>1138098.2303985937</v>
      </c>
      <c r="BF53" s="16">
        <f>テーブル2[[#This Row],[q_P]]/テーブル2[[#This Row],[q_M]]</f>
        <v>0.79743867243206301</v>
      </c>
      <c r="BG53">
        <v>0.87764429672520372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0.90756354194633471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736528.42593125009</v>
      </c>
      <c r="T54">
        <v>587.26111111111106</v>
      </c>
      <c r="U54" s="12">
        <f>+T54+BG54*S54*テーブル2[[#This Row],[Pw]]*R54/(N54*O54*K54)</f>
        <v>627.70775655366663</v>
      </c>
      <c r="V54">
        <v>0.03</v>
      </c>
      <c r="W54" s="8">
        <f t="shared" si="56"/>
        <v>1427092.5380267045</v>
      </c>
      <c r="X54">
        <v>1.6669843355385523E-2</v>
      </c>
      <c r="Y54">
        <f t="shared" si="59"/>
        <v>7.7452286021736381</v>
      </c>
      <c r="Z54">
        <f t="shared" si="57"/>
        <v>7.7452286128938992</v>
      </c>
      <c r="AA54">
        <f t="shared" si="60"/>
        <v>-1.0720261123253749E-8</v>
      </c>
      <c r="AB54">
        <f t="shared" si="61"/>
        <v>1.7804228812400651E-5</v>
      </c>
      <c r="AC54">
        <v>626.19984942085944</v>
      </c>
      <c r="AD54">
        <f t="shared" si="58"/>
        <v>32571.88595880197</v>
      </c>
      <c r="AE54">
        <f>+gettm2(AD54,AC54,AK54,AL54,テーブル2[[#This Row],[Fcorr]])</f>
        <v>627.70775655366663</v>
      </c>
      <c r="AF54" s="14">
        <f t="shared" si="62"/>
        <v>0</v>
      </c>
      <c r="AG54">
        <v>1.7819889140356234E-5</v>
      </c>
      <c r="AH54">
        <f t="shared" si="63"/>
        <v>38.818505490776253</v>
      </c>
      <c r="AI54">
        <f t="shared" si="64"/>
        <v>0.2515568090321792</v>
      </c>
      <c r="AJ54">
        <f t="shared" si="65"/>
        <v>38.89759119083886</v>
      </c>
      <c r="AK54">
        <f t="array" ref="AK54">+S54*テーブル2[[#This Row],[F_form]]/(E54*CpFromTP((テーブル2[[#This Row],[Tin]]+テーブル2[[#This Row],[Tf]])/2,テーブル2[[#This Row],[P]])*AI54)</f>
        <v>0.85642408497303557</v>
      </c>
      <c r="AL54">
        <f t="shared" si="66"/>
        <v>1.1834832388614511</v>
      </c>
      <c r="AM54">
        <f t="shared" si="67"/>
        <v>612.29412140635702</v>
      </c>
      <c r="AN54">
        <f t="shared" si="68"/>
        <v>5.7814304454950616E-9</v>
      </c>
      <c r="AO54">
        <f t="shared" si="69"/>
        <v>1.5660327955583069E-8</v>
      </c>
      <c r="AP54">
        <v>3.2224683667002192</v>
      </c>
      <c r="AQ54">
        <f t="shared" si="70"/>
        <v>4.3871562954232114E-5</v>
      </c>
      <c r="AR54">
        <f t="shared" si="71"/>
        <v>8.9177747341559087E-6</v>
      </c>
      <c r="AS54">
        <f t="shared" si="72"/>
        <v>19.465887425506949</v>
      </c>
      <c r="AT54">
        <f t="shared" si="73"/>
        <v>11.793317854266201</v>
      </c>
      <c r="AU54">
        <f t="shared" si="74"/>
        <v>2.9666894073214318</v>
      </c>
      <c r="AV54">
        <f t="shared" si="75"/>
        <v>0.25577895937878736</v>
      </c>
      <c r="AW54">
        <f t="shared" si="76"/>
        <v>1.1188355668573437E-2</v>
      </c>
      <c r="AX54">
        <f t="shared" si="77"/>
        <v>0.25577895737046524</v>
      </c>
      <c r="AY54">
        <f t="shared" si="78"/>
        <v>2.008322119717576E-9</v>
      </c>
      <c r="AZ54">
        <f t="shared" si="79"/>
        <v>1037689.2055825926</v>
      </c>
      <c r="BA54">
        <f t="shared" si="80"/>
        <v>1.3614272651233573E-5</v>
      </c>
      <c r="BB54" s="15">
        <f t="shared" si="81"/>
        <v>732217.93905378948</v>
      </c>
      <c r="BC54" s="20">
        <f t="shared" si="82"/>
        <v>-4310.4868774606148</v>
      </c>
      <c r="BD54" s="19">
        <f t="shared" si="83"/>
        <v>-0.58524379042268893</v>
      </c>
      <c r="BE54" s="15">
        <v>941967.80555715668</v>
      </c>
      <c r="BF54" s="16">
        <f>テーブル2[[#This Row],[q_P]]/テーブル2[[#This Row],[q_M]]</f>
        <v>0.77732798799922465</v>
      </c>
      <c r="BG54">
        <v>1.2999931692195916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0.7322179390537894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800473.16640624998</v>
      </c>
      <c r="T55">
        <v>591.65</v>
      </c>
      <c r="U55" s="12">
        <f>+T55+BG55*S55*テーブル2[[#This Row],[Pw]]*R55/(N55*O55*K55)</f>
        <v>628.18325362866949</v>
      </c>
      <c r="V55">
        <v>0.03</v>
      </c>
      <c r="W55" s="8">
        <f t="shared" si="56"/>
        <v>1707675.7249469089</v>
      </c>
      <c r="X55">
        <v>1.5627386106411484E-2</v>
      </c>
      <c r="Y55">
        <f t="shared" si="59"/>
        <v>7.9993892267115339</v>
      </c>
      <c r="Z55">
        <f t="shared" si="57"/>
        <v>7.9993892316620592</v>
      </c>
      <c r="AA55">
        <f t="shared" si="60"/>
        <v>-4.9505253230108792E-9</v>
      </c>
      <c r="AB55">
        <f t="shared" si="61"/>
        <v>1.3051628850669111E-5</v>
      </c>
      <c r="AC55">
        <v>625.17650129316189</v>
      </c>
      <c r="AD55">
        <f t="shared" si="58"/>
        <v>37737.540046979542</v>
      </c>
      <c r="AE55">
        <f>+gettm2(AD55,AC55,AK55,AL55,テーブル2[[#This Row],[Fcorr]])</f>
        <v>628.1832538913111</v>
      </c>
      <c r="AF55" s="14">
        <f t="shared" si="62"/>
        <v>2.6264160624123178E-7</v>
      </c>
      <c r="AG55">
        <v>1.306505608394029E-5</v>
      </c>
      <c r="AH55">
        <f t="shared" si="63"/>
        <v>51.908182836537719</v>
      </c>
      <c r="AI55">
        <f t="shared" si="64"/>
        <v>0.2913285513137408</v>
      </c>
      <c r="AJ55">
        <f t="shared" si="65"/>
        <v>33.041493490685745</v>
      </c>
      <c r="AK55">
        <f t="array" ref="AK55">+S55*テーブル2[[#This Row],[F_form]]/(E55*CpFromTP((テーブル2[[#This Row],[Tin]]+テーブル2[[#This Row],[Tf]])/2,テーブル2[[#This Row],[P]])*AI55)</f>
        <v>0.77401489857856853</v>
      </c>
      <c r="AL55">
        <f t="shared" si="66"/>
        <v>1.1929170333202277</v>
      </c>
      <c r="AM55">
        <f t="shared" si="67"/>
        <v>612.86177540093536</v>
      </c>
      <c r="AN55">
        <f t="shared" si="68"/>
        <v>2.075239535770379E-9</v>
      </c>
      <c r="AO55">
        <f t="shared" si="69"/>
        <v>1.3427233271179031E-8</v>
      </c>
      <c r="AP55">
        <v>3.4703531128129024</v>
      </c>
      <c r="AQ55">
        <f t="shared" si="70"/>
        <v>3.6746275159140058E-5</v>
      </c>
      <c r="AR55">
        <f t="shared" si="71"/>
        <v>6.5392416586057346E-6</v>
      </c>
      <c r="AS55">
        <f t="shared" si="72"/>
        <v>16.537725464679291</v>
      </c>
      <c r="AT55">
        <f t="shared" si="73"/>
        <v>10.978220814444182</v>
      </c>
      <c r="AU55">
        <f t="shared" si="74"/>
        <v>3.1982691658743789</v>
      </c>
      <c r="AV55">
        <f t="shared" si="75"/>
        <v>0.27208394693852345</v>
      </c>
      <c r="AW55">
        <f t="shared" si="76"/>
        <v>8.2615174866578888E-3</v>
      </c>
      <c r="AX55">
        <f t="shared" si="77"/>
        <v>0.27208393508450829</v>
      </c>
      <c r="AY55">
        <f t="shared" si="78"/>
        <v>1.1854015158352382E-8</v>
      </c>
      <c r="AZ55">
        <f t="shared" si="79"/>
        <v>1030826.6174999001</v>
      </c>
      <c r="BA55">
        <f t="shared" si="80"/>
        <v>1.0588627140987185E-5</v>
      </c>
      <c r="BB55" s="15">
        <f t="shared" si="81"/>
        <v>799470.10696891847</v>
      </c>
      <c r="BC55" s="20">
        <f t="shared" si="82"/>
        <v>-1003.0594373315107</v>
      </c>
      <c r="BD55" s="19">
        <f t="shared" si="83"/>
        <v>-0.12530831506005108</v>
      </c>
      <c r="BE55" s="15">
        <v>1024389.9885434078</v>
      </c>
      <c r="BF55" s="16">
        <f>テーブル2[[#This Row],[q_P]]/テーブル2[[#This Row],[q_M]]</f>
        <v>0.78043529896821273</v>
      </c>
      <c r="BG55">
        <v>1.2999931692195916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0.7994701069689184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1309775.26171875</v>
      </c>
      <c r="T56">
        <v>555.37222222222226</v>
      </c>
      <c r="U56" s="12">
        <f>+T56+BG56*S56*テーブル2[[#This Row],[Pw]]*R56/(N56*O56*K56)</f>
        <v>615.81710533078137</v>
      </c>
      <c r="V56">
        <v>0.03</v>
      </c>
      <c r="W56" s="8">
        <f t="shared" si="56"/>
        <v>1691964.4706523549</v>
      </c>
      <c r="X56">
        <v>1.5690019581589582E-2</v>
      </c>
      <c r="Y56">
        <f t="shared" si="59"/>
        <v>7.9834067557107096</v>
      </c>
      <c r="Z56">
        <f t="shared" si="57"/>
        <v>7.9834067631711267</v>
      </c>
      <c r="AA56">
        <f t="shared" si="60"/>
        <v>-7.460417172922007E-9</v>
      </c>
      <c r="AB56">
        <f t="shared" si="61"/>
        <v>1.3313705165212129E-5</v>
      </c>
      <c r="AC56">
        <v>638.81694117905715</v>
      </c>
      <c r="AD56">
        <f t="shared" si="58"/>
        <v>37465.194600950781</v>
      </c>
      <c r="AE56">
        <f>+gettm2(AD56,AC56,AK56,AL56,テーブル2[[#This Row],[Fcorr]])</f>
        <v>615.81710573588123</v>
      </c>
      <c r="AF56" s="14">
        <f t="shared" si="62"/>
        <v>4.0509985410608351E-7</v>
      </c>
      <c r="AG56">
        <v>1.3336020654300623E-5</v>
      </c>
      <c r="AH56">
        <f t="shared" si="63"/>
        <v>51.227055249481417</v>
      </c>
      <c r="AI56">
        <f t="shared" si="64"/>
        <v>0.2892665261459203</v>
      </c>
      <c r="AJ56">
        <f t="shared" si="65"/>
        <v>33.483361857137901</v>
      </c>
      <c r="AK56">
        <f t="array" ref="AK56">+S56*テーブル2[[#This Row],[F_form]]/(E56*CpFromTP((テーブル2[[#This Row],[Tin]]+テーブル2[[#This Row],[Tf]])/2,テーブル2[[#This Row],[P]])*AI56)</f>
        <v>1.6426122235244582</v>
      </c>
      <c r="AL56">
        <f t="shared" si="66"/>
        <v>1.1897427482145444</v>
      </c>
      <c r="AM56">
        <f t="shared" si="67"/>
        <v>612.67292008201548</v>
      </c>
      <c r="AN56">
        <f t="shared" si="68"/>
        <v>2.6019506549346261E-9</v>
      </c>
      <c r="AO56">
        <f t="shared" si="69"/>
        <v>2.2315489088493289E-8</v>
      </c>
      <c r="AP56">
        <v>3.4671682226450713</v>
      </c>
      <c r="AQ56">
        <f t="shared" si="70"/>
        <v>3.7172328173652142E-5</v>
      </c>
      <c r="AR56">
        <f t="shared" si="71"/>
        <v>6.679168071694558E-6</v>
      </c>
      <c r="AS56">
        <f t="shared" si="72"/>
        <v>16.769695192176439</v>
      </c>
      <c r="AT56">
        <f t="shared" si="73"/>
        <v>11.047866999451777</v>
      </c>
      <c r="AU56">
        <f t="shared" si="74"/>
        <v>3.1957781082535677</v>
      </c>
      <c r="AV56">
        <f t="shared" si="75"/>
        <v>0.27139011439150362</v>
      </c>
      <c r="AW56">
        <f t="shared" si="76"/>
        <v>8.4069711173875416E-3</v>
      </c>
      <c r="AX56">
        <f t="shared" si="77"/>
        <v>0.27139010270861524</v>
      </c>
      <c r="AY56">
        <f t="shared" si="78"/>
        <v>1.1682888378938827E-8</v>
      </c>
      <c r="AZ56">
        <f t="shared" si="79"/>
        <v>1033117.12785038</v>
      </c>
      <c r="BA56">
        <f t="shared" si="80"/>
        <v>1.0721235828959493E-5</v>
      </c>
      <c r="BB56" s="15">
        <f t="shared" si="81"/>
        <v>1316479.6603743481</v>
      </c>
      <c r="BC56" s="20">
        <f t="shared" si="82"/>
        <v>6704.3986555980518</v>
      </c>
      <c r="BD56" s="19">
        <f t="shared" si="83"/>
        <v>0.51187397193624029</v>
      </c>
      <c r="BE56" s="15">
        <v>1339360.4735265824</v>
      </c>
      <c r="BF56" s="16">
        <f>テーブル2[[#This Row],[q_P]]/テーブル2[[#This Row],[q_M]]</f>
        <v>0.98291661311163803</v>
      </c>
      <c r="BG56">
        <v>1.2999931692195916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1.316479660374348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1416984.25390625</v>
      </c>
      <c r="T57">
        <v>512.59444444444443</v>
      </c>
      <c r="U57" s="12">
        <f>+T57+BG57*S57*テーブル2[[#This Row],[Pw]]*R57/(N57*O57*K57)</f>
        <v>592.52311490881038</v>
      </c>
      <c r="V57">
        <v>0.03</v>
      </c>
      <c r="W57" s="8">
        <f t="shared" si="56"/>
        <v>1188608.2081985644</v>
      </c>
      <c r="X57">
        <v>1.6672181447234841E-2</v>
      </c>
      <c r="Y57">
        <f t="shared" si="59"/>
        <v>7.7446854911576279</v>
      </c>
      <c r="Z57">
        <f t="shared" si="57"/>
        <v>7.7446855018271785</v>
      </c>
      <c r="AA57">
        <f t="shared" si="60"/>
        <v>-1.0669550576380971E-8</v>
      </c>
      <c r="AB57">
        <f t="shared" si="61"/>
        <v>1.741165450435356E-5</v>
      </c>
      <c r="AC57">
        <v>678.04278336063351</v>
      </c>
      <c r="AD57">
        <f t="shared" si="58"/>
        <v>27130.634457357668</v>
      </c>
      <c r="AE57">
        <f>+gettm2(AD57,AC57,AK57,AL57,テーブル2[[#This Row],[Fcorr]])</f>
        <v>592.52311490881016</v>
      </c>
      <c r="AF57" s="14">
        <f t="shared" si="62"/>
        <v>0</v>
      </c>
      <c r="AG57">
        <v>1.7455786540654948E-5</v>
      </c>
      <c r="AH57">
        <f t="shared" si="63"/>
        <v>24.855787052978158</v>
      </c>
      <c r="AI57">
        <f t="shared" si="64"/>
        <v>0.20815381826422133</v>
      </c>
      <c r="AJ57">
        <f t="shared" si="65"/>
        <v>31.737606893217762</v>
      </c>
      <c r="AK57">
        <f t="array" ref="AK57">+S57*テーブル2[[#This Row],[F_form]]/(E57*CpFromTP((テーブル2[[#This Row],[Tin]]+テーブル2[[#This Row],[Tf]])/2,テーブル2[[#This Row],[P]])*AI57)</f>
        <v>3.0384052089265978</v>
      </c>
      <c r="AL57">
        <f t="shared" si="66"/>
        <v>1.4549166438635874</v>
      </c>
      <c r="AM57">
        <f t="shared" si="67"/>
        <v>623.40834326114941</v>
      </c>
      <c r="AN57">
        <f t="shared" si="68"/>
        <v>3.0857563615427352E-8</v>
      </c>
      <c r="AO57">
        <f t="shared" si="69"/>
        <v>4.4132036301388602E-8</v>
      </c>
      <c r="AP57">
        <v>2.4626817542341439</v>
      </c>
      <c r="AQ57">
        <f t="shared" si="70"/>
        <v>3.9219239039877978E-5</v>
      </c>
      <c r="AR57">
        <f t="shared" si="71"/>
        <v>8.7499592884781685E-6</v>
      </c>
      <c r="AS57">
        <f t="shared" si="72"/>
        <v>15.908923243452996</v>
      </c>
      <c r="AT57">
        <f t="shared" si="73"/>
        <v>10.784400810433267</v>
      </c>
      <c r="AU57">
        <f t="shared" si="74"/>
        <v>2.2448142063834475</v>
      </c>
      <c r="AV57">
        <f t="shared" si="75"/>
        <v>0.2178675478506964</v>
      </c>
      <c r="AW57">
        <f t="shared" si="76"/>
        <v>1.2969579179407153E-2</v>
      </c>
      <c r="AX57">
        <f t="shared" si="77"/>
        <v>0.21786753465394612</v>
      </c>
      <c r="AY57">
        <f t="shared" si="78"/>
        <v>1.3196750275890068E-8</v>
      </c>
      <c r="AZ57">
        <f t="shared" si="79"/>
        <v>888872.47317885025</v>
      </c>
      <c r="BA57">
        <f t="shared" si="80"/>
        <v>1.5925419097472689E-5</v>
      </c>
      <c r="BB57" s="15">
        <f t="shared" si="81"/>
        <v>1413062.2997446833</v>
      </c>
      <c r="BC57" s="20">
        <f t="shared" si="82"/>
        <v>-3921.9541615666822</v>
      </c>
      <c r="BD57" s="19">
        <f t="shared" si="83"/>
        <v>-0.27678177444490965</v>
      </c>
      <c r="BE57" s="15">
        <v>1474768.3455754232</v>
      </c>
      <c r="BF57" s="16">
        <f>テーブル2[[#This Row],[q_P]]/テーブル2[[#This Row],[q_M]]</f>
        <v>0.95815882133904662</v>
      </c>
      <c r="BG57">
        <v>1.2999931692195916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1.4130622997446833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1377260.30078125</v>
      </c>
      <c r="T58">
        <v>549.81666666666661</v>
      </c>
      <c r="U58" s="12">
        <f>+T58+BG58*S58*テーブル2[[#This Row],[Pw]]*R58/(N58*O58*K58)</f>
        <v>613.03573373720781</v>
      </c>
      <c r="V58">
        <v>0.03</v>
      </c>
      <c r="W58" s="8">
        <f t="shared" ref="W58:W59" si="84">+N58*P58/I58</f>
        <v>1697911.0134352716</v>
      </c>
      <c r="X58">
        <v>1.5657845583178065E-2</v>
      </c>
      <c r="Y58">
        <f t="shared" si="59"/>
        <v>7.991604764218172</v>
      </c>
      <c r="Z58">
        <f t="shared" ref="Z58:Z59" si="85">IF(X58&gt;0,1.14-2*LOG((0.72*L58*E58)/(X58*P58*N58^2)+9.35/(W58*X58^0.5)),0)</f>
        <v>7.9916047703163455</v>
      </c>
      <c r="AA58">
        <f t="shared" si="60"/>
        <v>-6.0981735217069399E-9</v>
      </c>
      <c r="AB58">
        <f t="shared" si="61"/>
        <v>1.3176498316423431E-5</v>
      </c>
      <c r="AC58">
        <v>641.02116838397694</v>
      </c>
      <c r="AD58">
        <f t="shared" ref="AD58:AD59" si="86">+P58/2*AI58/I58*E58</f>
        <v>37558.301081999904</v>
      </c>
      <c r="AE58">
        <f>+gettm2(AD58,AC58,AK58,AL58,テーブル2[[#This Row],[Fcorr]])</f>
        <v>613.03573416458914</v>
      </c>
      <c r="AF58" s="14">
        <f t="shared" si="62"/>
        <v>4.2738133743114304E-7</v>
      </c>
      <c r="AG58">
        <v>1.3199815073583359E-5</v>
      </c>
      <c r="AH58">
        <f t="shared" si="63"/>
        <v>51.416265568123777</v>
      </c>
      <c r="AI58">
        <f t="shared" si="64"/>
        <v>0.28994485147688109</v>
      </c>
      <c r="AJ58">
        <f t="shared" si="65"/>
        <v>33.223745407151569</v>
      </c>
      <c r="AK58">
        <f t="array" ref="AK58">+S58*テーブル2[[#This Row],[F_form]]/(E58*CpFromTP((テーブル2[[#This Row],[Tin]]+テーブル2[[#This Row],[Tf]])/2,テーブル2[[#This Row],[P]])*AI58)</f>
        <v>1.7683679939180066</v>
      </c>
      <c r="AL58">
        <f t="shared" si="66"/>
        <v>1.1929170333202277</v>
      </c>
      <c r="AM58">
        <f t="shared" si="67"/>
        <v>612.86177538968684</v>
      </c>
      <c r="AN58">
        <f t="shared" si="68"/>
        <v>1.3323756320460234E-8</v>
      </c>
      <c r="AO58">
        <f t="shared" si="69"/>
        <v>2.3316757159928253E-8</v>
      </c>
      <c r="AP58">
        <v>3.4634536351482597</v>
      </c>
      <c r="AQ58">
        <f t="shared" si="70"/>
        <v>3.6892824042199438E-5</v>
      </c>
      <c r="AR58">
        <f t="shared" si="71"/>
        <v>6.6115659153716438E-6</v>
      </c>
      <c r="AS58">
        <f t="shared" si="72"/>
        <v>16.641216675414906</v>
      </c>
      <c r="AT58">
        <f t="shared" si="73"/>
        <v>11.009412751165112</v>
      </c>
      <c r="AU58">
        <f t="shared" si="74"/>
        <v>3.1921225449842492</v>
      </c>
      <c r="AV58">
        <f t="shared" si="75"/>
        <v>0.27133109016401047</v>
      </c>
      <c r="AW58">
        <f t="shared" si="76"/>
        <v>8.3405582934937394E-3</v>
      </c>
      <c r="AX58">
        <f t="shared" si="77"/>
        <v>0.27133107854067268</v>
      </c>
      <c r="AY58">
        <f t="shared" si="78"/>
        <v>1.1623337792254773E-8</v>
      </c>
      <c r="AZ58">
        <f t="shared" si="79"/>
        <v>1030826.6174999001</v>
      </c>
      <c r="BA58">
        <f t="shared" si="80"/>
        <v>1.0652033469655548E-5</v>
      </c>
      <c r="BB58" s="15">
        <f t="shared" si="81"/>
        <v>1380037.788902954</v>
      </c>
      <c r="BC58" s="20">
        <f t="shared" si="82"/>
        <v>2777.4881217039656</v>
      </c>
      <c r="BD58" s="19">
        <f t="shared" si="83"/>
        <v>0.20166762376933664</v>
      </c>
      <c r="BE58" s="15">
        <v>1527754.0346380137</v>
      </c>
      <c r="BF58" s="16">
        <f>テーブル2[[#This Row],[q_P]]/テーブル2[[#This Row],[q_M]]</f>
        <v>0.90331150015908179</v>
      </c>
      <c r="BG58">
        <v>1.2999931692195916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1.3800377889029538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1083122.1885937501</v>
      </c>
      <c r="T59">
        <v>536.65</v>
      </c>
      <c r="U59" s="12">
        <f>+T59+BG59*S59*テーブル2[[#This Row],[Pw]]*R59/(N59*O59*K59)</f>
        <v>609.51502213283322</v>
      </c>
      <c r="V59">
        <v>0.03</v>
      </c>
      <c r="W59" s="8">
        <f t="shared" si="84"/>
        <v>1160679.5944827786</v>
      </c>
      <c r="X59">
        <v>1.7914606230257365E-2</v>
      </c>
      <c r="Y59">
        <f t="shared" si="59"/>
        <v>7.4713032927839338</v>
      </c>
      <c r="Z59">
        <f t="shared" si="85"/>
        <v>7.4713033004926528</v>
      </c>
      <c r="AA59">
        <f t="shared" si="60"/>
        <v>-7.7087189964686331E-9</v>
      </c>
      <c r="AB59">
        <f t="shared" si="61"/>
        <v>2.4778381409831509E-5</v>
      </c>
      <c r="AC59">
        <v>645.74839927610265</v>
      </c>
      <c r="AD59">
        <f t="shared" si="86"/>
        <v>27462.558401166487</v>
      </c>
      <c r="AE59">
        <f>+gettm2(AD59,AC59,AK59,AL59,テーブル2[[#This Row],[Fcorr]])</f>
        <v>609.51502213283311</v>
      </c>
      <c r="AF59" s="14">
        <f t="shared" si="62"/>
        <v>0</v>
      </c>
      <c r="AG59">
        <v>2.4809767745195298E-5</v>
      </c>
      <c r="AH59">
        <f t="shared" si="63"/>
        <v>27.52487738375909</v>
      </c>
      <c r="AI59">
        <f t="shared" si="64"/>
        <v>0.21203677045850144</v>
      </c>
      <c r="AJ59">
        <f t="shared" si="65"/>
        <v>45.660272214803676</v>
      </c>
      <c r="AK59">
        <f t="array" ref="AK59">+S59*テーブル2[[#This Row],[F_form]]/(E59*CpFromTP((テーブル2[[#This Row],[Tin]]+テーブル2[[#This Row],[Tf]])/2,テーブル2[[#This Row],[P]])*AI59)</f>
        <v>1.9815673446071838</v>
      </c>
      <c r="AL59">
        <f t="shared" si="66"/>
        <v>1.1897427482145444</v>
      </c>
      <c r="AM59">
        <f t="shared" si="67"/>
        <v>612.6729200390464</v>
      </c>
      <c r="AN59">
        <f t="shared" si="68"/>
        <v>4.5571027840196621E-8</v>
      </c>
      <c r="AO59">
        <f t="shared" si="69"/>
        <v>3.1386335363789121E-8</v>
      </c>
      <c r="AP59">
        <v>2.9081431234095612</v>
      </c>
      <c r="AQ59">
        <f t="shared" si="70"/>
        <v>5.283698612347012E-5</v>
      </c>
      <c r="AR59">
        <f t="shared" si="71"/>
        <v>1.2420577040279544E-5</v>
      </c>
      <c r="AS59">
        <f t="shared" si="72"/>
        <v>22.859018050821344</v>
      </c>
      <c r="AT59">
        <f t="shared" si="73"/>
        <v>12.596728512684367</v>
      </c>
      <c r="AU59">
        <f t="shared" si="74"/>
        <v>2.6709696321721155</v>
      </c>
      <c r="AV59">
        <f t="shared" si="75"/>
        <v>0.23717349123744569</v>
      </c>
      <c r="AW59">
        <f t="shared" si="76"/>
        <v>1.5646368479930721E-2</v>
      </c>
      <c r="AX59">
        <f t="shared" si="77"/>
        <v>0.2371734894907154</v>
      </c>
      <c r="AY59">
        <f t="shared" si="78"/>
        <v>1.7467302881879476E-9</v>
      </c>
      <c r="AZ59">
        <f t="shared" si="79"/>
        <v>1033117.12785038</v>
      </c>
      <c r="BA59">
        <f t="shared" si="80"/>
        <v>1.8168633344813873E-5</v>
      </c>
      <c r="BB59" s="15">
        <f t="shared" si="81"/>
        <v>1092624.5218902389</v>
      </c>
      <c r="BC59" s="20">
        <f t="shared" si="82"/>
        <v>9502.3332964887377</v>
      </c>
      <c r="BD59" s="19">
        <f t="shared" si="83"/>
        <v>0.87730944823740531</v>
      </c>
      <c r="BE59" s="15">
        <v>1183347.055731178</v>
      </c>
      <c r="BF59" s="16">
        <f>テーブル2[[#This Row],[q_P]]/テーブル2[[#This Row],[q_M]]</f>
        <v>0.92333395904307836</v>
      </c>
      <c r="BG59">
        <v>1.2999931692195916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1.0926245218902388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>
        <v>4.2670000000000003</v>
      </c>
    </row>
  </sheetData>
  <phoneticPr fontId="1"/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410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6069026537379.1631</v>
      </c>
      <c r="E2">
        <v>8.2124422144071226E-3</v>
      </c>
      <c r="F2">
        <v>1.5632156766115513E-5</v>
      </c>
      <c r="G2">
        <v>8.1968100576410071E-3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-72213729.750111625</v>
      </c>
      <c r="E3">
        <v>1.3385620324725563E-5</v>
      </c>
      <c r="F3">
        <v>1.5632156766116078E-5</v>
      </c>
      <c r="G3">
        <v>-2.2465364413905152E-6</v>
      </c>
      <c r="H3" t="b">
        <v>1</v>
      </c>
    </row>
    <row r="4" spans="1:8" x14ac:dyDescent="0.15">
      <c r="A4">
        <v>2</v>
      </c>
      <c r="B4">
        <v>3</v>
      </c>
      <c r="C4">
        <v>4562500</v>
      </c>
      <c r="D4">
        <v>272645204253.83017</v>
      </c>
      <c r="E4">
        <v>7.2624566152162094E-4</v>
      </c>
      <c r="F4">
        <v>1.5632156766116055E-5</v>
      </c>
      <c r="G4">
        <v>7.1061350475550488E-4</v>
      </c>
      <c r="H4" t="b">
        <v>0</v>
      </c>
    </row>
    <row r="5" spans="1:8" x14ac:dyDescent="0.15">
      <c r="A5">
        <v>2</v>
      </c>
      <c r="B5">
        <v>4</v>
      </c>
      <c r="C5">
        <v>3818750</v>
      </c>
      <c r="D5">
        <v>26805166426.45842</v>
      </c>
      <c r="E5">
        <v>1.3802089237087995E-4</v>
      </c>
      <c r="F5">
        <v>1.5632156766116082E-5</v>
      </c>
      <c r="G5">
        <v>1.2238873560476386E-4</v>
      </c>
      <c r="H5" t="b">
        <v>0</v>
      </c>
    </row>
    <row r="6" spans="1:8" x14ac:dyDescent="0.15">
      <c r="A6">
        <v>2</v>
      </c>
      <c r="B6">
        <v>5</v>
      </c>
      <c r="C6">
        <v>3446875</v>
      </c>
      <c r="D6">
        <v>4537037466.5872564</v>
      </c>
      <c r="E6">
        <v>4.8159458496846173E-5</v>
      </c>
      <c r="F6">
        <v>1.5632156766116082E-5</v>
      </c>
      <c r="G6">
        <v>3.2527301730730091E-5</v>
      </c>
      <c r="H6" t="b">
        <v>0</v>
      </c>
    </row>
    <row r="7" spans="1:8" x14ac:dyDescent="0.15">
      <c r="A7">
        <v>2</v>
      </c>
      <c r="B7">
        <v>6</v>
      </c>
      <c r="C7">
        <v>3260937.5</v>
      </c>
      <c r="D7">
        <v>1053942694.3325602</v>
      </c>
      <c r="E7">
        <v>2.6256124748192994E-5</v>
      </c>
      <c r="F7">
        <v>1.5632156766116078E-5</v>
      </c>
      <c r="G7">
        <v>1.0623967982076916E-5</v>
      </c>
      <c r="H7" t="b">
        <v>0</v>
      </c>
    </row>
    <row r="8" spans="1:8" x14ac:dyDescent="0.15">
      <c r="A8">
        <v>2</v>
      </c>
      <c r="B8">
        <v>7</v>
      </c>
      <c r="C8">
        <v>3167968.75</v>
      </c>
      <c r="D8">
        <v>231548707.10636672</v>
      </c>
      <c r="E8">
        <v>1.8923552363494294E-5</v>
      </c>
      <c r="F8">
        <v>1.5632156766116078E-5</v>
      </c>
      <c r="G8">
        <v>3.2913955973782158E-6</v>
      </c>
      <c r="H8" t="b">
        <v>0</v>
      </c>
    </row>
    <row r="9" spans="1:8" x14ac:dyDescent="0.15">
      <c r="A9">
        <v>2</v>
      </c>
      <c r="B9">
        <v>8</v>
      </c>
      <c r="C9">
        <v>3121484.375</v>
      </c>
      <c r="D9">
        <v>16253277.976465339</v>
      </c>
      <c r="E9">
        <v>1.5954037701208712E-5</v>
      </c>
      <c r="F9">
        <v>1.5632156766116078E-5</v>
      </c>
      <c r="G9">
        <v>3.2188093509263345E-7</v>
      </c>
      <c r="H9" t="b">
        <v>0</v>
      </c>
    </row>
    <row r="10" spans="1:8" x14ac:dyDescent="0.15">
      <c r="A10">
        <v>2</v>
      </c>
      <c r="B10">
        <v>9</v>
      </c>
      <c r="C10">
        <v>3098242.1875</v>
      </c>
      <c r="D10">
        <v>-41514286.183818959</v>
      </c>
      <c r="E10">
        <v>1.4622133397496715E-5</v>
      </c>
      <c r="F10">
        <v>1.5632156766116078E-5</v>
      </c>
      <c r="G10">
        <v>-1.0100233686193638E-6</v>
      </c>
      <c r="H10" t="b">
        <v>1</v>
      </c>
    </row>
    <row r="11" spans="1:8" x14ac:dyDescent="0.15">
      <c r="A11">
        <v>2</v>
      </c>
      <c r="B11">
        <v>10</v>
      </c>
      <c r="C11">
        <v>3109863.28125</v>
      </c>
      <c r="D11">
        <v>-16302602.09055973</v>
      </c>
      <c r="E11">
        <v>1.5275802324550055E-5</v>
      </c>
      <c r="F11">
        <v>1.5632156766116078E-5</v>
      </c>
      <c r="G11">
        <v>-3.5635444156602373E-7</v>
      </c>
      <c r="H11" t="b">
        <v>1</v>
      </c>
    </row>
    <row r="12" spans="1:8" x14ac:dyDescent="0.15">
      <c r="A12">
        <v>2</v>
      </c>
      <c r="B12">
        <v>11</v>
      </c>
      <c r="C12">
        <v>3115673.828125</v>
      </c>
      <c r="D12">
        <v>-979200.14346622641</v>
      </c>
      <c r="E12">
        <v>1.5611803130023362E-5</v>
      </c>
      <c r="F12">
        <v>1.5632156766116078E-5</v>
      </c>
      <c r="G12">
        <v>-2.0353636092716016E-8</v>
      </c>
      <c r="H12" t="b">
        <v>1</v>
      </c>
    </row>
    <row r="13" spans="1:8" x14ac:dyDescent="0.15">
      <c r="A13">
        <v>2</v>
      </c>
      <c r="B13">
        <v>12</v>
      </c>
      <c r="C13">
        <v>3118579.1015625</v>
      </c>
      <c r="D13">
        <v>7393801.5579857277</v>
      </c>
      <c r="E13">
        <v>1.578213540368451E-5</v>
      </c>
      <c r="F13">
        <v>1.5632156766116078E-5</v>
      </c>
      <c r="G13">
        <v>1.4997863756843169E-7</v>
      </c>
      <c r="H13" t="b">
        <v>0</v>
      </c>
    </row>
    <row r="14" spans="1:8" x14ac:dyDescent="0.15">
      <c r="A14">
        <v>2</v>
      </c>
      <c r="B14">
        <v>13</v>
      </c>
      <c r="C14">
        <v>3117126.46484375</v>
      </c>
      <c r="D14">
        <v>3147068.7590326876</v>
      </c>
      <c r="E14">
        <v>1.5696773740397579E-5</v>
      </c>
      <c r="F14">
        <v>1.5632156766116078E-5</v>
      </c>
      <c r="G14">
        <v>6.4616974281500535E-8</v>
      </c>
      <c r="H14" t="b">
        <v>0</v>
      </c>
    </row>
    <row r="15" spans="1:8" x14ac:dyDescent="0.15">
      <c r="A15">
        <v>3</v>
      </c>
      <c r="B15">
        <v>1</v>
      </c>
      <c r="C15">
        <v>6050000</v>
      </c>
      <c r="D15">
        <v>2703926102939.0605</v>
      </c>
      <c r="E15">
        <v>4.7567152235329854E-3</v>
      </c>
      <c r="F15">
        <v>1.7206182179051004E-5</v>
      </c>
      <c r="G15">
        <v>4.7395090413539344E-3</v>
      </c>
      <c r="H15" t="b">
        <v>0</v>
      </c>
    </row>
    <row r="16" spans="1:8" x14ac:dyDescent="0.15">
      <c r="A16">
        <v>3</v>
      </c>
      <c r="B16">
        <v>2</v>
      </c>
      <c r="C16">
        <v>3075000</v>
      </c>
      <c r="D16">
        <v>-24889777.129908316</v>
      </c>
      <c r="E16">
        <v>9.9026894730315133E-6</v>
      </c>
      <c r="F16">
        <v>1.7206182179050892E-5</v>
      </c>
      <c r="G16">
        <v>-7.3034927060193785E-6</v>
      </c>
      <c r="H16" t="b">
        <v>1</v>
      </c>
    </row>
    <row r="17" spans="1:8" x14ac:dyDescent="0.15">
      <c r="A17">
        <v>3</v>
      </c>
      <c r="B17">
        <v>3</v>
      </c>
      <c r="C17">
        <v>4562500</v>
      </c>
      <c r="D17">
        <v>122760564027.95386</v>
      </c>
      <c r="E17">
        <v>4.4101690757052803E-4</v>
      </c>
      <c r="F17">
        <v>1.7206182179050895E-5</v>
      </c>
      <c r="G17">
        <v>4.2381072539147713E-4</v>
      </c>
      <c r="H17" t="b">
        <v>0</v>
      </c>
    </row>
    <row r="18" spans="1:8" x14ac:dyDescent="0.15">
      <c r="A18">
        <v>3</v>
      </c>
      <c r="B18">
        <v>4</v>
      </c>
      <c r="C18">
        <v>3818750</v>
      </c>
      <c r="D18">
        <v>9754803099.9298096</v>
      </c>
      <c r="E18">
        <v>8.0192507434653752E-5</v>
      </c>
      <c r="F18">
        <v>1.7206182179050895E-5</v>
      </c>
      <c r="G18">
        <v>6.2986325255602856E-5</v>
      </c>
      <c r="H18" t="b">
        <v>0</v>
      </c>
    </row>
    <row r="19" spans="1:8" x14ac:dyDescent="0.15">
      <c r="A19">
        <v>3</v>
      </c>
      <c r="B19">
        <v>5</v>
      </c>
      <c r="C19">
        <v>3446875</v>
      </c>
      <c r="D19">
        <v>839223510.83147299</v>
      </c>
      <c r="E19">
        <v>2.6826177090379863E-5</v>
      </c>
      <c r="F19">
        <v>1.7206182179050892E-5</v>
      </c>
      <c r="G19">
        <v>9.6199949113289716E-6</v>
      </c>
      <c r="H19" t="b">
        <v>0</v>
      </c>
    </row>
    <row r="20" spans="1:8" x14ac:dyDescent="0.15">
      <c r="A20">
        <v>3</v>
      </c>
      <c r="B20">
        <v>6</v>
      </c>
      <c r="C20">
        <v>3260937.5</v>
      </c>
      <c r="D20">
        <v>-84966267.55154638</v>
      </c>
      <c r="E20">
        <v>1.423336315225121E-5</v>
      </c>
      <c r="F20">
        <v>1.7206182179050892E-5</v>
      </c>
      <c r="G20">
        <v>-2.972819026799682E-6</v>
      </c>
      <c r="H20" t="b">
        <v>1</v>
      </c>
    </row>
    <row r="21" spans="1:8" x14ac:dyDescent="0.15">
      <c r="A21">
        <v>3</v>
      </c>
      <c r="B21">
        <v>7</v>
      </c>
      <c r="C21">
        <v>3353906.25</v>
      </c>
      <c r="D21">
        <v>153601347.23308158</v>
      </c>
      <c r="E21">
        <v>1.970084793685712E-5</v>
      </c>
      <c r="F21">
        <v>1.7206182179050892E-5</v>
      </c>
      <c r="G21">
        <v>2.4946657578062282E-6</v>
      </c>
      <c r="H21" t="b">
        <v>0</v>
      </c>
    </row>
    <row r="22" spans="1:8" x14ac:dyDescent="0.15">
      <c r="A22">
        <v>3</v>
      </c>
      <c r="B22">
        <v>8</v>
      </c>
      <c r="C22">
        <v>3307421.875</v>
      </c>
      <c r="D22">
        <v>-18945283.090460457</v>
      </c>
      <c r="E22">
        <v>1.6780285096725255E-5</v>
      </c>
      <c r="F22">
        <v>1.7206182179050892E-5</v>
      </c>
      <c r="G22">
        <v>-4.2589708232563655E-7</v>
      </c>
      <c r="H22" t="b">
        <v>1</v>
      </c>
    </row>
    <row r="23" spans="1:8" x14ac:dyDescent="0.15">
      <c r="A23">
        <v>3</v>
      </c>
      <c r="B23">
        <v>9</v>
      </c>
      <c r="C23">
        <v>3330664.0625</v>
      </c>
      <c r="D23">
        <v>52108592.050245427</v>
      </c>
      <c r="E23">
        <v>1.8191278187180583E-5</v>
      </c>
      <c r="F23">
        <v>1.7206182179050892E-5</v>
      </c>
      <c r="G23">
        <v>9.8509600812969093E-7</v>
      </c>
      <c r="H23" t="b">
        <v>0</v>
      </c>
    </row>
    <row r="24" spans="1:8" x14ac:dyDescent="0.15">
      <c r="A24">
        <v>3</v>
      </c>
      <c r="B24">
        <v>10</v>
      </c>
      <c r="C24">
        <v>3319042.96875</v>
      </c>
      <c r="D24">
        <v>13020723.769538658</v>
      </c>
      <c r="E24">
        <v>1.7473791098050986E-5</v>
      </c>
      <c r="F24">
        <v>1.7206182179050892E-5</v>
      </c>
      <c r="G24">
        <v>2.6760891900009449E-7</v>
      </c>
      <c r="H24" t="b">
        <v>0</v>
      </c>
    </row>
    <row r="25" spans="1:8" x14ac:dyDescent="0.15">
      <c r="A25">
        <v>3</v>
      </c>
      <c r="B25">
        <v>11</v>
      </c>
      <c r="C25">
        <v>3313232.421875</v>
      </c>
      <c r="D25">
        <v>-3822728.5429907665</v>
      </c>
      <c r="E25">
        <v>1.7124080114361333E-5</v>
      </c>
      <c r="F25">
        <v>1.7206182179050892E-5</v>
      </c>
      <c r="G25">
        <v>-8.2102064689558825E-8</v>
      </c>
      <c r="H25" t="b">
        <v>1</v>
      </c>
    </row>
    <row r="26" spans="1:8" x14ac:dyDescent="0.15">
      <c r="A26">
        <v>3</v>
      </c>
      <c r="B26">
        <v>12</v>
      </c>
      <c r="C26">
        <v>3316137.6953125</v>
      </c>
      <c r="D26">
        <v>4380152.7508715019</v>
      </c>
      <c r="E26">
        <v>1.7298190479201374E-5</v>
      </c>
      <c r="F26">
        <v>1.7206182179050892E-5</v>
      </c>
      <c r="G26">
        <v>9.2008300150482353E-8</v>
      </c>
      <c r="H26" t="b">
        <v>0</v>
      </c>
    </row>
    <row r="27" spans="1:8" x14ac:dyDescent="0.15">
      <c r="A27">
        <v>3</v>
      </c>
      <c r="B27">
        <v>13</v>
      </c>
      <c r="C27">
        <v>3314685.05859375</v>
      </c>
      <c r="D27">
        <v>224547.16517007677</v>
      </c>
      <c r="E27">
        <v>1.7210951372770172E-5</v>
      </c>
      <c r="F27">
        <v>1.7206182179050892E-5</v>
      </c>
      <c r="G27">
        <v>4.7691937192799374E-9</v>
      </c>
      <c r="H27" t="b">
        <v>0</v>
      </c>
    </row>
    <row r="28" spans="1:8" x14ac:dyDescent="0.15">
      <c r="A28">
        <v>3</v>
      </c>
      <c r="B28">
        <v>14</v>
      </c>
      <c r="C28">
        <v>3315185.05859375</v>
      </c>
      <c r="D28">
        <v>1642576.6989113551</v>
      </c>
      <c r="E28">
        <v>1.7240936290962026E-5</v>
      </c>
      <c r="F28">
        <v>1.7206182179050892E-5</v>
      </c>
      <c r="G28">
        <v>3.4754111911134019E-8</v>
      </c>
      <c r="H28" t="b">
        <v>0</v>
      </c>
    </row>
    <row r="29" spans="1:8" x14ac:dyDescent="0.15">
      <c r="A29">
        <v>3</v>
      </c>
      <c r="B29">
        <v>15</v>
      </c>
      <c r="C29">
        <v>3315785.05859375</v>
      </c>
      <c r="D29">
        <v>3361389.2986762198</v>
      </c>
      <c r="E29">
        <v>1.7276979641609422E-5</v>
      </c>
      <c r="F29">
        <v>1.7206182179050892E-5</v>
      </c>
      <c r="G29">
        <v>7.0797462558530697E-8</v>
      </c>
      <c r="H29" t="b">
        <v>0</v>
      </c>
    </row>
    <row r="30" spans="1:8" x14ac:dyDescent="0.15">
      <c r="A30">
        <v>3</v>
      </c>
      <c r="B30">
        <v>16</v>
      </c>
      <c r="C30">
        <v>3315485.05859375</v>
      </c>
      <c r="D30">
        <v>2499622.0625342051</v>
      </c>
      <c r="E30">
        <v>1.72589492737171E-5</v>
      </c>
      <c r="F30">
        <v>1.7206182179050892E-5</v>
      </c>
      <c r="G30">
        <v>5.2767094666208362E-8</v>
      </c>
      <c r="H30" t="b">
        <v>0</v>
      </c>
    </row>
    <row r="31" spans="1:8" x14ac:dyDescent="0.15">
      <c r="A31">
        <v>3</v>
      </c>
      <c r="B31">
        <v>17</v>
      </c>
      <c r="C31">
        <v>3315635.05859375</v>
      </c>
      <c r="D31">
        <v>2929887.3452695147</v>
      </c>
      <c r="E31">
        <v>1.7267961707868888E-5</v>
      </c>
      <c r="F31">
        <v>1.7206182179050892E-5</v>
      </c>
      <c r="G31">
        <v>6.1779528817996072E-8</v>
      </c>
      <c r="H31" t="b">
        <v>0</v>
      </c>
    </row>
    <row r="32" spans="1:8" x14ac:dyDescent="0.15">
      <c r="A32">
        <v>3</v>
      </c>
      <c r="B32">
        <v>18</v>
      </c>
      <c r="C32">
        <v>3315815.05859375</v>
      </c>
      <c r="D32">
        <v>3447814.6778264809</v>
      </c>
      <c r="E32">
        <v>1.727878339712511E-5</v>
      </c>
      <c r="F32">
        <v>1.7206182179050892E-5</v>
      </c>
      <c r="G32">
        <v>7.2601218074218641E-8</v>
      </c>
      <c r="H32" t="b">
        <v>0</v>
      </c>
    </row>
    <row r="33" spans="1:8" x14ac:dyDescent="0.15">
      <c r="A33">
        <v>3</v>
      </c>
      <c r="B33">
        <v>19</v>
      </c>
      <c r="C33">
        <v>3315725.05859375</v>
      </c>
      <c r="D33">
        <v>3188604.7360415608</v>
      </c>
      <c r="E33">
        <v>1.7273371070851897E-5</v>
      </c>
      <c r="F33">
        <v>1.7206182179050892E-5</v>
      </c>
      <c r="G33">
        <v>6.7188891801005609E-8</v>
      </c>
      <c r="H33" t="b">
        <v>0</v>
      </c>
    </row>
    <row r="34" spans="1:8" x14ac:dyDescent="0.15">
      <c r="A34">
        <v>3</v>
      </c>
      <c r="B34">
        <v>20</v>
      </c>
      <c r="C34">
        <v>3315770.05859375</v>
      </c>
      <c r="D34">
        <v>3318194.0714180153</v>
      </c>
      <c r="E34">
        <v>1.7276077823329045E-5</v>
      </c>
      <c r="F34">
        <v>1.7206182179050892E-5</v>
      </c>
      <c r="G34">
        <v>6.9895644278152741E-8</v>
      </c>
      <c r="H34" t="b">
        <v>0</v>
      </c>
    </row>
    <row r="35" spans="1:8" x14ac:dyDescent="0.15">
      <c r="A35">
        <v>4</v>
      </c>
      <c r="B35">
        <v>1</v>
      </c>
      <c r="C35">
        <v>6050000</v>
      </c>
      <c r="D35">
        <v>260043865494.14957</v>
      </c>
      <c r="E35">
        <v>5.3460321815661162E-4</v>
      </c>
      <c r="F35">
        <v>1.111238581358808E-5</v>
      </c>
      <c r="G35">
        <v>5.2349083234302354E-4</v>
      </c>
      <c r="H35" t="b">
        <v>0</v>
      </c>
    </row>
    <row r="36" spans="1:8" x14ac:dyDescent="0.15">
      <c r="A36">
        <v>4</v>
      </c>
      <c r="B36">
        <v>2</v>
      </c>
      <c r="C36">
        <v>3075000</v>
      </c>
      <c r="D36">
        <v>-1429064.4885047486</v>
      </c>
      <c r="E36">
        <v>3.7954485620177694E-6</v>
      </c>
      <c r="F36">
        <v>1.1112385813588112E-5</v>
      </c>
      <c r="G36">
        <v>-7.3169372515703428E-6</v>
      </c>
      <c r="H36" t="b">
        <v>1</v>
      </c>
    </row>
    <row r="37" spans="1:8" x14ac:dyDescent="0.15">
      <c r="A37">
        <v>4</v>
      </c>
      <c r="B37">
        <v>3</v>
      </c>
      <c r="C37">
        <v>4562500</v>
      </c>
      <c r="D37">
        <v>9434357508.0074234</v>
      </c>
      <c r="E37">
        <v>5.5176489126883827E-5</v>
      </c>
      <c r="F37">
        <v>1.1112385813588113E-5</v>
      </c>
      <c r="G37">
        <v>4.4064103313295714E-5</v>
      </c>
      <c r="H37" t="b">
        <v>0</v>
      </c>
    </row>
    <row r="38" spans="1:8" x14ac:dyDescent="0.15">
      <c r="A38">
        <v>4</v>
      </c>
      <c r="B38">
        <v>4</v>
      </c>
      <c r="C38">
        <v>3818750</v>
      </c>
      <c r="D38">
        <v>20754805.065401491</v>
      </c>
      <c r="E38">
        <v>1.1540714420215892E-5</v>
      </c>
      <c r="F38">
        <v>1.1112385813588112E-5</v>
      </c>
      <c r="G38">
        <v>4.2832860662778058E-7</v>
      </c>
      <c r="H38" t="b">
        <v>0</v>
      </c>
    </row>
    <row r="39" spans="1:8" x14ac:dyDescent="0.15">
      <c r="A39">
        <v>4</v>
      </c>
      <c r="B39">
        <v>5</v>
      </c>
      <c r="C39">
        <v>3446875</v>
      </c>
      <c r="D39">
        <v>-19672891.048715949</v>
      </c>
      <c r="E39">
        <v>6.8828626986583943E-6</v>
      </c>
      <c r="F39">
        <v>1.1112385813588112E-5</v>
      </c>
      <c r="G39">
        <v>-4.2295231149297174E-6</v>
      </c>
      <c r="H39" t="b">
        <v>1</v>
      </c>
    </row>
    <row r="40" spans="1:8" x14ac:dyDescent="0.15">
      <c r="A40">
        <v>4</v>
      </c>
      <c r="B40">
        <v>6</v>
      </c>
      <c r="C40">
        <v>3632812.5</v>
      </c>
      <c r="D40">
        <v>-46883863.616752848</v>
      </c>
      <c r="E40">
        <v>9.0005386184727873E-6</v>
      </c>
      <c r="F40">
        <v>1.1112385813588112E-5</v>
      </c>
      <c r="G40">
        <v>-2.1118471951153244E-6</v>
      </c>
      <c r="H40" t="b">
        <v>1</v>
      </c>
    </row>
    <row r="41" spans="1:8" x14ac:dyDescent="0.15">
      <c r="A41">
        <v>4</v>
      </c>
      <c r="B41">
        <v>7</v>
      </c>
      <c r="C41">
        <v>3725781.25</v>
      </c>
      <c r="D41">
        <v>-31086919.956722297</v>
      </c>
      <c r="E41">
        <v>1.0217326813294164E-5</v>
      </c>
      <c r="F41">
        <v>1.1112385813588112E-5</v>
      </c>
      <c r="G41">
        <v>-8.9505900029394801E-7</v>
      </c>
      <c r="H41" t="b">
        <v>1</v>
      </c>
    </row>
    <row r="42" spans="1:8" x14ac:dyDescent="0.15">
      <c r="A42">
        <v>4</v>
      </c>
      <c r="B42">
        <v>8</v>
      </c>
      <c r="C42">
        <v>3772265.625</v>
      </c>
      <c r="D42">
        <v>-10247930.555861806</v>
      </c>
      <c r="E42">
        <v>1.0865249625877203E-5</v>
      </c>
      <c r="F42">
        <v>1.1112385813588112E-5</v>
      </c>
      <c r="G42">
        <v>-2.4713618771090863E-7</v>
      </c>
      <c r="H42" t="b">
        <v>1</v>
      </c>
    </row>
    <row r="43" spans="1:8" x14ac:dyDescent="0.15">
      <c r="A43">
        <v>4</v>
      </c>
      <c r="B43">
        <v>9</v>
      </c>
      <c r="C43">
        <v>3795507.8125</v>
      </c>
      <c r="D43">
        <v>3911686.6704902393</v>
      </c>
      <c r="E43">
        <v>1.119944556799016E-5</v>
      </c>
      <c r="F43">
        <v>1.1112385813588112E-5</v>
      </c>
      <c r="G43">
        <v>8.7059754402048312E-8</v>
      </c>
      <c r="H43" t="b">
        <v>0</v>
      </c>
    </row>
    <row r="44" spans="1:8" x14ac:dyDescent="0.15">
      <c r="A44">
        <v>4</v>
      </c>
      <c r="B44">
        <v>10</v>
      </c>
      <c r="C44">
        <v>3783886.71875</v>
      </c>
      <c r="D44">
        <v>-3494965.2507807272</v>
      </c>
      <c r="E44">
        <v>1.1031467217587838E-5</v>
      </c>
      <c r="F44">
        <v>1.1112385813588112E-5</v>
      </c>
      <c r="G44">
        <v>-8.0918596000273223E-8</v>
      </c>
      <c r="H44" t="b">
        <v>1</v>
      </c>
    </row>
    <row r="45" spans="1:8" x14ac:dyDescent="0.15">
      <c r="A45">
        <v>4</v>
      </c>
      <c r="B45">
        <v>11</v>
      </c>
      <c r="C45">
        <v>3789697.265625</v>
      </c>
      <c r="D45">
        <v>125581.03348712336</v>
      </c>
      <c r="E45">
        <v>1.1115236093927919E-5</v>
      </c>
      <c r="F45">
        <v>1.1112385813588112E-5</v>
      </c>
      <c r="G45">
        <v>2.8502803398072372E-9</v>
      </c>
      <c r="H45" t="b">
        <v>0</v>
      </c>
    </row>
    <row r="46" spans="1:8" x14ac:dyDescent="0.15">
      <c r="A46">
        <v>4</v>
      </c>
      <c r="B46">
        <v>12</v>
      </c>
      <c r="C46">
        <v>3792602.5390625</v>
      </c>
      <c r="D46">
        <v>1997789.721092257</v>
      </c>
      <c r="E46">
        <v>1.1157285366673419E-5</v>
      </c>
      <c r="F46">
        <v>1.1112385813588112E-5</v>
      </c>
      <c r="G46">
        <v>4.4899553085306969E-8</v>
      </c>
      <c r="H46" t="b">
        <v>0</v>
      </c>
    </row>
    <row r="47" spans="1:8" x14ac:dyDescent="0.15">
      <c r="A47">
        <v>4</v>
      </c>
      <c r="B47">
        <v>13</v>
      </c>
      <c r="C47">
        <v>3794055.17578125</v>
      </c>
      <c r="D47">
        <v>2949513.1325580832</v>
      </c>
      <c r="E47">
        <v>1.117835165637984E-5</v>
      </c>
      <c r="F47">
        <v>1.1112385813588112E-5</v>
      </c>
      <c r="G47">
        <v>6.5965842791727895E-8</v>
      </c>
      <c r="H47" t="b">
        <v>0</v>
      </c>
    </row>
    <row r="48" spans="1:8" x14ac:dyDescent="0.15">
      <c r="A48">
        <v>4</v>
      </c>
      <c r="B48">
        <v>14</v>
      </c>
      <c r="C48">
        <v>3795255.17578125</v>
      </c>
      <c r="D48">
        <v>3743622.5192171126</v>
      </c>
      <c r="E48">
        <v>1.11957755688425E-5</v>
      </c>
      <c r="F48">
        <v>1.1112385813588112E-5</v>
      </c>
      <c r="G48">
        <v>8.3389755254387836E-8</v>
      </c>
      <c r="H48" t="b">
        <v>0</v>
      </c>
    </row>
    <row r="49" spans="1:8" x14ac:dyDescent="0.15">
      <c r="A49">
        <v>4</v>
      </c>
      <c r="B49">
        <v>15</v>
      </c>
      <c r="C49">
        <v>3796695.17578125</v>
      </c>
      <c r="D49">
        <v>4705937.5873981211</v>
      </c>
      <c r="E49">
        <v>1.1216707929854079E-5</v>
      </c>
      <c r="F49">
        <v>1.1112385813588112E-5</v>
      </c>
      <c r="G49">
        <v>1.0432211626596683E-7</v>
      </c>
      <c r="H49" t="b">
        <v>0</v>
      </c>
    </row>
    <row r="50" spans="1:8" x14ac:dyDescent="0.15">
      <c r="A50">
        <v>4</v>
      </c>
      <c r="B50">
        <v>16</v>
      </c>
      <c r="C50">
        <v>3795975.17578125</v>
      </c>
      <c r="D50">
        <v>4223478.3965119803</v>
      </c>
      <c r="E50">
        <v>1.1206238079131541E-5</v>
      </c>
      <c r="F50">
        <v>1.1112385813588112E-5</v>
      </c>
      <c r="G50">
        <v>9.3852265543429254E-8</v>
      </c>
      <c r="H50" t="b">
        <v>0</v>
      </c>
    </row>
    <row r="51" spans="1:8" x14ac:dyDescent="0.15">
      <c r="A51">
        <v>4</v>
      </c>
      <c r="B51">
        <v>17</v>
      </c>
      <c r="C51">
        <v>3795111.17578125</v>
      </c>
      <c r="D51">
        <v>3647955.2581914337</v>
      </c>
      <c r="E51">
        <v>1.1193683770442447E-5</v>
      </c>
      <c r="F51">
        <v>1.1112385813588112E-5</v>
      </c>
      <c r="G51">
        <v>8.1297956854335394E-8</v>
      </c>
      <c r="H51" t="b">
        <v>0</v>
      </c>
    </row>
    <row r="52" spans="1:8" x14ac:dyDescent="0.15">
      <c r="A52">
        <v>4</v>
      </c>
      <c r="B52">
        <v>18</v>
      </c>
      <c r="C52">
        <v>3795543.17578125</v>
      </c>
      <c r="D52">
        <v>3935265.9475394166</v>
      </c>
      <c r="E52">
        <v>1.1199959979969299E-5</v>
      </c>
      <c r="F52">
        <v>1.1112385813588112E-5</v>
      </c>
      <c r="G52">
        <v>8.7574166381187174E-8</v>
      </c>
      <c r="H52" t="b">
        <v>0</v>
      </c>
    </row>
    <row r="53" spans="1:8" x14ac:dyDescent="0.15">
      <c r="A53">
        <v>4</v>
      </c>
      <c r="B53">
        <v>19</v>
      </c>
      <c r="C53">
        <v>3795327.17578125</v>
      </c>
      <c r="D53">
        <v>3791469.4431332052</v>
      </c>
      <c r="E53">
        <v>1.1196821016859535E-5</v>
      </c>
      <c r="F53">
        <v>1.1112385813588112E-5</v>
      </c>
      <c r="G53">
        <v>8.4435203271423552E-8</v>
      </c>
      <c r="H53" t="b">
        <v>0</v>
      </c>
    </row>
    <row r="54" spans="1:8" x14ac:dyDescent="0.15">
      <c r="A54">
        <v>5</v>
      </c>
      <c r="B54">
        <v>1</v>
      </c>
      <c r="C54">
        <v>6050000</v>
      </c>
      <c r="D54">
        <v>416886536487.66156</v>
      </c>
      <c r="E54">
        <v>1.1700708695797193E-3</v>
      </c>
      <c r="F54">
        <v>1.5651596188145716E-5</v>
      </c>
      <c r="G54">
        <v>1.1544192733915735E-3</v>
      </c>
      <c r="H54" t="b">
        <v>0</v>
      </c>
    </row>
    <row r="55" spans="1:8" x14ac:dyDescent="0.15">
      <c r="A55">
        <v>5</v>
      </c>
      <c r="B55">
        <v>2</v>
      </c>
      <c r="C55">
        <v>3075000</v>
      </c>
      <c r="D55">
        <v>-5549988.9365569931</v>
      </c>
      <c r="E55">
        <v>7.4818833507414971E-6</v>
      </c>
      <c r="F55">
        <v>1.5651596188145608E-5</v>
      </c>
      <c r="G55">
        <v>-8.1697128374041107E-6</v>
      </c>
      <c r="H55" t="b">
        <v>1</v>
      </c>
    </row>
    <row r="56" spans="1:8" x14ac:dyDescent="0.15">
      <c r="A56">
        <v>5</v>
      </c>
      <c r="B56">
        <v>3</v>
      </c>
      <c r="C56">
        <v>4562500</v>
      </c>
      <c r="D56">
        <v>23307614272.620575</v>
      </c>
      <c r="E56">
        <v>1.4506215839477234E-4</v>
      </c>
      <c r="F56">
        <v>1.5651596188145608E-5</v>
      </c>
      <c r="G56">
        <v>1.2941056220662674E-4</v>
      </c>
      <c r="H56" t="b">
        <v>0</v>
      </c>
    </row>
    <row r="57" spans="1:8" x14ac:dyDescent="0.15">
      <c r="A57">
        <v>5</v>
      </c>
      <c r="B57">
        <v>4</v>
      </c>
      <c r="C57">
        <v>3818750</v>
      </c>
      <c r="D57">
        <v>1263188932.6350412</v>
      </c>
      <c r="E57">
        <v>3.0313446711061804E-5</v>
      </c>
      <c r="F57">
        <v>1.5651596188145608E-5</v>
      </c>
      <c r="G57">
        <v>1.4661850522916196E-5</v>
      </c>
      <c r="H57" t="b">
        <v>0</v>
      </c>
    </row>
    <row r="58" spans="1:8" x14ac:dyDescent="0.15">
      <c r="A58">
        <v>5</v>
      </c>
      <c r="B58">
        <v>5</v>
      </c>
      <c r="C58">
        <v>3446875</v>
      </c>
      <c r="D58">
        <v>-50951975.858468384</v>
      </c>
      <c r="E58">
        <v>1.3274484740168563E-5</v>
      </c>
      <c r="F58">
        <v>1.5651596188145608E-5</v>
      </c>
      <c r="G58">
        <v>-2.3771114479770451E-6</v>
      </c>
      <c r="H58" t="b">
        <v>1</v>
      </c>
    </row>
    <row r="59" spans="1:8" x14ac:dyDescent="0.15">
      <c r="A59">
        <v>5</v>
      </c>
      <c r="B59">
        <v>6</v>
      </c>
      <c r="C59">
        <v>3632812.5</v>
      </c>
      <c r="D59">
        <v>149191103.046022</v>
      </c>
      <c r="E59">
        <v>1.8673961331467612E-5</v>
      </c>
      <c r="F59">
        <v>1.5651596188145608E-5</v>
      </c>
      <c r="G59">
        <v>3.0223651433220042E-6</v>
      </c>
      <c r="H59" t="b">
        <v>0</v>
      </c>
    </row>
    <row r="60" spans="1:8" x14ac:dyDescent="0.15">
      <c r="A60">
        <v>5</v>
      </c>
      <c r="B60">
        <v>7</v>
      </c>
      <c r="C60">
        <v>3539843.75</v>
      </c>
      <c r="D60">
        <v>-17183937.345921133</v>
      </c>
      <c r="E60">
        <v>1.5099884364683002E-5</v>
      </c>
      <c r="F60">
        <v>1.5651596188145608E-5</v>
      </c>
      <c r="G60">
        <v>-5.5171182346260572E-7</v>
      </c>
      <c r="H60" t="b">
        <v>1</v>
      </c>
    </row>
    <row r="61" spans="1:8" x14ac:dyDescent="0.15">
      <c r="A61">
        <v>5</v>
      </c>
      <c r="B61">
        <v>8</v>
      </c>
      <c r="C61">
        <v>3586328.125</v>
      </c>
      <c r="D61">
        <v>29295626.895245206</v>
      </c>
      <c r="E61">
        <v>1.6421873365233013E-5</v>
      </c>
      <c r="F61">
        <v>1.5651596188145608E-5</v>
      </c>
      <c r="G61">
        <v>7.7027717708740508E-7</v>
      </c>
      <c r="H61" t="b">
        <v>0</v>
      </c>
    </row>
    <row r="62" spans="1:8" x14ac:dyDescent="0.15">
      <c r="A62">
        <v>5</v>
      </c>
      <c r="B62">
        <v>9</v>
      </c>
      <c r="C62">
        <v>3563085.9375</v>
      </c>
      <c r="D62">
        <v>-2397966.1408700887</v>
      </c>
      <c r="E62">
        <v>1.5580371369490169E-5</v>
      </c>
      <c r="F62">
        <v>1.5651596188145608E-5</v>
      </c>
      <c r="G62">
        <v>-7.1224818655438627E-8</v>
      </c>
      <c r="H62" t="b">
        <v>1</v>
      </c>
    </row>
    <row r="63" spans="1:8" x14ac:dyDescent="0.15">
      <c r="A63">
        <v>5</v>
      </c>
      <c r="B63">
        <v>10</v>
      </c>
      <c r="C63">
        <v>3574707.03125</v>
      </c>
      <c r="D63">
        <v>8593619.8342758603</v>
      </c>
      <c r="E63">
        <v>1.5894990886589845E-5</v>
      </c>
      <c r="F63">
        <v>1.5651596188145608E-5</v>
      </c>
      <c r="G63">
        <v>2.4339469844423755E-7</v>
      </c>
      <c r="H63" t="b">
        <v>0</v>
      </c>
    </row>
    <row r="64" spans="1:8" x14ac:dyDescent="0.15">
      <c r="A64">
        <v>5</v>
      </c>
      <c r="B64">
        <v>11</v>
      </c>
      <c r="C64">
        <v>3568896.484375</v>
      </c>
      <c r="D64">
        <v>1728098.2162190671</v>
      </c>
      <c r="E64">
        <v>1.5701974508258456E-5</v>
      </c>
      <c r="F64">
        <v>1.5651596188145608E-5</v>
      </c>
      <c r="G64">
        <v>5.0378320112848187E-8</v>
      </c>
      <c r="H64" t="b">
        <v>0</v>
      </c>
    </row>
    <row r="65" spans="1:8" x14ac:dyDescent="0.15">
      <c r="A65">
        <v>5</v>
      </c>
      <c r="B65">
        <v>12</v>
      </c>
      <c r="C65">
        <v>3571801.7578125</v>
      </c>
      <c r="D65">
        <v>3943141.9464992057</v>
      </c>
      <c r="E65">
        <v>1.5765450327107848E-5</v>
      </c>
      <c r="F65">
        <v>1.5651596188145608E-5</v>
      </c>
      <c r="G65">
        <v>1.1385413896223976E-7</v>
      </c>
      <c r="H65" t="b">
        <v>0</v>
      </c>
    </row>
    <row r="66" spans="1:8" x14ac:dyDescent="0.15">
      <c r="A66">
        <v>5</v>
      </c>
      <c r="B66">
        <v>13</v>
      </c>
      <c r="C66">
        <v>3570349.12109375</v>
      </c>
      <c r="D66">
        <v>2787139.3140132809</v>
      </c>
      <c r="E66">
        <v>1.5732473242548438E-5</v>
      </c>
      <c r="F66">
        <v>1.5651596188145608E-5</v>
      </c>
      <c r="G66">
        <v>8.087705440283058E-8</v>
      </c>
      <c r="H66" t="b">
        <v>0</v>
      </c>
    </row>
    <row r="67" spans="1:8" x14ac:dyDescent="0.15">
      <c r="A67">
        <v>5</v>
      </c>
      <c r="B67">
        <v>14</v>
      </c>
      <c r="C67">
        <v>3570849.12109375</v>
      </c>
      <c r="D67">
        <v>3154235.3993276986</v>
      </c>
      <c r="E67">
        <v>1.5742980396290616E-5</v>
      </c>
      <c r="F67">
        <v>1.5651596188145608E-5</v>
      </c>
      <c r="G67">
        <v>9.1384208145007785E-8</v>
      </c>
      <c r="H67" t="b">
        <v>0</v>
      </c>
    </row>
    <row r="68" spans="1:8" x14ac:dyDescent="0.15">
      <c r="A68">
        <v>5</v>
      </c>
      <c r="B68">
        <v>15</v>
      </c>
      <c r="C68">
        <v>3571449.12109375</v>
      </c>
      <c r="D68">
        <v>3596511.0706156604</v>
      </c>
      <c r="E68">
        <v>1.5755595890039908E-5</v>
      </c>
      <c r="F68">
        <v>1.5651596188145608E-5</v>
      </c>
      <c r="G68">
        <v>1.0399970189430062E-7</v>
      </c>
      <c r="H68" t="b">
        <v>0</v>
      </c>
    </row>
    <row r="69" spans="1:8" x14ac:dyDescent="0.15">
      <c r="A69">
        <v>6</v>
      </c>
      <c r="B69">
        <v>1</v>
      </c>
      <c r="C69">
        <v>6050000</v>
      </c>
      <c r="D69">
        <v>563899067490.77441</v>
      </c>
      <c r="E69">
        <v>2.2349202123216456E-3</v>
      </c>
      <c r="F69">
        <v>2.5072373860597543E-5</v>
      </c>
      <c r="G69">
        <v>2.209847838461048E-3</v>
      </c>
      <c r="H69" t="b">
        <v>0</v>
      </c>
    </row>
    <row r="70" spans="1:8" x14ac:dyDescent="0.15">
      <c r="A70">
        <v>6</v>
      </c>
      <c r="B70">
        <v>2</v>
      </c>
      <c r="C70">
        <v>3075000</v>
      </c>
      <c r="D70">
        <v>-714811.33176112024</v>
      </c>
      <c r="E70">
        <v>7.5196177372792433E-6</v>
      </c>
      <c r="F70">
        <v>2.5072373860597526E-5</v>
      </c>
      <c r="G70">
        <v>-1.7552756123318282E-5</v>
      </c>
      <c r="H70" t="b">
        <v>1</v>
      </c>
    </row>
    <row r="71" spans="1:8" x14ac:dyDescent="0.15">
      <c r="A71">
        <v>6</v>
      </c>
      <c r="B71">
        <v>3</v>
      </c>
      <c r="C71">
        <v>4562500</v>
      </c>
      <c r="D71">
        <v>25152105155.88361</v>
      </c>
      <c r="E71">
        <v>2.266696440770458E-4</v>
      </c>
      <c r="F71">
        <v>2.5072373860597516E-5</v>
      </c>
      <c r="G71">
        <v>2.0159727021644829E-4</v>
      </c>
      <c r="H71" t="b">
        <v>0</v>
      </c>
    </row>
    <row r="72" spans="1:8" x14ac:dyDescent="0.15">
      <c r="A72">
        <v>6</v>
      </c>
      <c r="B72">
        <v>4</v>
      </c>
      <c r="C72">
        <v>3818750</v>
      </c>
      <c r="D72">
        <v>843271096.05396962</v>
      </c>
      <c r="E72">
        <v>4.0013997792878416E-5</v>
      </c>
      <c r="F72">
        <v>2.5072373860597526E-5</v>
      </c>
      <c r="G72">
        <v>1.494162393228089E-5</v>
      </c>
      <c r="H72" t="b">
        <v>0</v>
      </c>
    </row>
    <row r="73" spans="1:8" x14ac:dyDescent="0.15">
      <c r="A73">
        <v>6</v>
      </c>
      <c r="B73">
        <v>5</v>
      </c>
      <c r="C73">
        <v>3446875</v>
      </c>
      <c r="D73">
        <v>-34163244.214943506</v>
      </c>
      <c r="E73">
        <v>1.4641639580451274E-5</v>
      </c>
      <c r="F73">
        <v>2.5072373860597526E-5</v>
      </c>
      <c r="G73">
        <v>-1.0430734280146252E-5</v>
      </c>
      <c r="H73" t="b">
        <v>1</v>
      </c>
    </row>
    <row r="74" spans="1:8" x14ac:dyDescent="0.15">
      <c r="A74">
        <v>6</v>
      </c>
      <c r="B74">
        <v>6</v>
      </c>
      <c r="C74">
        <v>3632812.5</v>
      </c>
      <c r="D74">
        <v>-49832594.21403262</v>
      </c>
      <c r="E74">
        <v>2.3369416709805083E-5</v>
      </c>
      <c r="F74">
        <v>2.5072373860597526E-5</v>
      </c>
      <c r="G74">
        <v>-1.7029571507924436E-6</v>
      </c>
      <c r="H74" t="b">
        <v>1</v>
      </c>
    </row>
    <row r="75" spans="1:8" x14ac:dyDescent="0.15">
      <c r="A75">
        <v>6</v>
      </c>
      <c r="B75">
        <v>7</v>
      </c>
      <c r="C75">
        <v>3725781.25</v>
      </c>
      <c r="D75">
        <v>267900188.65897641</v>
      </c>
      <c r="E75">
        <v>3.0776840184353295E-5</v>
      </c>
      <c r="F75">
        <v>2.5072373860597526E-5</v>
      </c>
      <c r="G75">
        <v>5.7044663237557686E-6</v>
      </c>
      <c r="H75" t="b">
        <v>0</v>
      </c>
    </row>
    <row r="76" spans="1:8" x14ac:dyDescent="0.15">
      <c r="A76">
        <v>6</v>
      </c>
      <c r="B76">
        <v>8</v>
      </c>
      <c r="C76">
        <v>3679296.875</v>
      </c>
      <c r="D76">
        <v>69535424.40253222</v>
      </c>
      <c r="E76">
        <v>2.6862522029957508E-5</v>
      </c>
      <c r="F76">
        <v>2.5072373860597526E-5</v>
      </c>
      <c r="G76">
        <v>1.790148169359982E-6</v>
      </c>
      <c r="H76" t="b">
        <v>0</v>
      </c>
    </row>
    <row r="77" spans="1:8" x14ac:dyDescent="0.15">
      <c r="A77">
        <v>6</v>
      </c>
      <c r="B77">
        <v>9</v>
      </c>
      <c r="C77">
        <v>3656054.6875</v>
      </c>
      <c r="D77">
        <v>-229779.07344935049</v>
      </c>
      <c r="E77">
        <v>2.5065616893589927E-5</v>
      </c>
      <c r="F77">
        <v>2.5072373860597526E-5</v>
      </c>
      <c r="G77">
        <v>-6.756967007599525E-9</v>
      </c>
      <c r="H77" t="b">
        <v>1</v>
      </c>
    </row>
    <row r="78" spans="1:8" x14ac:dyDescent="0.15">
      <c r="A78">
        <v>6</v>
      </c>
      <c r="B78">
        <v>10</v>
      </c>
      <c r="C78">
        <v>3667675.78125</v>
      </c>
      <c r="D78">
        <v>32001329.518905383</v>
      </c>
      <c r="E78">
        <v>2.5951200370132462E-5</v>
      </c>
      <c r="F78">
        <v>2.5072373860597526E-5</v>
      </c>
      <c r="G78">
        <v>8.7882650953493633E-7</v>
      </c>
      <c r="H78" t="b">
        <v>0</v>
      </c>
    </row>
    <row r="79" spans="1:8" x14ac:dyDescent="0.15">
      <c r="A79">
        <v>6</v>
      </c>
      <c r="B79">
        <v>11</v>
      </c>
      <c r="C79">
        <v>3661865.234375</v>
      </c>
      <c r="D79">
        <v>15239465.585269079</v>
      </c>
      <c r="E79">
        <v>2.550522550965351E-5</v>
      </c>
      <c r="F79">
        <v>2.5072373860597526E-5</v>
      </c>
      <c r="G79">
        <v>4.3285164905598376E-7</v>
      </c>
      <c r="H79" t="b">
        <v>0</v>
      </c>
    </row>
    <row r="80" spans="1:8" x14ac:dyDescent="0.15">
      <c r="A80">
        <v>6</v>
      </c>
      <c r="B80">
        <v>12</v>
      </c>
      <c r="C80">
        <v>3658959.9609375</v>
      </c>
      <c r="D80">
        <v>7345411.7323480537</v>
      </c>
      <c r="E80">
        <v>2.5284632330600953E-5</v>
      </c>
      <c r="F80">
        <v>2.5072373860597526E-5</v>
      </c>
      <c r="G80">
        <v>2.1225847000342707E-7</v>
      </c>
      <c r="H80" t="b">
        <v>0</v>
      </c>
    </row>
    <row r="81" spans="1:8" x14ac:dyDescent="0.15">
      <c r="A81">
        <v>6</v>
      </c>
      <c r="B81">
        <v>13</v>
      </c>
      <c r="C81">
        <v>3657507.32421875</v>
      </c>
      <c r="D81">
        <v>3518163.569222779</v>
      </c>
      <c r="E81">
        <v>2.5174926503412226E-5</v>
      </c>
      <c r="F81">
        <v>2.5072373860597526E-5</v>
      </c>
      <c r="G81">
        <v>1.0255264281469961E-7</v>
      </c>
      <c r="H81" t="b">
        <v>0</v>
      </c>
    </row>
    <row r="82" spans="1:8" x14ac:dyDescent="0.15">
      <c r="A82">
        <v>6</v>
      </c>
      <c r="B82">
        <v>14</v>
      </c>
      <c r="C82">
        <v>3658007.32421875</v>
      </c>
      <c r="D82">
        <v>4826587.7202171152</v>
      </c>
      <c r="E82">
        <v>2.5212644257498392E-5</v>
      </c>
      <c r="F82">
        <v>2.5072373860597526E-5</v>
      </c>
      <c r="G82">
        <v>1.4027039690086605E-7</v>
      </c>
      <c r="H82" t="b">
        <v>0</v>
      </c>
    </row>
    <row r="83" spans="1:8" x14ac:dyDescent="0.15">
      <c r="A83">
        <v>6</v>
      </c>
      <c r="B83">
        <v>15</v>
      </c>
      <c r="C83">
        <v>3657757.32421875</v>
      </c>
      <c r="D83">
        <v>4171235.7497156351</v>
      </c>
      <c r="E83">
        <v>2.5193780546538588E-5</v>
      </c>
      <c r="F83">
        <v>2.5072373860597526E-5</v>
      </c>
      <c r="G83">
        <v>1.2140668594106188E-7</v>
      </c>
      <c r="H83" t="b">
        <v>0</v>
      </c>
    </row>
    <row r="84" spans="1:8" x14ac:dyDescent="0.15">
      <c r="A84">
        <v>6</v>
      </c>
      <c r="B84">
        <v>16</v>
      </c>
      <c r="C84">
        <v>3657457.32421875</v>
      </c>
      <c r="D84">
        <v>3387918.2270027623</v>
      </c>
      <c r="E84">
        <v>2.517115962284693E-5</v>
      </c>
      <c r="F84">
        <v>2.5072373860597526E-5</v>
      </c>
      <c r="G84">
        <v>9.8785762249403378E-8</v>
      </c>
      <c r="H84" t="b">
        <v>0</v>
      </c>
    </row>
    <row r="85" spans="1:8" x14ac:dyDescent="0.15">
      <c r="A85">
        <v>6</v>
      </c>
      <c r="B85">
        <v>17</v>
      </c>
      <c r="C85">
        <v>3657607.32421875</v>
      </c>
      <c r="D85">
        <v>3779151.3287786855</v>
      </c>
      <c r="E85">
        <v>2.518246789467533E-5</v>
      </c>
      <c r="F85">
        <v>2.5072373860597526E-5</v>
      </c>
      <c r="G85">
        <v>1.1009403407780355E-7</v>
      </c>
      <c r="H85" t="b">
        <v>0</v>
      </c>
    </row>
    <row r="86" spans="1:8" x14ac:dyDescent="0.15">
      <c r="A86">
        <v>6</v>
      </c>
      <c r="B86">
        <v>18</v>
      </c>
      <c r="C86">
        <v>3657532.32421875</v>
      </c>
      <c r="D86">
        <v>3583429.1625653026</v>
      </c>
      <c r="E86">
        <v>2.5176813233368769E-5</v>
      </c>
      <c r="F86">
        <v>2.5072373860597526E-5</v>
      </c>
      <c r="G86">
        <v>1.044393727712433E-7</v>
      </c>
      <c r="H86" t="b">
        <v>0</v>
      </c>
    </row>
    <row r="87" spans="1:8" x14ac:dyDescent="0.15">
      <c r="A87">
        <v>6</v>
      </c>
      <c r="B87">
        <v>19</v>
      </c>
      <c r="C87">
        <v>3657569.82421875</v>
      </c>
      <c r="D87">
        <v>3681263.8374587134</v>
      </c>
      <c r="E87">
        <v>2.517964043266477E-5</v>
      </c>
      <c r="F87">
        <v>2.5072373860597526E-5</v>
      </c>
      <c r="G87">
        <v>1.072665720672435E-7</v>
      </c>
      <c r="H87" t="b">
        <v>0</v>
      </c>
    </row>
    <row r="88" spans="1:8" x14ac:dyDescent="0.15">
      <c r="A88">
        <v>7</v>
      </c>
      <c r="B88">
        <v>1</v>
      </c>
      <c r="C88">
        <v>6050000</v>
      </c>
      <c r="D88">
        <v>898621452263.66541</v>
      </c>
      <c r="E88">
        <v>3.1705455998222503E-3</v>
      </c>
      <c r="F88">
        <v>2.4790074292142545E-5</v>
      </c>
      <c r="G88">
        <v>3.1457555255301078E-3</v>
      </c>
      <c r="H88" t="b">
        <v>0</v>
      </c>
    </row>
    <row r="89" spans="1:8" x14ac:dyDescent="0.15">
      <c r="A89">
        <v>7</v>
      </c>
      <c r="B89">
        <v>2</v>
      </c>
      <c r="C89">
        <v>3075000</v>
      </c>
      <c r="D89">
        <v>-1915412.0180929271</v>
      </c>
      <c r="E89">
        <v>9.5771653843440929E-6</v>
      </c>
      <c r="F89">
        <v>2.4790074292142728E-5</v>
      </c>
      <c r="G89">
        <v>-1.5212908907798635E-5</v>
      </c>
      <c r="H89" t="b">
        <v>1</v>
      </c>
    </row>
    <row r="90" spans="1:8" x14ac:dyDescent="0.15">
      <c r="A90">
        <v>7</v>
      </c>
      <c r="B90">
        <v>3</v>
      </c>
      <c r="C90">
        <v>4562500</v>
      </c>
      <c r="D90">
        <v>44791234096.074051</v>
      </c>
      <c r="E90">
        <v>3.3270226363290201E-4</v>
      </c>
      <c r="F90">
        <v>2.4790074292142708E-5</v>
      </c>
      <c r="G90">
        <v>3.079121893407593E-4</v>
      </c>
      <c r="H90" t="b">
        <v>0</v>
      </c>
    </row>
    <row r="91" spans="1:8" x14ac:dyDescent="0.15">
      <c r="A91">
        <v>7</v>
      </c>
      <c r="B91">
        <v>4</v>
      </c>
      <c r="C91">
        <v>3818750</v>
      </c>
      <c r="D91">
        <v>2713585175.0409217</v>
      </c>
      <c r="E91">
        <v>6.1698099251785845E-5</v>
      </c>
      <c r="F91">
        <v>2.4790074292142728E-5</v>
      </c>
      <c r="G91">
        <v>3.6908024959643117E-5</v>
      </c>
      <c r="H91" t="b">
        <v>0</v>
      </c>
    </row>
    <row r="92" spans="1:8" x14ac:dyDescent="0.15">
      <c r="A92">
        <v>7</v>
      </c>
      <c r="B92">
        <v>5</v>
      </c>
      <c r="C92">
        <v>3446875</v>
      </c>
      <c r="D92">
        <v>-91857474.771441787</v>
      </c>
      <c r="E92">
        <v>2.0649343141221348E-5</v>
      </c>
      <c r="F92">
        <v>2.4790074292142728E-5</v>
      </c>
      <c r="G92">
        <v>-4.1407311509213801E-6</v>
      </c>
      <c r="H92" t="b">
        <v>1</v>
      </c>
    </row>
    <row r="93" spans="1:8" x14ac:dyDescent="0.15">
      <c r="A93">
        <v>7</v>
      </c>
      <c r="B93">
        <v>6</v>
      </c>
      <c r="C93">
        <v>3632812.5</v>
      </c>
      <c r="D93">
        <v>645581733.78568316</v>
      </c>
      <c r="E93">
        <v>3.6652257578791508E-5</v>
      </c>
      <c r="F93">
        <v>2.4790074292142728E-5</v>
      </c>
      <c r="G93">
        <v>1.186218328664878E-5</v>
      </c>
      <c r="H93" t="b">
        <v>0</v>
      </c>
    </row>
    <row r="94" spans="1:8" x14ac:dyDescent="0.15">
      <c r="A94">
        <v>7</v>
      </c>
      <c r="B94">
        <v>7</v>
      </c>
      <c r="C94">
        <v>3539843.75</v>
      </c>
      <c r="D94">
        <v>123461983.82844478</v>
      </c>
      <c r="E94">
        <v>2.7708019198232864E-5</v>
      </c>
      <c r="F94">
        <v>2.4790074292142728E-5</v>
      </c>
      <c r="G94">
        <v>2.9179449060901358E-6</v>
      </c>
      <c r="H94" t="b">
        <v>0</v>
      </c>
    </row>
    <row r="95" spans="1:8" x14ac:dyDescent="0.15">
      <c r="A95">
        <v>7</v>
      </c>
      <c r="B95">
        <v>8</v>
      </c>
      <c r="C95">
        <v>3493359.375</v>
      </c>
      <c r="D95">
        <v>-26456645.620203756</v>
      </c>
      <c r="E95">
        <v>2.396388366657025E-5</v>
      </c>
      <c r="F95">
        <v>2.4790074292142728E-5</v>
      </c>
      <c r="G95">
        <v>-8.2619062557247823E-7</v>
      </c>
      <c r="H95" t="b">
        <v>1</v>
      </c>
    </row>
    <row r="96" spans="1:8" x14ac:dyDescent="0.15">
      <c r="A96">
        <v>7</v>
      </c>
      <c r="B96">
        <v>9</v>
      </c>
      <c r="C96">
        <v>3516601.5625</v>
      </c>
      <c r="D96">
        <v>36727169.379326455</v>
      </c>
      <c r="E96">
        <v>2.5779585968387624E-5</v>
      </c>
      <c r="F96">
        <v>2.4790074292142728E-5</v>
      </c>
      <c r="G96">
        <v>9.8951167624489588E-7</v>
      </c>
      <c r="H96" t="b">
        <v>0</v>
      </c>
    </row>
    <row r="97" spans="1:8" x14ac:dyDescent="0.15">
      <c r="A97">
        <v>7</v>
      </c>
      <c r="B97">
        <v>10</v>
      </c>
      <c r="C97">
        <v>3504980.46875</v>
      </c>
      <c r="D97">
        <v>2346312.4620247004</v>
      </c>
      <c r="E97">
        <v>2.4857972586540221E-5</v>
      </c>
      <c r="F97">
        <v>2.4790074292142728E-5</v>
      </c>
      <c r="G97">
        <v>6.789829439749284E-8</v>
      </c>
      <c r="H97" t="b">
        <v>0</v>
      </c>
    </row>
    <row r="98" spans="1:8" x14ac:dyDescent="0.15">
      <c r="A98">
        <v>7</v>
      </c>
      <c r="B98">
        <v>11</v>
      </c>
      <c r="C98">
        <v>3510791.015625</v>
      </c>
      <c r="D98">
        <v>18820425.3182876</v>
      </c>
      <c r="E98">
        <v>2.5315298051150191E-5</v>
      </c>
      <c r="F98">
        <v>2.4790074292142728E-5</v>
      </c>
      <c r="G98">
        <v>5.2522375900746317E-7</v>
      </c>
      <c r="H98" t="b">
        <v>0</v>
      </c>
    </row>
    <row r="99" spans="1:8" x14ac:dyDescent="0.15">
      <c r="A99">
        <v>7</v>
      </c>
      <c r="B99">
        <v>12</v>
      </c>
      <c r="C99">
        <v>3507885.7421875</v>
      </c>
      <c r="D99">
        <v>10406694.904243408</v>
      </c>
      <c r="E99">
        <v>2.5085770225707905E-5</v>
      </c>
      <c r="F99">
        <v>2.4790074292142728E-5</v>
      </c>
      <c r="G99">
        <v>2.9569593356517675E-7</v>
      </c>
      <c r="H99" t="b">
        <v>0</v>
      </c>
    </row>
    <row r="100" spans="1:8" x14ac:dyDescent="0.15">
      <c r="A100">
        <v>7</v>
      </c>
      <c r="B100">
        <v>13</v>
      </c>
      <c r="C100">
        <v>3506433.10546875</v>
      </c>
      <c r="D100">
        <v>6332555.0607671551</v>
      </c>
      <c r="E100">
        <v>2.4971653544103555E-5</v>
      </c>
      <c r="F100">
        <v>2.4790074292142728E-5</v>
      </c>
      <c r="G100">
        <v>1.8157925196082706E-7</v>
      </c>
      <c r="H100" t="b">
        <v>0</v>
      </c>
    </row>
    <row r="101" spans="1:8" x14ac:dyDescent="0.15">
      <c r="A101">
        <v>7</v>
      </c>
      <c r="B101">
        <v>14</v>
      </c>
      <c r="C101">
        <v>3505233.10546875</v>
      </c>
      <c r="D101">
        <v>3033319.7635806571</v>
      </c>
      <c r="E101">
        <v>2.4877712955972894E-5</v>
      </c>
      <c r="F101">
        <v>2.4790074292142728E-5</v>
      </c>
      <c r="G101">
        <v>8.7638663830165957E-8</v>
      </c>
      <c r="H101" t="b">
        <v>0</v>
      </c>
    </row>
    <row r="102" spans="1:8" x14ac:dyDescent="0.15">
      <c r="A102">
        <v>7</v>
      </c>
      <c r="B102">
        <v>15</v>
      </c>
      <c r="C102">
        <v>3505833.10546875</v>
      </c>
      <c r="D102">
        <v>4675437.6899547717</v>
      </c>
      <c r="E102">
        <v>2.4924645463058873E-5</v>
      </c>
      <c r="F102">
        <v>2.4790074292142728E-5</v>
      </c>
      <c r="G102">
        <v>1.3457117091614552E-7</v>
      </c>
      <c r="H102" t="b">
        <v>0</v>
      </c>
    </row>
    <row r="103" spans="1:8" x14ac:dyDescent="0.15">
      <c r="A103">
        <v>7</v>
      </c>
      <c r="B103">
        <v>16</v>
      </c>
      <c r="C103">
        <v>3505533.10546875</v>
      </c>
      <c r="D103">
        <v>3852479.223850138</v>
      </c>
      <c r="E103">
        <v>2.4901168988212066E-5</v>
      </c>
      <c r="F103">
        <v>2.4790074292142728E-5</v>
      </c>
      <c r="G103">
        <v>1.1109469606933802E-7</v>
      </c>
      <c r="H103" t="b">
        <v>0</v>
      </c>
    </row>
    <row r="104" spans="1:8" x14ac:dyDescent="0.15">
      <c r="A104">
        <v>7</v>
      </c>
      <c r="B104">
        <v>17</v>
      </c>
      <c r="C104">
        <v>3505173.10546875</v>
      </c>
      <c r="D104">
        <v>2869847.568976569</v>
      </c>
      <c r="E104">
        <v>2.4873021455554459E-5</v>
      </c>
      <c r="F104">
        <v>2.4790074292142728E-5</v>
      </c>
      <c r="G104">
        <v>8.2947163411731457E-8</v>
      </c>
      <c r="H104" t="b">
        <v>0</v>
      </c>
    </row>
    <row r="105" spans="1:8" x14ac:dyDescent="0.15">
      <c r="A105">
        <v>7</v>
      </c>
      <c r="B105">
        <v>18</v>
      </c>
      <c r="C105">
        <v>3505353.10546875</v>
      </c>
      <c r="D105">
        <v>3360565.8506721435</v>
      </c>
      <c r="E105">
        <v>2.4887093999133334E-5</v>
      </c>
      <c r="F105">
        <v>2.4790074292142728E-5</v>
      </c>
      <c r="G105">
        <v>9.7019706990606087E-8</v>
      </c>
      <c r="H105" t="b">
        <v>0</v>
      </c>
    </row>
    <row r="106" spans="1:8" x14ac:dyDescent="0.15">
      <c r="A106">
        <v>7</v>
      </c>
      <c r="B106">
        <v>19</v>
      </c>
      <c r="C106">
        <v>3505569.10546875</v>
      </c>
      <c r="D106">
        <v>3951110.2857286325</v>
      </c>
      <c r="E106">
        <v>2.4903987278252805E-5</v>
      </c>
      <c r="F106">
        <v>2.4790074292142728E-5</v>
      </c>
      <c r="G106">
        <v>1.139129861100772E-7</v>
      </c>
      <c r="H106" t="b">
        <v>0</v>
      </c>
    </row>
    <row r="107" spans="1:8" x14ac:dyDescent="0.15">
      <c r="A107">
        <v>7</v>
      </c>
      <c r="B107">
        <v>20</v>
      </c>
      <c r="C107">
        <v>3505461.10546875</v>
      </c>
      <c r="D107">
        <v>3655523.8911138256</v>
      </c>
      <c r="E107">
        <v>2.4895537366969489E-5</v>
      </c>
      <c r="F107">
        <v>2.4790074292142728E-5</v>
      </c>
      <c r="G107">
        <v>1.0546307482676152E-7</v>
      </c>
      <c r="H107" t="b">
        <v>0</v>
      </c>
    </row>
    <row r="108" spans="1:8" x14ac:dyDescent="0.15">
      <c r="A108">
        <v>7</v>
      </c>
      <c r="B108">
        <v>21</v>
      </c>
      <c r="C108">
        <v>3505331.5054687499</v>
      </c>
      <c r="D108">
        <v>3301544.9682080126</v>
      </c>
      <c r="E108">
        <v>2.488540311355269E-5</v>
      </c>
      <c r="F108">
        <v>2.4790074292142728E-5</v>
      </c>
      <c r="G108">
        <v>9.5328821409962258E-8</v>
      </c>
      <c r="H108" t="b">
        <v>0</v>
      </c>
    </row>
    <row r="109" spans="1:8" x14ac:dyDescent="0.15">
      <c r="A109">
        <v>7</v>
      </c>
      <c r="B109">
        <v>22</v>
      </c>
      <c r="C109">
        <v>3505396.3054687497</v>
      </c>
      <c r="D109">
        <v>3478520.2605362688</v>
      </c>
      <c r="E109">
        <v>2.4890471893583868E-5</v>
      </c>
      <c r="F109">
        <v>2.4790074292142728E-5</v>
      </c>
      <c r="G109">
        <v>1.0039760144113985E-7</v>
      </c>
      <c r="H109" t="b">
        <v>0</v>
      </c>
    </row>
    <row r="110" spans="1:8" x14ac:dyDescent="0.15">
      <c r="A110">
        <v>8</v>
      </c>
      <c r="B110">
        <v>1</v>
      </c>
      <c r="C110">
        <v>6050000</v>
      </c>
      <c r="D110">
        <v>2723980751089.3359</v>
      </c>
      <c r="E110">
        <v>7.7068813705639767E-3</v>
      </c>
      <c r="F110">
        <v>2.4970969865607991E-5</v>
      </c>
      <c r="G110">
        <v>7.6819104006983687E-3</v>
      </c>
      <c r="H110" t="b">
        <v>0</v>
      </c>
    </row>
    <row r="111" spans="1:8" x14ac:dyDescent="0.15">
      <c r="A111">
        <v>8</v>
      </c>
      <c r="B111">
        <v>2</v>
      </c>
      <c r="C111">
        <v>3075000</v>
      </c>
      <c r="D111">
        <v>-81428389.84066835</v>
      </c>
      <c r="E111">
        <v>1.6990366422440853E-5</v>
      </c>
      <c r="F111">
        <v>2.4970969865607584E-5</v>
      </c>
      <c r="G111">
        <v>-7.980603443166731E-6</v>
      </c>
      <c r="H111" t="b">
        <v>1</v>
      </c>
    </row>
    <row r="112" spans="1:8" x14ac:dyDescent="0.15">
      <c r="A112">
        <v>8</v>
      </c>
      <c r="B112">
        <v>3</v>
      </c>
      <c r="C112">
        <v>4562500</v>
      </c>
      <c r="D112">
        <v>152068132304.45419</v>
      </c>
      <c r="E112">
        <v>8.170645219745924E-4</v>
      </c>
      <c r="F112">
        <v>2.4970969865607557E-5</v>
      </c>
      <c r="G112">
        <v>7.9209355210898484E-4</v>
      </c>
      <c r="H112" t="b">
        <v>0</v>
      </c>
    </row>
    <row r="113" spans="1:8" x14ac:dyDescent="0.15">
      <c r="A113">
        <v>8</v>
      </c>
      <c r="B113">
        <v>4</v>
      </c>
      <c r="C113">
        <v>3818750</v>
      </c>
      <c r="D113">
        <v>15685255783.969088</v>
      </c>
      <c r="E113">
        <v>1.6543795871644225E-4</v>
      </c>
      <c r="F113">
        <v>2.4970969865607584E-5</v>
      </c>
      <c r="G113">
        <v>1.4046698885083466E-4</v>
      </c>
      <c r="H113" t="b">
        <v>0</v>
      </c>
    </row>
    <row r="114" spans="1:8" x14ac:dyDescent="0.15">
      <c r="A114">
        <v>8</v>
      </c>
      <c r="B114">
        <v>5</v>
      </c>
      <c r="C114">
        <v>3446875</v>
      </c>
      <c r="D114">
        <v>2452025188.7537398</v>
      </c>
      <c r="E114">
        <v>5.9406389574326303E-5</v>
      </c>
      <c r="F114">
        <v>2.4970969865607584E-5</v>
      </c>
      <c r="G114">
        <v>3.4435419708718719E-5</v>
      </c>
      <c r="H114" t="b">
        <v>0</v>
      </c>
    </row>
    <row r="115" spans="1:8" x14ac:dyDescent="0.15">
      <c r="A115">
        <v>8</v>
      </c>
      <c r="B115">
        <v>6</v>
      </c>
      <c r="C115">
        <v>3260937.5</v>
      </c>
      <c r="D115">
        <v>392011115.07076794</v>
      </c>
      <c r="E115">
        <v>3.2854701074884928E-5</v>
      </c>
      <c r="F115">
        <v>2.4970969865607584E-5</v>
      </c>
      <c r="G115">
        <v>7.8837312092773436E-6</v>
      </c>
      <c r="H115" t="b">
        <v>0</v>
      </c>
    </row>
    <row r="116" spans="1:8" x14ac:dyDescent="0.15">
      <c r="A116">
        <v>8</v>
      </c>
      <c r="B116">
        <v>7</v>
      </c>
      <c r="C116">
        <v>3167968.75</v>
      </c>
      <c r="D116">
        <v>-34966133.902455062</v>
      </c>
      <c r="E116">
        <v>2.3842435021955558E-5</v>
      </c>
      <c r="F116">
        <v>2.4970969865607584E-5</v>
      </c>
      <c r="G116">
        <v>-1.1285348436520262E-6</v>
      </c>
      <c r="H116" t="b">
        <v>1</v>
      </c>
    </row>
    <row r="117" spans="1:8" x14ac:dyDescent="0.15">
      <c r="A117">
        <v>8</v>
      </c>
      <c r="B117">
        <v>8</v>
      </c>
      <c r="C117">
        <v>3214453.125</v>
      </c>
      <c r="D117">
        <v>130408683.50571987</v>
      </c>
      <c r="E117">
        <v>2.8047724474886625E-5</v>
      </c>
      <c r="F117">
        <v>2.4970969865607584E-5</v>
      </c>
      <c r="G117">
        <v>3.0767546092790405E-6</v>
      </c>
      <c r="H117" t="b">
        <v>0</v>
      </c>
    </row>
    <row r="118" spans="1:8" x14ac:dyDescent="0.15">
      <c r="A118">
        <v>8</v>
      </c>
      <c r="B118">
        <v>9</v>
      </c>
      <c r="C118">
        <v>3191210.9375</v>
      </c>
      <c r="D118">
        <v>33062056.885703377</v>
      </c>
      <c r="E118">
        <v>2.5873791838834209E-5</v>
      </c>
      <c r="F118">
        <v>2.4970969865607584E-5</v>
      </c>
      <c r="G118">
        <v>9.0282197322662456E-7</v>
      </c>
      <c r="H118" t="b">
        <v>0</v>
      </c>
    </row>
    <row r="119" spans="1:8" x14ac:dyDescent="0.15">
      <c r="A119">
        <v>8</v>
      </c>
      <c r="B119">
        <v>10</v>
      </c>
      <c r="C119">
        <v>3179589.84375</v>
      </c>
      <c r="D119">
        <v>-4399019.6614727126</v>
      </c>
      <c r="E119">
        <v>2.4840765601573271E-5</v>
      </c>
      <c r="F119">
        <v>2.4970969865607584E-5</v>
      </c>
      <c r="G119">
        <v>-1.3020426403431357E-7</v>
      </c>
      <c r="H119" t="b">
        <v>1</v>
      </c>
    </row>
    <row r="120" spans="1:8" x14ac:dyDescent="0.15">
      <c r="A120">
        <v>8</v>
      </c>
      <c r="B120">
        <v>11</v>
      </c>
      <c r="C120">
        <v>3185400.390625</v>
      </c>
      <c r="D120">
        <v>13443007.956693862</v>
      </c>
      <c r="E120">
        <v>2.535288326950882E-5</v>
      </c>
      <c r="F120">
        <v>2.4970969865607584E-5</v>
      </c>
      <c r="G120">
        <v>3.819134039012364E-7</v>
      </c>
      <c r="H120" t="b">
        <v>0</v>
      </c>
    </row>
    <row r="121" spans="1:8" x14ac:dyDescent="0.15">
      <c r="A121">
        <v>8</v>
      </c>
      <c r="B121">
        <v>12</v>
      </c>
      <c r="C121">
        <v>3182495.1171875</v>
      </c>
      <c r="D121">
        <v>4303239.3614611709</v>
      </c>
      <c r="E121">
        <v>2.5095732958072805E-5</v>
      </c>
      <c r="F121">
        <v>2.4970969865607584E-5</v>
      </c>
      <c r="G121">
        <v>1.2476309246522142E-7</v>
      </c>
      <c r="H121" t="b">
        <v>0</v>
      </c>
    </row>
    <row r="122" spans="1:8" x14ac:dyDescent="0.15">
      <c r="A122">
        <v>8</v>
      </c>
      <c r="B122">
        <v>13</v>
      </c>
      <c r="C122">
        <v>3181042.48046875</v>
      </c>
      <c r="D122">
        <v>-102236.88391682858</v>
      </c>
      <c r="E122">
        <v>2.4967975066182408E-5</v>
      </c>
      <c r="F122">
        <v>2.4970969865607584E-5</v>
      </c>
      <c r="G122">
        <v>-2.9947994251759106E-9</v>
      </c>
      <c r="H122" t="b">
        <v>1</v>
      </c>
    </row>
    <row r="123" spans="1:8" x14ac:dyDescent="0.15">
      <c r="A123">
        <v>8</v>
      </c>
      <c r="B123">
        <v>14</v>
      </c>
      <c r="C123">
        <v>3181542.48046875</v>
      </c>
      <c r="D123">
        <v>1401888.6526757921</v>
      </c>
      <c r="E123">
        <v>2.5011889405233318E-5</v>
      </c>
      <c r="F123">
        <v>2.4970969865607584E-5</v>
      </c>
      <c r="G123">
        <v>4.0919539625734307E-8</v>
      </c>
      <c r="H123" t="b">
        <v>0</v>
      </c>
    </row>
    <row r="124" spans="1:8" x14ac:dyDescent="0.15">
      <c r="A124">
        <v>8</v>
      </c>
      <c r="B124">
        <v>15</v>
      </c>
      <c r="C124">
        <v>3182142.48046875</v>
      </c>
      <c r="D124">
        <v>3223773.1632031966</v>
      </c>
      <c r="E124">
        <v>2.5064669192213283E-5</v>
      </c>
      <c r="F124">
        <v>2.4970969865607584E-5</v>
      </c>
      <c r="G124">
        <v>9.3699326605698797E-8</v>
      </c>
      <c r="H124" t="b">
        <v>0</v>
      </c>
    </row>
    <row r="125" spans="1:8" x14ac:dyDescent="0.15">
      <c r="A125">
        <v>8</v>
      </c>
      <c r="B125">
        <v>16</v>
      </c>
      <c r="C125">
        <v>3181842.48046875</v>
      </c>
      <c r="D125">
        <v>2310506.44138538</v>
      </c>
      <c r="E125">
        <v>2.5038267678294304E-5</v>
      </c>
      <c r="F125">
        <v>2.4970969865607584E-5</v>
      </c>
      <c r="G125">
        <v>6.7297812686720399E-8</v>
      </c>
      <c r="H125" t="b">
        <v>0</v>
      </c>
    </row>
    <row r="126" spans="1:8" x14ac:dyDescent="0.15">
      <c r="A126">
        <v>8</v>
      </c>
      <c r="B126">
        <v>17</v>
      </c>
      <c r="C126">
        <v>3181992.48046875</v>
      </c>
      <c r="D126">
        <v>2766483.4669634434</v>
      </c>
      <c r="E126">
        <v>2.5051463367981271E-5</v>
      </c>
      <c r="F126">
        <v>2.4970969865607584E-5</v>
      </c>
      <c r="G126">
        <v>8.049350237368706E-8</v>
      </c>
      <c r="H126" t="b">
        <v>0</v>
      </c>
    </row>
    <row r="127" spans="1:8" x14ac:dyDescent="0.15">
      <c r="A127">
        <v>8</v>
      </c>
      <c r="B127">
        <v>18</v>
      </c>
      <c r="C127">
        <v>3182172.48046875</v>
      </c>
      <c r="D127">
        <v>3315355.8108087569</v>
      </c>
      <c r="E127">
        <v>2.506731062247338E-5</v>
      </c>
      <c r="F127">
        <v>2.4970969865607584E-5</v>
      </c>
      <c r="G127">
        <v>9.6340756865795856E-8</v>
      </c>
      <c r="H127" t="b">
        <v>0</v>
      </c>
    </row>
    <row r="128" spans="1:8" x14ac:dyDescent="0.15">
      <c r="A128">
        <v>8</v>
      </c>
      <c r="B128">
        <v>19</v>
      </c>
      <c r="C128">
        <v>3182082.48046875</v>
      </c>
      <c r="D128">
        <v>3040672.6719534998</v>
      </c>
      <c r="E128">
        <v>2.5059384867478421E-5</v>
      </c>
      <c r="F128">
        <v>2.4970969865607584E-5</v>
      </c>
      <c r="G128">
        <v>8.8415001870836656E-8</v>
      </c>
      <c r="H128" t="b">
        <v>0</v>
      </c>
    </row>
    <row r="129" spans="1:8" x14ac:dyDescent="0.15">
      <c r="A129">
        <v>8</v>
      </c>
      <c r="B129">
        <v>20</v>
      </c>
      <c r="C129">
        <v>3182127.48046875</v>
      </c>
      <c r="D129">
        <v>3177999.3010781948</v>
      </c>
      <c r="E129">
        <v>2.5063348564299173E-5</v>
      </c>
      <c r="F129">
        <v>2.4970969865607584E-5</v>
      </c>
      <c r="G129">
        <v>9.237869869158861E-8</v>
      </c>
      <c r="H129" t="b">
        <v>0</v>
      </c>
    </row>
    <row r="130" spans="1:8" x14ac:dyDescent="0.15">
      <c r="A130">
        <v>9</v>
      </c>
      <c r="B130">
        <v>1</v>
      </c>
      <c r="C130">
        <v>6050000</v>
      </c>
      <c r="D130">
        <v>674645513573.49756</v>
      </c>
      <c r="E130">
        <v>1.6179503840827055E-3</v>
      </c>
      <c r="F130">
        <v>1.7364204871684686E-5</v>
      </c>
      <c r="G130">
        <v>1.6005861792110208E-3</v>
      </c>
      <c r="H130" t="b">
        <v>0</v>
      </c>
    </row>
    <row r="131" spans="1:8" x14ac:dyDescent="0.15">
      <c r="A131">
        <v>9</v>
      </c>
      <c r="B131">
        <v>2</v>
      </c>
      <c r="C131">
        <v>3075000</v>
      </c>
      <c r="D131">
        <v>-741830.72779276024</v>
      </c>
      <c r="E131">
        <v>5.067424599265787E-6</v>
      </c>
      <c r="F131">
        <v>1.7364204871684689E-5</v>
      </c>
      <c r="G131">
        <v>-1.2296780272418902E-5</v>
      </c>
      <c r="H131" t="b">
        <v>1</v>
      </c>
    </row>
    <row r="132" spans="1:8" x14ac:dyDescent="0.15">
      <c r="A132">
        <v>9</v>
      </c>
      <c r="B132">
        <v>3</v>
      </c>
      <c r="C132">
        <v>4562500</v>
      </c>
      <c r="D132">
        <v>24716179214.77491</v>
      </c>
      <c r="E132">
        <v>1.4497695687447424E-4</v>
      </c>
      <c r="F132">
        <v>1.7364204871684686E-5</v>
      </c>
      <c r="G132">
        <v>1.2761275200278956E-4</v>
      </c>
      <c r="H132" t="b">
        <v>0</v>
      </c>
    </row>
    <row r="133" spans="1:8" x14ac:dyDescent="0.15">
      <c r="A133">
        <v>9</v>
      </c>
      <c r="B133">
        <v>4</v>
      </c>
      <c r="C133">
        <v>3818750</v>
      </c>
      <c r="D133">
        <v>490595951.36889845</v>
      </c>
      <c r="E133">
        <v>2.3625102257611065E-5</v>
      </c>
      <c r="F133">
        <v>1.7364204871684689E-5</v>
      </c>
      <c r="G133">
        <v>6.260897385926376E-6</v>
      </c>
      <c r="H133" t="b">
        <v>0</v>
      </c>
    </row>
    <row r="134" spans="1:8" x14ac:dyDescent="0.15">
      <c r="A134">
        <v>9</v>
      </c>
      <c r="B134">
        <v>5</v>
      </c>
      <c r="C134">
        <v>3446875</v>
      </c>
      <c r="D134">
        <v>-26578132.828766868</v>
      </c>
      <c r="E134">
        <v>1.0079271888904985E-5</v>
      </c>
      <c r="F134">
        <v>1.7364204871684689E-5</v>
      </c>
      <c r="G134">
        <v>-7.2849329827797039E-6</v>
      </c>
      <c r="H134" t="b">
        <v>1</v>
      </c>
    </row>
    <row r="135" spans="1:8" x14ac:dyDescent="0.15">
      <c r="A135">
        <v>9</v>
      </c>
      <c r="B135">
        <v>6</v>
      </c>
      <c r="C135">
        <v>3632812.5</v>
      </c>
      <c r="D135">
        <v>-88738850.437414423</v>
      </c>
      <c r="E135">
        <v>1.3599792180199991E-5</v>
      </c>
      <c r="F135">
        <v>1.7364204871684689E-5</v>
      </c>
      <c r="G135">
        <v>-3.764412691484698E-6</v>
      </c>
      <c r="H135" t="b">
        <v>1</v>
      </c>
    </row>
    <row r="136" spans="1:8" x14ac:dyDescent="0.15">
      <c r="A136">
        <v>9</v>
      </c>
      <c r="B136">
        <v>7</v>
      </c>
      <c r="C136">
        <v>3725781.25</v>
      </c>
      <c r="D136">
        <v>29983719.077456813</v>
      </c>
      <c r="E136">
        <v>1.7961631878415053E-5</v>
      </c>
      <c r="F136">
        <v>1.7364204871684689E-5</v>
      </c>
      <c r="G136">
        <v>5.9742700673036381E-7</v>
      </c>
      <c r="H136" t="b">
        <v>0</v>
      </c>
    </row>
    <row r="137" spans="1:8" x14ac:dyDescent="0.15">
      <c r="A137">
        <v>9</v>
      </c>
      <c r="B137">
        <v>8</v>
      </c>
      <c r="C137">
        <v>3679296.875</v>
      </c>
      <c r="D137">
        <v>-64064578.207184449</v>
      </c>
      <c r="E137">
        <v>1.5583236565857516E-5</v>
      </c>
      <c r="F137">
        <v>1.7364204871684689E-5</v>
      </c>
      <c r="G137">
        <v>-1.7809683058271727E-6</v>
      </c>
      <c r="H137" t="b">
        <v>1</v>
      </c>
    </row>
    <row r="138" spans="1:8" x14ac:dyDescent="0.15">
      <c r="A138">
        <v>9</v>
      </c>
      <c r="B138">
        <v>9</v>
      </c>
      <c r="C138">
        <v>3702539.0625</v>
      </c>
      <c r="D138">
        <v>-26944880.591373708</v>
      </c>
      <c r="E138">
        <v>1.6737145692045748E-5</v>
      </c>
      <c r="F138">
        <v>1.7364204871684689E-5</v>
      </c>
      <c r="G138">
        <v>-6.2705917963894124E-7</v>
      </c>
      <c r="H138" t="b">
        <v>1</v>
      </c>
    </row>
    <row r="139" spans="1:8" x14ac:dyDescent="0.15">
      <c r="A139">
        <v>9</v>
      </c>
      <c r="B139">
        <v>10</v>
      </c>
      <c r="C139">
        <v>3714160.15625</v>
      </c>
      <c r="D139">
        <v>-1110052.3072852504</v>
      </c>
      <c r="E139">
        <v>1.7340360123358322E-5</v>
      </c>
      <c r="F139">
        <v>1.7364204871684689E-5</v>
      </c>
      <c r="G139">
        <v>-2.3844748326366664E-8</v>
      </c>
      <c r="H139" t="b">
        <v>1</v>
      </c>
    </row>
    <row r="140" spans="1:8" x14ac:dyDescent="0.15">
      <c r="A140">
        <v>9</v>
      </c>
      <c r="B140">
        <v>11</v>
      </c>
      <c r="C140">
        <v>3719970.703125</v>
      </c>
      <c r="D140">
        <v>13759966.874078382</v>
      </c>
      <c r="E140">
        <v>1.7648710940934539E-5</v>
      </c>
      <c r="F140">
        <v>1.7364204871684689E-5</v>
      </c>
      <c r="G140">
        <v>2.8450606924984961E-7</v>
      </c>
      <c r="H140" t="b">
        <v>0</v>
      </c>
    </row>
    <row r="141" spans="1:8" x14ac:dyDescent="0.15">
      <c r="A141">
        <v>9</v>
      </c>
      <c r="B141">
        <v>12</v>
      </c>
      <c r="C141">
        <v>3717065.4296875</v>
      </c>
      <c r="D141">
        <v>6158236.4425344113</v>
      </c>
      <c r="E141">
        <v>1.7493968670064042E-5</v>
      </c>
      <c r="F141">
        <v>1.7364204871684689E-5</v>
      </c>
      <c r="G141">
        <v>1.2976379837935321E-7</v>
      </c>
      <c r="H141" t="b">
        <v>0</v>
      </c>
    </row>
    <row r="142" spans="1:8" x14ac:dyDescent="0.15">
      <c r="A142">
        <v>9</v>
      </c>
      <c r="B142">
        <v>13</v>
      </c>
      <c r="C142">
        <v>3715612.79296875</v>
      </c>
      <c r="D142">
        <v>2482636.3009643564</v>
      </c>
      <c r="E142">
        <v>1.7417021424442958E-5</v>
      </c>
      <c r="F142">
        <v>1.7364204871684689E-5</v>
      </c>
      <c r="G142">
        <v>5.2816552758269458E-8</v>
      </c>
      <c r="H142" t="b">
        <v>0</v>
      </c>
    </row>
    <row r="143" spans="1:8" x14ac:dyDescent="0.15">
      <c r="A143">
        <v>9</v>
      </c>
      <c r="B143">
        <v>14</v>
      </c>
      <c r="C143">
        <v>3716112.79296875</v>
      </c>
      <c r="D143">
        <v>3738457.4353103014</v>
      </c>
      <c r="E143">
        <v>1.7443475786719077E-5</v>
      </c>
      <c r="F143">
        <v>1.7364204871684689E-5</v>
      </c>
      <c r="G143">
        <v>7.9270915034387716E-8</v>
      </c>
      <c r="H143" t="b">
        <v>0</v>
      </c>
    </row>
    <row r="144" spans="1:8" x14ac:dyDescent="0.15">
      <c r="A144">
        <v>10</v>
      </c>
      <c r="B144">
        <v>1</v>
      </c>
      <c r="C144">
        <v>6050000</v>
      </c>
      <c r="D144">
        <v>876428162680.0127</v>
      </c>
      <c r="E144">
        <v>1.3696982866568241E-3</v>
      </c>
      <c r="F144">
        <v>1.3063760474261044E-5</v>
      </c>
      <c r="G144">
        <v>1.356634526182563E-3</v>
      </c>
      <c r="H144" t="b">
        <v>0</v>
      </c>
    </row>
    <row r="145" spans="1:8" x14ac:dyDescent="0.15">
      <c r="A145">
        <v>10</v>
      </c>
      <c r="B145">
        <v>2</v>
      </c>
      <c r="C145">
        <v>3075000</v>
      </c>
      <c r="D145">
        <v>-739863.25043113786</v>
      </c>
      <c r="E145">
        <v>3.6967525272208987E-6</v>
      </c>
      <c r="F145">
        <v>1.3063760474261146E-5</v>
      </c>
      <c r="G145">
        <v>-9.3670079470402463E-6</v>
      </c>
      <c r="H145" t="b">
        <v>1</v>
      </c>
    </row>
    <row r="146" spans="1:8" x14ac:dyDescent="0.15">
      <c r="A146">
        <v>10</v>
      </c>
      <c r="B146">
        <v>3</v>
      </c>
      <c r="C146">
        <v>4562500</v>
      </c>
      <c r="D146">
        <v>26983613194.395813</v>
      </c>
      <c r="E146">
        <v>1.0862903348504357E-4</v>
      </c>
      <c r="F146">
        <v>1.3063760474261153E-5</v>
      </c>
      <c r="G146">
        <v>9.5565273010782422E-5</v>
      </c>
      <c r="H146" t="b">
        <v>0</v>
      </c>
    </row>
    <row r="147" spans="1:8" x14ac:dyDescent="0.15">
      <c r="A147">
        <v>10</v>
      </c>
      <c r="B147">
        <v>4</v>
      </c>
      <c r="C147">
        <v>3818750</v>
      </c>
      <c r="D147">
        <v>298980758.69454229</v>
      </c>
      <c r="E147">
        <v>1.6256987033931183E-5</v>
      </c>
      <c r="F147">
        <v>1.3063760474261146E-5</v>
      </c>
      <c r="G147">
        <v>3.1932265596700366E-6</v>
      </c>
      <c r="H147" t="b">
        <v>0</v>
      </c>
    </row>
    <row r="148" spans="1:8" x14ac:dyDescent="0.15">
      <c r="A148">
        <v>10</v>
      </c>
      <c r="B148">
        <v>5</v>
      </c>
      <c r="C148">
        <v>3446875</v>
      </c>
      <c r="D148">
        <v>-23031760.019958228</v>
      </c>
      <c r="E148">
        <v>7.5608347023505814E-6</v>
      </c>
      <c r="F148">
        <v>1.3063760474261146E-5</v>
      </c>
      <c r="G148">
        <v>-5.5029257719105645E-6</v>
      </c>
      <c r="H148" t="b">
        <v>1</v>
      </c>
    </row>
    <row r="149" spans="1:8" x14ac:dyDescent="0.15">
      <c r="A149">
        <v>10</v>
      </c>
      <c r="B149">
        <v>6</v>
      </c>
      <c r="C149">
        <v>3632812.5</v>
      </c>
      <c r="D149">
        <v>-82838488.084897354</v>
      </c>
      <c r="E149">
        <v>1.0336484339095669E-5</v>
      </c>
      <c r="F149">
        <v>1.3063760474261146E-5</v>
      </c>
      <c r="G149">
        <v>-2.7272761351654768E-6</v>
      </c>
      <c r="H149" t="b">
        <v>1</v>
      </c>
    </row>
    <row r="150" spans="1:8" x14ac:dyDescent="0.15">
      <c r="A150">
        <v>10</v>
      </c>
      <c r="B150">
        <v>7</v>
      </c>
      <c r="C150">
        <v>3725781.25</v>
      </c>
      <c r="D150">
        <v>-44087522.777666189</v>
      </c>
      <c r="E150">
        <v>1.2203246584240766E-5</v>
      </c>
      <c r="F150">
        <v>1.3063760474261146E-5</v>
      </c>
      <c r="G150">
        <v>-8.6051389002037945E-7</v>
      </c>
      <c r="H150" t="b">
        <v>1</v>
      </c>
    </row>
    <row r="151" spans="1:8" x14ac:dyDescent="0.15">
      <c r="A151">
        <v>10</v>
      </c>
      <c r="B151">
        <v>8</v>
      </c>
      <c r="C151">
        <v>3772265.625</v>
      </c>
      <c r="D151">
        <v>75068540.344792888</v>
      </c>
      <c r="E151">
        <v>1.4109775982331412E-5</v>
      </c>
      <c r="F151">
        <v>1.3063760474261146E-5</v>
      </c>
      <c r="G151">
        <v>1.0460155080702662E-6</v>
      </c>
      <c r="H151" t="b">
        <v>0</v>
      </c>
    </row>
    <row r="152" spans="1:8" x14ac:dyDescent="0.15">
      <c r="A152">
        <v>10</v>
      </c>
      <c r="B152">
        <v>9</v>
      </c>
      <c r="C152">
        <v>3749023.4375</v>
      </c>
      <c r="D152">
        <v>3899579.8642104617</v>
      </c>
      <c r="E152">
        <v>1.3127362431495333E-5</v>
      </c>
      <c r="F152">
        <v>1.3063760474261146E-5</v>
      </c>
      <c r="G152">
        <v>6.3601957234186735E-8</v>
      </c>
      <c r="H152" t="b">
        <v>0</v>
      </c>
    </row>
    <row r="153" spans="1:8" x14ac:dyDescent="0.15">
      <c r="A153">
        <v>10</v>
      </c>
      <c r="B153">
        <v>10</v>
      </c>
      <c r="C153">
        <v>3737402.34375</v>
      </c>
      <c r="D153">
        <v>-22802336.716117013</v>
      </c>
      <c r="E153">
        <v>1.2658194571262109E-5</v>
      </c>
      <c r="F153">
        <v>1.3063760474261146E-5</v>
      </c>
      <c r="G153">
        <v>-4.0556590299903741E-7</v>
      </c>
      <c r="H153" t="b">
        <v>1</v>
      </c>
    </row>
    <row r="154" spans="1:8" x14ac:dyDescent="0.15">
      <c r="A154">
        <v>10</v>
      </c>
      <c r="B154">
        <v>11</v>
      </c>
      <c r="C154">
        <v>3743212.890625</v>
      </c>
      <c r="D154">
        <v>-10151912.377073295</v>
      </c>
      <c r="E154">
        <v>1.289097917452712E-5</v>
      </c>
      <c r="F154">
        <v>1.3063760474261146E-5</v>
      </c>
      <c r="G154">
        <v>-1.7278129973402551E-7</v>
      </c>
      <c r="H154" t="b">
        <v>1</v>
      </c>
    </row>
    <row r="155" spans="1:8" x14ac:dyDescent="0.15">
      <c r="A155">
        <v>10</v>
      </c>
      <c r="B155">
        <v>12</v>
      </c>
      <c r="C155">
        <v>3746118.1640625</v>
      </c>
      <c r="D155">
        <v>-3304181.297031254</v>
      </c>
      <c r="E155">
        <v>1.3008719318437635E-5</v>
      </c>
      <c r="F155">
        <v>1.3063760474261146E-5</v>
      </c>
      <c r="G155">
        <v>-5.5041155823510633E-8</v>
      </c>
      <c r="H155" t="b">
        <v>1</v>
      </c>
    </row>
    <row r="156" spans="1:8" x14ac:dyDescent="0.15">
      <c r="A156">
        <v>10</v>
      </c>
      <c r="B156">
        <v>13</v>
      </c>
      <c r="C156">
        <v>3747570.80078125</v>
      </c>
      <c r="D156">
        <v>252776.01802510658</v>
      </c>
      <c r="E156">
        <v>1.306792681843652E-5</v>
      </c>
      <c r="F156">
        <v>1.3063760474261146E-5</v>
      </c>
      <c r="G156">
        <v>4.1663441753745614E-9</v>
      </c>
      <c r="H156" t="b">
        <v>0</v>
      </c>
    </row>
    <row r="157" spans="1:8" x14ac:dyDescent="0.15">
      <c r="A157">
        <v>10</v>
      </c>
      <c r="B157">
        <v>14</v>
      </c>
      <c r="C157">
        <v>3748070.80078125</v>
      </c>
      <c r="D157">
        <v>1497910.5510515238</v>
      </c>
      <c r="E157">
        <v>1.3088360127700854E-5</v>
      </c>
      <c r="F157">
        <v>1.3063760474261146E-5</v>
      </c>
      <c r="G157">
        <v>2.4599653439708415E-8</v>
      </c>
      <c r="H157" t="b">
        <v>0</v>
      </c>
    </row>
    <row r="158" spans="1:8" x14ac:dyDescent="0.15">
      <c r="A158">
        <v>10</v>
      </c>
      <c r="B158">
        <v>15</v>
      </c>
      <c r="C158">
        <v>3748670.80078125</v>
      </c>
      <c r="D158">
        <v>3006003.4246558547</v>
      </c>
      <c r="E158">
        <v>1.3112913160628648E-5</v>
      </c>
      <c r="F158">
        <v>1.3063760474261146E-5</v>
      </c>
      <c r="G158">
        <v>4.9152686367502174E-8</v>
      </c>
      <c r="H158" t="b">
        <v>0</v>
      </c>
    </row>
    <row r="159" spans="1:8" x14ac:dyDescent="0.15">
      <c r="A159">
        <v>10</v>
      </c>
      <c r="B159">
        <v>16</v>
      </c>
      <c r="C159">
        <v>3749390.80078125</v>
      </c>
      <c r="D159">
        <v>4836217.1347723939</v>
      </c>
      <c r="E159">
        <v>1.314243052389544E-5</v>
      </c>
      <c r="F159">
        <v>1.3063760474261146E-5</v>
      </c>
      <c r="G159">
        <v>7.8670049634293709E-8</v>
      </c>
      <c r="H159" t="b">
        <v>0</v>
      </c>
    </row>
    <row r="160" spans="1:8" x14ac:dyDescent="0.15">
      <c r="A160">
        <v>10</v>
      </c>
      <c r="B160">
        <v>17</v>
      </c>
      <c r="C160">
        <v>3749030.80078125</v>
      </c>
      <c r="D160">
        <v>3918295.1339895688</v>
      </c>
      <c r="E160">
        <v>1.3127664284533571E-5</v>
      </c>
      <c r="F160">
        <v>1.3063760474261146E-5</v>
      </c>
      <c r="G160">
        <v>6.3903810272424841E-8</v>
      </c>
      <c r="H160" t="b">
        <v>0</v>
      </c>
    </row>
    <row r="161" spans="1:8" x14ac:dyDescent="0.15">
      <c r="A161">
        <v>10</v>
      </c>
      <c r="B161">
        <v>18</v>
      </c>
      <c r="C161">
        <v>3748598.80078125</v>
      </c>
      <c r="D161">
        <v>2824280.7753929403</v>
      </c>
      <c r="E161">
        <v>1.3109965741032226E-5</v>
      </c>
      <c r="F161">
        <v>1.3063760474261146E-5</v>
      </c>
      <c r="G161">
        <v>4.6205266771080265E-8</v>
      </c>
      <c r="H161" t="b">
        <v>0</v>
      </c>
    </row>
    <row r="162" spans="1:8" x14ac:dyDescent="0.15">
      <c r="A162">
        <v>10</v>
      </c>
      <c r="B162">
        <v>19</v>
      </c>
      <c r="C162">
        <v>3748814.80078125</v>
      </c>
      <c r="D162">
        <v>3370253.6549854875</v>
      </c>
      <c r="E162">
        <v>1.3118811932741164E-5</v>
      </c>
      <c r="F162">
        <v>1.3063760474261146E-5</v>
      </c>
      <c r="G162">
        <v>5.5051458480018231E-8</v>
      </c>
      <c r="H162" t="b">
        <v>0</v>
      </c>
    </row>
    <row r="163" spans="1:8" x14ac:dyDescent="0.15">
      <c r="A163">
        <v>10</v>
      </c>
      <c r="B163">
        <v>20</v>
      </c>
      <c r="C163">
        <v>3749074.0007812502</v>
      </c>
      <c r="D163">
        <v>4028143.5351153091</v>
      </c>
      <c r="E163">
        <v>1.312943535894472E-5</v>
      </c>
      <c r="F163">
        <v>1.3063760474261146E-5</v>
      </c>
      <c r="G163">
        <v>6.5674884683574237E-8</v>
      </c>
      <c r="H163" t="b">
        <v>0</v>
      </c>
    </row>
    <row r="164" spans="1:8" x14ac:dyDescent="0.15">
      <c r="A164">
        <v>10</v>
      </c>
      <c r="B164">
        <v>21</v>
      </c>
      <c r="C164">
        <v>3748944.4007812501</v>
      </c>
      <c r="D164">
        <v>3698908.4327998534</v>
      </c>
      <c r="E164">
        <v>1.312412386914573E-5</v>
      </c>
      <c r="F164">
        <v>1.3063760474261146E-5</v>
      </c>
      <c r="G164">
        <v>6.0363394884583899E-8</v>
      </c>
      <c r="H164" t="b">
        <v>0</v>
      </c>
    </row>
    <row r="165" spans="1:8" x14ac:dyDescent="0.15">
      <c r="A165">
        <v>10</v>
      </c>
      <c r="B165">
        <v>22</v>
      </c>
      <c r="C165">
        <v>3749009.2007812499</v>
      </c>
      <c r="D165">
        <v>3863470.9749065582</v>
      </c>
      <c r="E165">
        <v>1.3126779952421881E-5</v>
      </c>
      <c r="F165">
        <v>1.3063760474261146E-5</v>
      </c>
      <c r="G165">
        <v>6.3019478160735305E-8</v>
      </c>
      <c r="H165" t="b">
        <v>0</v>
      </c>
    </row>
    <row r="166" spans="1:8" x14ac:dyDescent="0.15">
      <c r="A166">
        <v>10</v>
      </c>
      <c r="B166">
        <v>23</v>
      </c>
      <c r="C166">
        <v>3748976.80078125</v>
      </c>
      <c r="D166">
        <v>3781167.1935111471</v>
      </c>
      <c r="E166">
        <v>1.3125451854153331E-5</v>
      </c>
      <c r="F166">
        <v>1.3063760474261146E-5</v>
      </c>
      <c r="G166">
        <v>6.1691379892184824E-8</v>
      </c>
      <c r="H166" t="b">
        <v>0</v>
      </c>
    </row>
    <row r="167" spans="1:8" x14ac:dyDescent="0.15">
      <c r="A167">
        <v>11</v>
      </c>
      <c r="B167">
        <v>1</v>
      </c>
      <c r="C167">
        <v>6050000</v>
      </c>
      <c r="D167">
        <v>1878326622114.8774</v>
      </c>
      <c r="E167">
        <v>2.3628535012732528E-3</v>
      </c>
      <c r="F167">
        <v>1.2413154456919658E-5</v>
      </c>
      <c r="G167">
        <v>2.3504403468163331E-3</v>
      </c>
      <c r="H167" t="b">
        <v>0</v>
      </c>
    </row>
    <row r="168" spans="1:8" x14ac:dyDescent="0.15">
      <c r="A168">
        <v>11</v>
      </c>
      <c r="B168">
        <v>2</v>
      </c>
      <c r="C168">
        <v>3075000</v>
      </c>
      <c r="D168">
        <v>-3587954.5280973981</v>
      </c>
      <c r="E168">
        <v>5.3640670637277712E-6</v>
      </c>
      <c r="F168">
        <v>1.2413154456919507E-5</v>
      </c>
      <c r="G168">
        <v>-7.0490873931917355E-6</v>
      </c>
      <c r="H168" t="b">
        <v>1</v>
      </c>
    </row>
    <row r="169" spans="1:8" x14ac:dyDescent="0.15">
      <c r="A169">
        <v>11</v>
      </c>
      <c r="B169">
        <v>3</v>
      </c>
      <c r="C169">
        <v>4562500</v>
      </c>
      <c r="D169">
        <v>68487613921.158249</v>
      </c>
      <c r="E169">
        <v>1.9562835214653897E-4</v>
      </c>
      <c r="F169">
        <v>1.2413154456919495E-5</v>
      </c>
      <c r="G169">
        <v>1.8321519768961948E-4</v>
      </c>
      <c r="H169" t="b">
        <v>0</v>
      </c>
    </row>
    <row r="170" spans="1:8" x14ac:dyDescent="0.15">
      <c r="A170">
        <v>11</v>
      </c>
      <c r="B170">
        <v>4</v>
      </c>
      <c r="C170">
        <v>3818750</v>
      </c>
      <c r="D170">
        <v>3318862794.5959196</v>
      </c>
      <c r="E170">
        <v>3.1628268456403337E-5</v>
      </c>
      <c r="F170">
        <v>1.2413154456919508E-5</v>
      </c>
      <c r="G170">
        <v>1.9215113999483828E-5</v>
      </c>
      <c r="H170" t="b">
        <v>0</v>
      </c>
    </row>
    <row r="171" spans="1:8" x14ac:dyDescent="0.15">
      <c r="A171">
        <v>11</v>
      </c>
      <c r="B171">
        <v>5</v>
      </c>
      <c r="C171">
        <v>3446875</v>
      </c>
      <c r="D171">
        <v>-69663175.3727943</v>
      </c>
      <c r="E171">
        <v>1.0691429260428753E-5</v>
      </c>
      <c r="F171">
        <v>1.2413154456919507E-5</v>
      </c>
      <c r="G171">
        <v>-1.7217251964907534E-6</v>
      </c>
      <c r="H171" t="b">
        <v>1</v>
      </c>
    </row>
    <row r="172" spans="1:8" x14ac:dyDescent="0.15">
      <c r="A172">
        <v>11</v>
      </c>
      <c r="B172">
        <v>6</v>
      </c>
      <c r="C172">
        <v>3632812.5</v>
      </c>
      <c r="D172">
        <v>687401512.22229576</v>
      </c>
      <c r="E172">
        <v>1.8059333234354147E-5</v>
      </c>
      <c r="F172">
        <v>1.2413154456919507E-5</v>
      </c>
      <c r="G172">
        <v>5.6461787774346404E-6</v>
      </c>
      <c r="H172" t="b">
        <v>0</v>
      </c>
    </row>
    <row r="173" spans="1:8" x14ac:dyDescent="0.15">
      <c r="A173">
        <v>11</v>
      </c>
      <c r="B173">
        <v>7</v>
      </c>
      <c r="C173">
        <v>3539843.75</v>
      </c>
      <c r="D173">
        <v>68771218.783698559</v>
      </c>
      <c r="E173">
        <v>1.3370629297734341E-5</v>
      </c>
      <c r="F173">
        <v>1.2413154456919507E-5</v>
      </c>
      <c r="G173">
        <v>9.5747484081483377E-7</v>
      </c>
      <c r="H173" t="b">
        <v>0</v>
      </c>
    </row>
    <row r="174" spans="1:8" x14ac:dyDescent="0.15">
      <c r="A174">
        <v>11</v>
      </c>
      <c r="B174">
        <v>8</v>
      </c>
      <c r="C174">
        <v>3493359.375</v>
      </c>
      <c r="D174">
        <v>-43606055.407718465</v>
      </c>
      <c r="E174">
        <v>1.1553828621758241E-5</v>
      </c>
      <c r="F174">
        <v>1.2413154456919507E-5</v>
      </c>
      <c r="G174">
        <v>-8.5932583516126595E-7</v>
      </c>
      <c r="H174" t="b">
        <v>1</v>
      </c>
    </row>
    <row r="175" spans="1:8" x14ac:dyDescent="0.15">
      <c r="A175">
        <v>11</v>
      </c>
      <c r="B175">
        <v>9</v>
      </c>
      <c r="C175">
        <v>3516601.5625</v>
      </c>
      <c r="D175">
        <v>-2429485.6832979191</v>
      </c>
      <c r="E175">
        <v>1.2372906985456094E-5</v>
      </c>
      <c r="F175">
        <v>1.2413154456919507E-5</v>
      </c>
      <c r="G175">
        <v>-4.0247471463412563E-8</v>
      </c>
      <c r="H175" t="b">
        <v>1</v>
      </c>
    </row>
    <row r="176" spans="1:8" x14ac:dyDescent="0.15">
      <c r="A176">
        <v>11</v>
      </c>
      <c r="B176">
        <v>10</v>
      </c>
      <c r="C176">
        <v>3528222.65625</v>
      </c>
      <c r="D176">
        <v>29745715.051079948</v>
      </c>
      <c r="E176">
        <v>1.2863587777233981E-5</v>
      </c>
      <c r="F176">
        <v>1.2413154456919507E-5</v>
      </c>
      <c r="G176">
        <v>4.5043332031447423E-7</v>
      </c>
      <c r="H176" t="b">
        <v>0</v>
      </c>
    </row>
    <row r="177" spans="1:8" x14ac:dyDescent="0.15">
      <c r="A177">
        <v>11</v>
      </c>
      <c r="B177">
        <v>11</v>
      </c>
      <c r="C177">
        <v>3522412.109375</v>
      </c>
      <c r="D177">
        <v>12831517.523093795</v>
      </c>
      <c r="E177">
        <v>1.261622882649436E-5</v>
      </c>
      <c r="F177">
        <v>1.2413154456919507E-5</v>
      </c>
      <c r="G177">
        <v>2.0307436957485278E-7</v>
      </c>
      <c r="H177" t="b">
        <v>0</v>
      </c>
    </row>
    <row r="178" spans="1:8" x14ac:dyDescent="0.15">
      <c r="A178">
        <v>11</v>
      </c>
      <c r="B178">
        <v>12</v>
      </c>
      <c r="C178">
        <v>3519506.8359375</v>
      </c>
      <c r="D178">
        <v>4998022.3214774299</v>
      </c>
      <c r="E178">
        <v>1.2494066180902785E-5</v>
      </c>
      <c r="F178">
        <v>1.2413154456919507E-5</v>
      </c>
      <c r="G178">
        <v>8.091172398327799E-8</v>
      </c>
      <c r="H178" t="b">
        <v>0</v>
      </c>
    </row>
    <row r="179" spans="1:8" x14ac:dyDescent="0.15">
      <c r="A179">
        <v>11</v>
      </c>
      <c r="B179">
        <v>13</v>
      </c>
      <c r="C179">
        <v>3518054.19921875</v>
      </c>
      <c r="D179">
        <v>1234023.8190241414</v>
      </c>
      <c r="E179">
        <v>1.24333623021864E-5</v>
      </c>
      <c r="F179">
        <v>1.2413154456919507E-5</v>
      </c>
      <c r="G179">
        <v>2.0207845266893105E-8</v>
      </c>
      <c r="H179" t="b">
        <v>0</v>
      </c>
    </row>
    <row r="180" spans="1:8" x14ac:dyDescent="0.15">
      <c r="A180">
        <v>11</v>
      </c>
      <c r="B180">
        <v>14</v>
      </c>
      <c r="C180">
        <v>3518554.19921875</v>
      </c>
      <c r="D180">
        <v>2518157.7179471687</v>
      </c>
      <c r="E180">
        <v>1.245422772350434E-5</v>
      </c>
      <c r="F180">
        <v>1.2413154456919507E-5</v>
      </c>
      <c r="G180">
        <v>4.1073266584832759E-8</v>
      </c>
      <c r="H180" t="b">
        <v>0</v>
      </c>
    </row>
    <row r="181" spans="1:8" x14ac:dyDescent="0.15">
      <c r="A181">
        <v>11</v>
      </c>
      <c r="B181">
        <v>15</v>
      </c>
      <c r="C181">
        <v>3519154.19921875</v>
      </c>
      <c r="D181">
        <v>4074978.3488190332</v>
      </c>
      <c r="E181">
        <v>1.2479306650248226E-5</v>
      </c>
      <c r="F181">
        <v>1.2413154456919507E-5</v>
      </c>
      <c r="G181">
        <v>6.6152193328719095E-8</v>
      </c>
      <c r="H181" t="b">
        <v>0</v>
      </c>
    </row>
    <row r="182" spans="1:8" x14ac:dyDescent="0.15">
      <c r="A182">
        <v>11</v>
      </c>
      <c r="B182">
        <v>16</v>
      </c>
      <c r="C182">
        <v>3518854.19921875</v>
      </c>
      <c r="D182">
        <v>3294485.4116778201</v>
      </c>
      <c r="E182">
        <v>1.2466763021968582E-5</v>
      </c>
      <c r="F182">
        <v>1.2413154456919507E-5</v>
      </c>
      <c r="G182">
        <v>5.360856504907481E-8</v>
      </c>
      <c r="H182" t="b">
        <v>0</v>
      </c>
    </row>
    <row r="183" spans="1:8" x14ac:dyDescent="0.15">
      <c r="A183">
        <v>11</v>
      </c>
      <c r="B183">
        <v>17</v>
      </c>
      <c r="C183">
        <v>3519004.19921875</v>
      </c>
      <c r="D183">
        <v>3684226.8768955665</v>
      </c>
      <c r="E183">
        <v>1.2473034052027906E-5</v>
      </c>
      <c r="F183">
        <v>1.2413154456919507E-5</v>
      </c>
      <c r="G183">
        <v>5.987959510839972E-8</v>
      </c>
      <c r="H183" t="b">
        <v>0</v>
      </c>
    </row>
    <row r="184" spans="1:8" x14ac:dyDescent="0.15">
      <c r="A184">
        <v>11</v>
      </c>
      <c r="B184">
        <v>18</v>
      </c>
      <c r="C184">
        <v>3518929.19921875</v>
      </c>
      <c r="D184">
        <v>3489219.9941019337</v>
      </c>
      <c r="E184">
        <v>1.2469898181221068E-5</v>
      </c>
      <c r="F184">
        <v>1.2413154456919507E-5</v>
      </c>
      <c r="G184">
        <v>5.674372430156112E-8</v>
      </c>
      <c r="H184" t="b">
        <v>0</v>
      </c>
    </row>
    <row r="185" spans="1:8" x14ac:dyDescent="0.15">
      <c r="A185">
        <v>12</v>
      </c>
      <c r="B185">
        <v>1</v>
      </c>
      <c r="C185">
        <v>6050000</v>
      </c>
      <c r="D185">
        <v>30398671096754.344</v>
      </c>
      <c r="E185">
        <v>2.3345818828188286E-2</v>
      </c>
      <c r="F185">
        <v>1.3101817863396537E-5</v>
      </c>
      <c r="G185">
        <v>2.333271701032489E-2</v>
      </c>
      <c r="H185" t="b">
        <v>0</v>
      </c>
    </row>
    <row r="186" spans="1:8" x14ac:dyDescent="0.15">
      <c r="A186">
        <v>12</v>
      </c>
      <c r="B186">
        <v>2</v>
      </c>
      <c r="C186">
        <v>3075000</v>
      </c>
      <c r="D186">
        <v>4500999637.0749149</v>
      </c>
      <c r="E186">
        <v>3.8455412269316359E-5</v>
      </c>
      <c r="F186">
        <v>1.3101817863397777E-5</v>
      </c>
      <c r="G186">
        <v>2.5353594405918582E-5</v>
      </c>
      <c r="H186" t="b">
        <v>0</v>
      </c>
    </row>
    <row r="187" spans="1:8" x14ac:dyDescent="0.15">
      <c r="A187">
        <v>12</v>
      </c>
      <c r="B187">
        <v>3</v>
      </c>
      <c r="C187">
        <v>1587500</v>
      </c>
      <c r="D187">
        <v>-59385.104103310514</v>
      </c>
      <c r="E187">
        <v>-2.4772859194539307E-6</v>
      </c>
      <c r="F187">
        <v>1.3101817863397778E-5</v>
      </c>
      <c r="G187">
        <v>-1.5579103782851709E-5</v>
      </c>
      <c r="H187" t="b">
        <v>1</v>
      </c>
    </row>
    <row r="188" spans="1:8" x14ac:dyDescent="0.15">
      <c r="A188">
        <v>12</v>
      </c>
      <c r="B188">
        <v>4</v>
      </c>
      <c r="C188">
        <v>2331250</v>
      </c>
      <c r="D188">
        <v>-745755.05109238368</v>
      </c>
      <c r="E188">
        <v>3.7180118506902774E-6</v>
      </c>
      <c r="F188">
        <v>1.3101817863397777E-5</v>
      </c>
      <c r="G188">
        <v>-9.3838060127074996E-6</v>
      </c>
      <c r="H188" t="b">
        <v>1</v>
      </c>
    </row>
    <row r="189" spans="1:8" x14ac:dyDescent="0.15">
      <c r="A189">
        <v>12</v>
      </c>
      <c r="B189">
        <v>5</v>
      </c>
      <c r="C189">
        <v>2703125</v>
      </c>
      <c r="D189">
        <v>-78210930.078391328</v>
      </c>
      <c r="E189">
        <v>9.7507645359330903E-6</v>
      </c>
      <c r="F189">
        <v>1.3101817863397777E-5</v>
      </c>
      <c r="G189">
        <v>-3.3510533274646863E-6</v>
      </c>
      <c r="H189" t="b">
        <v>1</v>
      </c>
    </row>
    <row r="190" spans="1:8" x14ac:dyDescent="0.15">
      <c r="A190">
        <v>12</v>
      </c>
      <c r="B190">
        <v>6</v>
      </c>
      <c r="C190">
        <v>2889062.5</v>
      </c>
      <c r="D190">
        <v>593852662.44212461</v>
      </c>
      <c r="E190">
        <v>1.834281250862883E-5</v>
      </c>
      <c r="F190">
        <v>1.3101817863397777E-5</v>
      </c>
      <c r="G190">
        <v>5.2409946452310539E-6</v>
      </c>
      <c r="H190" t="b">
        <v>0</v>
      </c>
    </row>
    <row r="191" spans="1:8" x14ac:dyDescent="0.15">
      <c r="A191">
        <v>12</v>
      </c>
      <c r="B191">
        <v>7</v>
      </c>
      <c r="C191">
        <v>2796093.75</v>
      </c>
      <c r="D191">
        <v>-43250900.413023733</v>
      </c>
      <c r="E191">
        <v>1.2253897510016142E-5</v>
      </c>
      <c r="F191">
        <v>1.3101817863397777E-5</v>
      </c>
      <c r="G191">
        <v>-8.479203533816345E-7</v>
      </c>
      <c r="H191" t="b">
        <v>1</v>
      </c>
    </row>
    <row r="192" spans="1:8" x14ac:dyDescent="0.15">
      <c r="A192">
        <v>12</v>
      </c>
      <c r="B192">
        <v>8</v>
      </c>
      <c r="C192">
        <v>2842578.125</v>
      </c>
      <c r="D192">
        <v>155778533.08757424</v>
      </c>
      <c r="E192">
        <v>1.5040431763541046E-5</v>
      </c>
      <c r="F192">
        <v>1.3101817863397777E-5</v>
      </c>
      <c r="G192">
        <v>1.9386139001432692E-6</v>
      </c>
      <c r="H192" t="b">
        <v>0</v>
      </c>
    </row>
    <row r="193" spans="1:8" x14ac:dyDescent="0.15">
      <c r="A193">
        <v>12</v>
      </c>
      <c r="B193">
        <v>9</v>
      </c>
      <c r="C193">
        <v>2819335.9375</v>
      </c>
      <c r="D193">
        <v>31848332.037585657</v>
      </c>
      <c r="E193">
        <v>1.3589210146750594E-5</v>
      </c>
      <c r="F193">
        <v>1.3101817863397777E-5</v>
      </c>
      <c r="G193">
        <v>4.8739228335281701E-7</v>
      </c>
      <c r="H193" t="b">
        <v>0</v>
      </c>
    </row>
    <row r="194" spans="1:8" x14ac:dyDescent="0.15">
      <c r="A194">
        <v>12</v>
      </c>
      <c r="B194">
        <v>10</v>
      </c>
      <c r="C194">
        <v>2807714.84375</v>
      </c>
      <c r="D194">
        <v>-11329179.840431765</v>
      </c>
      <c r="E194">
        <v>1.2906744705665844E-5</v>
      </c>
      <c r="F194">
        <v>1.3101817863397777E-5</v>
      </c>
      <c r="G194">
        <v>-1.95073157731933E-7</v>
      </c>
      <c r="H194" t="b">
        <v>1</v>
      </c>
    </row>
    <row r="195" spans="1:8" x14ac:dyDescent="0.15">
      <c r="A195">
        <v>12</v>
      </c>
      <c r="B195">
        <v>11</v>
      </c>
      <c r="C195">
        <v>2813525.390625</v>
      </c>
      <c r="D195">
        <v>8783455.6684639659</v>
      </c>
      <c r="E195">
        <v>1.3244206585974568E-5</v>
      </c>
      <c r="F195">
        <v>1.3101817863397777E-5</v>
      </c>
      <c r="G195">
        <v>1.4238872257679139E-7</v>
      </c>
      <c r="H195" t="b">
        <v>0</v>
      </c>
    </row>
    <row r="196" spans="1:8" x14ac:dyDescent="0.15">
      <c r="A196">
        <v>12</v>
      </c>
      <c r="B196">
        <v>12</v>
      </c>
      <c r="C196">
        <v>2810620.1171875</v>
      </c>
      <c r="D196">
        <v>-1633174.4232910417</v>
      </c>
      <c r="E196">
        <v>1.3074541648788664E-5</v>
      </c>
      <c r="F196">
        <v>1.3101817863397777E-5</v>
      </c>
      <c r="G196">
        <v>-2.7276214609112451E-8</v>
      </c>
      <c r="H196" t="b">
        <v>1</v>
      </c>
    </row>
    <row r="197" spans="1:8" x14ac:dyDescent="0.15">
      <c r="A197">
        <v>12</v>
      </c>
      <c r="B197">
        <v>13</v>
      </c>
      <c r="C197">
        <v>2812072.75390625</v>
      </c>
      <c r="D197">
        <v>3484058.6019188464</v>
      </c>
      <c r="E197">
        <v>1.3159140850524477E-5</v>
      </c>
      <c r="F197">
        <v>1.3101817863397777E-5</v>
      </c>
      <c r="G197">
        <v>5.7322987126699952E-8</v>
      </c>
      <c r="H197" t="b">
        <v>0</v>
      </c>
    </row>
    <row r="198" spans="1:8" x14ac:dyDescent="0.15">
      <c r="A198">
        <v>12</v>
      </c>
      <c r="B198">
        <v>14</v>
      </c>
      <c r="C198">
        <v>2810872.75390625</v>
      </c>
      <c r="D198">
        <v>-756144.74135670299</v>
      </c>
      <c r="E198">
        <v>1.3089222257578311E-5</v>
      </c>
      <c r="F198">
        <v>1.3101817863397777E-5</v>
      </c>
      <c r="G198">
        <v>-1.2595605819465134E-8</v>
      </c>
      <c r="H198" t="b">
        <v>1</v>
      </c>
    </row>
    <row r="199" spans="1:8" x14ac:dyDescent="0.15">
      <c r="A199">
        <v>12</v>
      </c>
      <c r="B199">
        <v>15</v>
      </c>
      <c r="C199">
        <v>2811472.75390625</v>
      </c>
      <c r="D199">
        <v>1348402.6589115481</v>
      </c>
      <c r="E199">
        <v>1.3124140320813332E-5</v>
      </c>
      <c r="F199">
        <v>1.3101817863397777E-5</v>
      </c>
      <c r="G199">
        <v>2.2322457415555446E-8</v>
      </c>
      <c r="H199" t="b">
        <v>0</v>
      </c>
    </row>
    <row r="200" spans="1:8" x14ac:dyDescent="0.15">
      <c r="A200">
        <v>12</v>
      </c>
      <c r="B200">
        <v>16</v>
      </c>
      <c r="C200">
        <v>2812192.75390625</v>
      </c>
      <c r="D200">
        <v>3914901.8143108962</v>
      </c>
      <c r="E200">
        <v>1.3166150297433811E-5</v>
      </c>
      <c r="F200">
        <v>1.3101817863397777E-5</v>
      </c>
      <c r="G200">
        <v>6.4332434036034564E-8</v>
      </c>
      <c r="H200" t="b">
        <v>0</v>
      </c>
    </row>
    <row r="201" spans="1:8" x14ac:dyDescent="0.15">
      <c r="A201">
        <v>12</v>
      </c>
      <c r="B201">
        <v>17</v>
      </c>
      <c r="C201">
        <v>2811832.75390625</v>
      </c>
      <c r="D201">
        <v>2626024.4991447576</v>
      </c>
      <c r="E201">
        <v>1.3145130265822352E-5</v>
      </c>
      <c r="F201">
        <v>1.3101817863397777E-5</v>
      </c>
      <c r="G201">
        <v>4.3312402424575225E-8</v>
      </c>
      <c r="H201" t="b">
        <v>0</v>
      </c>
    </row>
    <row r="202" spans="1:8" x14ac:dyDescent="0.15">
      <c r="A202">
        <v>12</v>
      </c>
      <c r="B202">
        <v>18</v>
      </c>
      <c r="C202">
        <v>2812012.75390625</v>
      </c>
      <c r="D202">
        <v>3269103.6456689266</v>
      </c>
      <c r="E202">
        <v>1.3155637327658651E-5</v>
      </c>
      <c r="F202">
        <v>1.3101817863397777E-5</v>
      </c>
      <c r="G202">
        <v>5.3819464260873974E-8</v>
      </c>
      <c r="H202" t="b">
        <v>0</v>
      </c>
    </row>
    <row r="203" spans="1:8" x14ac:dyDescent="0.15">
      <c r="A203">
        <v>12</v>
      </c>
      <c r="B203">
        <v>19</v>
      </c>
      <c r="C203">
        <v>2811922.75390625</v>
      </c>
      <c r="D203">
        <v>2947254.0931278784</v>
      </c>
      <c r="E203">
        <v>1.3150383543672106E-5</v>
      </c>
      <c r="F203">
        <v>1.3101817863397777E-5</v>
      </c>
      <c r="G203">
        <v>4.8565680274329266E-8</v>
      </c>
      <c r="H203" t="b">
        <v>0</v>
      </c>
    </row>
    <row r="204" spans="1:8" x14ac:dyDescent="0.15">
      <c r="A204">
        <v>12</v>
      </c>
      <c r="B204">
        <v>20</v>
      </c>
      <c r="C204">
        <v>2811814.75390625</v>
      </c>
      <c r="D204">
        <v>2561878.2586146388</v>
      </c>
      <c r="E204">
        <v>1.3144080085066118E-5</v>
      </c>
      <c r="F204">
        <v>1.3101817863397777E-5</v>
      </c>
      <c r="G204">
        <v>4.2262221668341678E-8</v>
      </c>
      <c r="H204" t="b">
        <v>0</v>
      </c>
    </row>
    <row r="205" spans="1:8" x14ac:dyDescent="0.15">
      <c r="A205">
        <v>12</v>
      </c>
      <c r="B205">
        <v>21</v>
      </c>
      <c r="C205">
        <v>2811868.75390625</v>
      </c>
      <c r="D205">
        <v>2754400.8022050117</v>
      </c>
      <c r="E205">
        <v>1.3147230843268393E-5</v>
      </c>
      <c r="F205">
        <v>1.3101817863397777E-5</v>
      </c>
      <c r="G205">
        <v>4.5412979870616238E-8</v>
      </c>
      <c r="H205" t="b">
        <v>0</v>
      </c>
    </row>
    <row r="206" spans="1:8" x14ac:dyDescent="0.15">
      <c r="A206">
        <v>12</v>
      </c>
      <c r="B206">
        <v>22</v>
      </c>
      <c r="C206">
        <v>2811933.5539062498</v>
      </c>
      <c r="D206">
        <v>2985839.1221165434</v>
      </c>
      <c r="E206">
        <v>1.3151013902704768E-5</v>
      </c>
      <c r="F206">
        <v>1.3101817863397777E-5</v>
      </c>
      <c r="G206">
        <v>4.919603930699102E-8</v>
      </c>
      <c r="H206" t="b">
        <v>0</v>
      </c>
    </row>
    <row r="207" spans="1:8" x14ac:dyDescent="0.15">
      <c r="A207">
        <v>12</v>
      </c>
      <c r="B207">
        <v>23</v>
      </c>
      <c r="C207">
        <v>2811901.1539062499</v>
      </c>
      <c r="D207">
        <v>2870035.0545786344</v>
      </c>
      <c r="E207">
        <v>1.3149121609155225E-5</v>
      </c>
      <c r="F207">
        <v>1.3101817863397777E-5</v>
      </c>
      <c r="G207">
        <v>4.7303745757448082E-8</v>
      </c>
      <c r="H207" t="b">
        <v>0</v>
      </c>
    </row>
    <row r="208" spans="1:8" x14ac:dyDescent="0.15">
      <c r="A208">
        <v>12</v>
      </c>
      <c r="B208">
        <v>24</v>
      </c>
      <c r="C208">
        <v>2811862.27390625</v>
      </c>
      <c r="D208">
        <v>2731363.9175323234</v>
      </c>
      <c r="E208">
        <v>1.3146854012045559E-5</v>
      </c>
      <c r="F208">
        <v>1.3101817863397777E-5</v>
      </c>
      <c r="G208">
        <v>4.5036148647782675E-8</v>
      </c>
      <c r="H208" t="b">
        <v>0</v>
      </c>
    </row>
    <row r="209" spans="1:8" x14ac:dyDescent="0.15">
      <c r="A209">
        <v>12</v>
      </c>
      <c r="B209">
        <v>25</v>
      </c>
      <c r="C209">
        <v>2811881.71390625</v>
      </c>
      <c r="D209">
        <v>2800722.7735119467</v>
      </c>
      <c r="E209">
        <v>1.3147988415720749E-5</v>
      </c>
      <c r="F209">
        <v>1.3101817863397777E-5</v>
      </c>
      <c r="G209">
        <v>4.6170552322972379E-8</v>
      </c>
      <c r="H209" t="b">
        <v>0</v>
      </c>
    </row>
    <row r="210" spans="1:8" x14ac:dyDescent="0.15">
      <c r="A210">
        <v>13</v>
      </c>
      <c r="B210">
        <v>1</v>
      </c>
      <c r="C210">
        <v>6050000</v>
      </c>
      <c r="D210">
        <v>875336901704.04675</v>
      </c>
      <c r="E210">
        <v>8.9827946463813784E-4</v>
      </c>
      <c r="F210">
        <v>8.1029219269966157E-6</v>
      </c>
      <c r="G210">
        <v>8.9017654271114123E-4</v>
      </c>
      <c r="H210" t="b">
        <v>0</v>
      </c>
    </row>
    <row r="211" spans="1:8" x14ac:dyDescent="0.15">
      <c r="A211">
        <v>13</v>
      </c>
      <c r="B211">
        <v>2</v>
      </c>
      <c r="C211">
        <v>3075000</v>
      </c>
      <c r="D211">
        <v>-7871293.0454643611</v>
      </c>
      <c r="E211">
        <v>4.285505361648575E-6</v>
      </c>
      <c r="F211">
        <v>8.1029219269965852E-6</v>
      </c>
      <c r="G211">
        <v>-3.8174165653480102E-6</v>
      </c>
      <c r="H211" t="b">
        <v>1</v>
      </c>
    </row>
    <row r="212" spans="1:8" x14ac:dyDescent="0.15">
      <c r="A212">
        <v>13</v>
      </c>
      <c r="B212">
        <v>3</v>
      </c>
      <c r="C212">
        <v>4562500</v>
      </c>
      <c r="D212">
        <v>37031899258.389938</v>
      </c>
      <c r="E212">
        <v>8.9913234517727914E-5</v>
      </c>
      <c r="F212">
        <v>8.1029219269965886E-6</v>
      </c>
      <c r="G212">
        <v>8.1810312590731326E-5</v>
      </c>
      <c r="H212" t="b">
        <v>0</v>
      </c>
    </row>
    <row r="213" spans="1:8" x14ac:dyDescent="0.15">
      <c r="A213">
        <v>13</v>
      </c>
      <c r="B213">
        <v>4</v>
      </c>
      <c r="C213">
        <v>3818750</v>
      </c>
      <c r="D213">
        <v>1587065281.6947975</v>
      </c>
      <c r="E213">
        <v>1.6198005763992727E-5</v>
      </c>
      <c r="F213">
        <v>8.1029219269965852E-6</v>
      </c>
      <c r="G213">
        <v>8.0950838369961421E-6</v>
      </c>
      <c r="H213" t="b">
        <v>0</v>
      </c>
    </row>
    <row r="214" spans="1:8" x14ac:dyDescent="0.15">
      <c r="A214">
        <v>13</v>
      </c>
      <c r="B214">
        <v>5</v>
      </c>
      <c r="C214">
        <v>3446875</v>
      </c>
      <c r="D214">
        <v>-9463038.6990288123</v>
      </c>
      <c r="E214">
        <v>7.9220988895171073E-6</v>
      </c>
      <c r="F214">
        <v>8.1029219269965852E-6</v>
      </c>
      <c r="G214">
        <v>-1.8082303747947788E-7</v>
      </c>
      <c r="H214" t="b">
        <v>1</v>
      </c>
    </row>
    <row r="215" spans="1:8" x14ac:dyDescent="0.15">
      <c r="A215">
        <v>13</v>
      </c>
      <c r="B215">
        <v>6</v>
      </c>
      <c r="C215">
        <v>3632812.5</v>
      </c>
      <c r="D215">
        <v>231460060.8168163</v>
      </c>
      <c r="E215">
        <v>1.0407909038465052E-5</v>
      </c>
      <c r="F215">
        <v>8.1029219269965852E-6</v>
      </c>
      <c r="G215">
        <v>2.3049871114684671E-6</v>
      </c>
      <c r="H215" t="b">
        <v>0</v>
      </c>
    </row>
    <row r="216" spans="1:8" x14ac:dyDescent="0.15">
      <c r="A216">
        <v>13</v>
      </c>
      <c r="B216">
        <v>7</v>
      </c>
      <c r="C216">
        <v>3539843.75</v>
      </c>
      <c r="D216">
        <v>75658397.390965655</v>
      </c>
      <c r="E216">
        <v>9.1058912160610938E-6</v>
      </c>
      <c r="F216">
        <v>8.1029219269965852E-6</v>
      </c>
      <c r="G216">
        <v>1.0029692890645086E-6</v>
      </c>
      <c r="H216" t="b">
        <v>0</v>
      </c>
    </row>
    <row r="217" spans="1:8" x14ac:dyDescent="0.15">
      <c r="A217">
        <v>13</v>
      </c>
      <c r="B217">
        <v>8</v>
      </c>
      <c r="C217">
        <v>3493359.375</v>
      </c>
      <c r="D217">
        <v>25198462.371102631</v>
      </c>
      <c r="E217">
        <v>8.4990805908065327E-6</v>
      </c>
      <c r="F217">
        <v>8.1029219269965852E-6</v>
      </c>
      <c r="G217">
        <v>3.961586638099475E-7</v>
      </c>
      <c r="H217" t="b">
        <v>0</v>
      </c>
    </row>
    <row r="218" spans="1:8" x14ac:dyDescent="0.15">
      <c r="A218">
        <v>13</v>
      </c>
      <c r="B218">
        <v>9</v>
      </c>
      <c r="C218">
        <v>3470117.1875</v>
      </c>
      <c r="D218">
        <v>6020033.3291746583</v>
      </c>
      <c r="E218">
        <v>8.2069022476015911E-6</v>
      </c>
      <c r="F218">
        <v>8.1029219269965852E-6</v>
      </c>
      <c r="G218">
        <v>1.0398032060500594E-7</v>
      </c>
      <c r="H218" t="b">
        <v>0</v>
      </c>
    </row>
    <row r="219" spans="1:8" x14ac:dyDescent="0.15">
      <c r="A219">
        <v>13</v>
      </c>
      <c r="B219">
        <v>10</v>
      </c>
      <c r="C219">
        <v>3458496.09375</v>
      </c>
      <c r="D219">
        <v>-2167359.5341951828</v>
      </c>
      <c r="E219">
        <v>8.0635835354521338E-6</v>
      </c>
      <c r="F219">
        <v>8.1029219269965852E-6</v>
      </c>
      <c r="G219">
        <v>-3.9338391544451411E-8</v>
      </c>
      <c r="H219" t="b">
        <v>1</v>
      </c>
    </row>
    <row r="220" spans="1:8" x14ac:dyDescent="0.15">
      <c r="A220">
        <v>13</v>
      </c>
      <c r="B220">
        <v>11</v>
      </c>
      <c r="C220">
        <v>3464306.640625</v>
      </c>
      <c r="D220">
        <v>1812865.8085908778</v>
      </c>
      <c r="E220">
        <v>8.1350132346895123E-6</v>
      </c>
      <c r="F220">
        <v>8.1029219269965852E-6</v>
      </c>
      <c r="G220">
        <v>3.2091307692927156E-8</v>
      </c>
      <c r="H220" t="b">
        <v>0</v>
      </c>
    </row>
    <row r="221" spans="1:8" x14ac:dyDescent="0.15">
      <c r="A221">
        <v>13</v>
      </c>
      <c r="B221">
        <v>12</v>
      </c>
      <c r="C221">
        <v>3467211.9140625</v>
      </c>
      <c r="D221">
        <v>3887804.2017402221</v>
      </c>
      <c r="E221">
        <v>8.1708997986879986E-6</v>
      </c>
      <c r="F221">
        <v>8.1029219269965852E-6</v>
      </c>
      <c r="G221">
        <v>6.7977871691413417E-8</v>
      </c>
      <c r="H221" t="b">
        <v>0</v>
      </c>
    </row>
    <row r="222" spans="1:8" x14ac:dyDescent="0.15">
      <c r="A222">
        <v>13</v>
      </c>
      <c r="B222">
        <v>13</v>
      </c>
      <c r="C222">
        <v>3465759.27734375</v>
      </c>
      <c r="D222">
        <v>2843199.5812865477</v>
      </c>
      <c r="E222">
        <v>8.1529419425367845E-6</v>
      </c>
      <c r="F222">
        <v>8.1029219269965852E-6</v>
      </c>
      <c r="G222">
        <v>5.0020015540199307E-8</v>
      </c>
      <c r="H222" t="b">
        <v>0</v>
      </c>
    </row>
    <row r="223" spans="1:8" x14ac:dyDescent="0.15">
      <c r="A223">
        <v>13</v>
      </c>
      <c r="B223">
        <v>14</v>
      </c>
      <c r="C223">
        <v>3466259.27734375</v>
      </c>
      <c r="D223">
        <v>3201166.0722435401</v>
      </c>
      <c r="E223">
        <v>8.1591202187046821E-6</v>
      </c>
      <c r="F223">
        <v>8.1029219269965852E-6</v>
      </c>
      <c r="G223">
        <v>5.619829170809692E-8</v>
      </c>
      <c r="H223" t="b">
        <v>0</v>
      </c>
    </row>
    <row r="224" spans="1:8" x14ac:dyDescent="0.15">
      <c r="A224">
        <v>13</v>
      </c>
      <c r="B224">
        <v>15</v>
      </c>
      <c r="C224">
        <v>3466859.27734375</v>
      </c>
      <c r="D224">
        <v>3632930.1159423846</v>
      </c>
      <c r="E224">
        <v>8.1665381705701631E-6</v>
      </c>
      <c r="F224">
        <v>8.1029219269965852E-6</v>
      </c>
      <c r="G224">
        <v>6.3616243573577956E-8</v>
      </c>
      <c r="H224" t="b">
        <v>0</v>
      </c>
    </row>
    <row r="225" spans="1:8" x14ac:dyDescent="0.15">
      <c r="A225">
        <v>13</v>
      </c>
      <c r="B225">
        <v>16</v>
      </c>
      <c r="C225">
        <v>3466559.27734375</v>
      </c>
      <c r="D225">
        <v>3416720.331092129</v>
      </c>
      <c r="E225">
        <v>8.162828183091241E-6</v>
      </c>
      <c r="F225">
        <v>8.1029219269965852E-6</v>
      </c>
      <c r="G225">
        <v>5.9906256094655809E-8</v>
      </c>
      <c r="H225" t="b">
        <v>0</v>
      </c>
    </row>
    <row r="226" spans="1:8" x14ac:dyDescent="0.15">
      <c r="A226">
        <v>13</v>
      </c>
      <c r="B226">
        <v>17</v>
      </c>
      <c r="C226">
        <v>3466709.27734375</v>
      </c>
      <c r="D226">
        <v>3524737.4190683975</v>
      </c>
      <c r="E226">
        <v>8.1646828242816955E-6</v>
      </c>
      <c r="F226">
        <v>8.1029219269965852E-6</v>
      </c>
      <c r="G226">
        <v>6.1760897285110354E-8</v>
      </c>
      <c r="H226" t="b">
        <v>0</v>
      </c>
    </row>
    <row r="227" spans="1:8" x14ac:dyDescent="0.15">
      <c r="A227">
        <v>13</v>
      </c>
      <c r="B227">
        <v>18</v>
      </c>
      <c r="C227">
        <v>3466634.27734375</v>
      </c>
      <c r="D227">
        <v>3470709.8340297821</v>
      </c>
      <c r="E227">
        <v>8.1637554653487982E-6</v>
      </c>
      <c r="F227">
        <v>8.1029219269965852E-6</v>
      </c>
      <c r="G227">
        <v>6.0833538352213047E-8</v>
      </c>
      <c r="H227" t="b">
        <v>0</v>
      </c>
    </row>
    <row r="228" spans="1:8" x14ac:dyDescent="0.15">
      <c r="A228">
        <v>14</v>
      </c>
      <c r="B228">
        <v>1</v>
      </c>
      <c r="C228">
        <v>6050000</v>
      </c>
      <c r="D228">
        <v>4973087125051.125</v>
      </c>
      <c r="E228">
        <v>3.5152796958181948E-3</v>
      </c>
      <c r="F228">
        <v>8.1316465961717675E-6</v>
      </c>
      <c r="G228">
        <v>3.507148049222023E-3</v>
      </c>
      <c r="H228" t="b">
        <v>0</v>
      </c>
    </row>
    <row r="229" spans="1:8" x14ac:dyDescent="0.15">
      <c r="A229">
        <v>14</v>
      </c>
      <c r="B229">
        <v>2</v>
      </c>
      <c r="C229">
        <v>3075000</v>
      </c>
      <c r="D229">
        <v>17483754.54970948</v>
      </c>
      <c r="E229">
        <v>8.41936733307166E-6</v>
      </c>
      <c r="F229">
        <v>8.1316465961717523E-6</v>
      </c>
      <c r="G229">
        <v>2.8772073689990777E-7</v>
      </c>
      <c r="H229" t="b">
        <v>0</v>
      </c>
    </row>
    <row r="230" spans="1:8" x14ac:dyDescent="0.15">
      <c r="A230">
        <v>14</v>
      </c>
      <c r="B230">
        <v>3</v>
      </c>
      <c r="C230">
        <v>1587500</v>
      </c>
      <c r="D230">
        <v>-65794.459328055455</v>
      </c>
      <c r="E230">
        <v>-2.5966518738903035E-6</v>
      </c>
      <c r="F230">
        <v>8.1316465961717523E-6</v>
      </c>
      <c r="G230">
        <v>-1.0728298470062055E-5</v>
      </c>
      <c r="H230" t="b">
        <v>1</v>
      </c>
    </row>
    <row r="231" spans="1:8" x14ac:dyDescent="0.15">
      <c r="A231">
        <v>14</v>
      </c>
      <c r="B231">
        <v>4</v>
      </c>
      <c r="C231">
        <v>2331250</v>
      </c>
      <c r="D231">
        <v>-658953.38587950252</v>
      </c>
      <c r="E231">
        <v>1.868330627280171E-6</v>
      </c>
      <c r="F231">
        <v>8.1316465961717523E-6</v>
      </c>
      <c r="G231">
        <v>-6.2633159688915811E-6</v>
      </c>
      <c r="H231" t="b">
        <v>1</v>
      </c>
    </row>
    <row r="232" spans="1:8" x14ac:dyDescent="0.15">
      <c r="A232">
        <v>14</v>
      </c>
      <c r="B232">
        <v>5</v>
      </c>
      <c r="C232">
        <v>2703125</v>
      </c>
      <c r="D232">
        <v>-6659174.8358945074</v>
      </c>
      <c r="E232">
        <v>4.1536152779699236E-6</v>
      </c>
      <c r="F232">
        <v>8.1316465961717523E-6</v>
      </c>
      <c r="G232">
        <v>-3.9780313182018286E-6</v>
      </c>
      <c r="H232" t="b">
        <v>1</v>
      </c>
    </row>
    <row r="233" spans="1:8" x14ac:dyDescent="0.15">
      <c r="A233">
        <v>14</v>
      </c>
      <c r="B233">
        <v>6</v>
      </c>
      <c r="C233">
        <v>2889062.5</v>
      </c>
      <c r="D233">
        <v>-34313547.693511158</v>
      </c>
      <c r="E233">
        <v>6.0004251044851548E-6</v>
      </c>
      <c r="F233">
        <v>8.1316465961717523E-6</v>
      </c>
      <c r="G233">
        <v>-2.1312214916865974E-6</v>
      </c>
      <c r="H233" t="b">
        <v>1</v>
      </c>
    </row>
    <row r="234" spans="1:8" x14ac:dyDescent="0.15">
      <c r="A234">
        <v>14</v>
      </c>
      <c r="B234">
        <v>7</v>
      </c>
      <c r="C234">
        <v>2982031.25</v>
      </c>
      <c r="D234">
        <v>-36096821.720574923</v>
      </c>
      <c r="E234">
        <v>7.1343148915468787E-6</v>
      </c>
      <c r="F234">
        <v>8.1316465961717523E-6</v>
      </c>
      <c r="G234">
        <v>-9.9733170462487355E-7</v>
      </c>
      <c r="H234" t="b">
        <v>1</v>
      </c>
    </row>
    <row r="235" spans="1:8" x14ac:dyDescent="0.15">
      <c r="A235">
        <v>14</v>
      </c>
      <c r="B235">
        <v>8</v>
      </c>
      <c r="C235">
        <v>3028515.625</v>
      </c>
      <c r="D235">
        <v>-18003785.339624729</v>
      </c>
      <c r="E235">
        <v>7.7566926408695608E-6</v>
      </c>
      <c r="F235">
        <v>8.1316465961717523E-6</v>
      </c>
      <c r="G235">
        <v>-3.7495395530219145E-7</v>
      </c>
      <c r="H235" t="b">
        <v>1</v>
      </c>
    </row>
    <row r="236" spans="1:8" x14ac:dyDescent="0.15">
      <c r="A236">
        <v>14</v>
      </c>
      <c r="B236">
        <v>9</v>
      </c>
      <c r="C236">
        <v>3051757.8125</v>
      </c>
      <c r="D236">
        <v>-2645593.6314398656</v>
      </c>
      <c r="E236">
        <v>8.0829113220274273E-6</v>
      </c>
      <c r="F236">
        <v>8.1316465961717523E-6</v>
      </c>
      <c r="G236">
        <v>-4.8735274144324998E-8</v>
      </c>
      <c r="H236" t="b">
        <v>1</v>
      </c>
    </row>
    <row r="237" spans="1:8" x14ac:dyDescent="0.15">
      <c r="A237">
        <v>14</v>
      </c>
      <c r="B237">
        <v>10</v>
      </c>
      <c r="C237">
        <v>3063378.90625</v>
      </c>
      <c r="D237">
        <v>6796718.0996522438</v>
      </c>
      <c r="E237">
        <v>8.2498499463937991E-6</v>
      </c>
      <c r="F237">
        <v>8.1316465961717523E-6</v>
      </c>
      <c r="G237">
        <v>1.1820335022204679E-7</v>
      </c>
      <c r="H237" t="b">
        <v>0</v>
      </c>
    </row>
    <row r="238" spans="1:8" x14ac:dyDescent="0.15">
      <c r="A238">
        <v>14</v>
      </c>
      <c r="B238">
        <v>11</v>
      </c>
      <c r="C238">
        <v>3057568.359375</v>
      </c>
      <c r="D238">
        <v>1923187.4423189075</v>
      </c>
      <c r="E238">
        <v>8.166059223769651E-6</v>
      </c>
      <c r="F238">
        <v>8.1316465961717523E-6</v>
      </c>
      <c r="G238">
        <v>3.4412627597898748E-8</v>
      </c>
      <c r="H238" t="b">
        <v>0</v>
      </c>
    </row>
    <row r="239" spans="1:8" x14ac:dyDescent="0.15">
      <c r="A239">
        <v>14</v>
      </c>
      <c r="B239">
        <v>12</v>
      </c>
      <c r="C239">
        <v>3060473.6328125</v>
      </c>
      <c r="D239">
        <v>4321469.6010692948</v>
      </c>
      <c r="E239">
        <v>8.2078743489231765E-6</v>
      </c>
      <c r="F239">
        <v>8.1316465961717523E-6</v>
      </c>
      <c r="G239">
        <v>7.6227752751424196E-8</v>
      </c>
      <c r="H239" t="b">
        <v>0</v>
      </c>
    </row>
    <row r="240" spans="1:8" x14ac:dyDescent="0.15">
      <c r="A240">
        <v>14</v>
      </c>
      <c r="B240">
        <v>13</v>
      </c>
      <c r="C240">
        <v>3059020.99609375</v>
      </c>
      <c r="D240">
        <v>3112742.3673287383</v>
      </c>
      <c r="E240">
        <v>8.1869464711179519E-6</v>
      </c>
      <c r="F240">
        <v>8.1316465961717523E-6</v>
      </c>
      <c r="G240">
        <v>5.5299874946199639E-8</v>
      </c>
      <c r="H240" t="b">
        <v>0</v>
      </c>
    </row>
    <row r="241" spans="1:8" x14ac:dyDescent="0.15">
      <c r="A241">
        <v>14</v>
      </c>
      <c r="B241">
        <v>14</v>
      </c>
      <c r="C241">
        <v>3057820.99609375</v>
      </c>
      <c r="D241">
        <v>2128724.0054021114</v>
      </c>
      <c r="E241">
        <v>8.1696894041406109E-6</v>
      </c>
      <c r="F241">
        <v>8.1316465961717523E-6</v>
      </c>
      <c r="G241">
        <v>3.8042807968858579E-8</v>
      </c>
      <c r="H241" t="b">
        <v>0</v>
      </c>
    </row>
    <row r="242" spans="1:8" x14ac:dyDescent="0.15">
      <c r="A242">
        <v>14</v>
      </c>
      <c r="B242">
        <v>15</v>
      </c>
      <c r="C242">
        <v>3058420.99609375</v>
      </c>
      <c r="D242">
        <v>2619116.1565148854</v>
      </c>
      <c r="E242">
        <v>8.1783147313200026E-6</v>
      </c>
      <c r="F242">
        <v>8.1316465961717523E-6</v>
      </c>
      <c r="G242">
        <v>4.6668135148250292E-8</v>
      </c>
      <c r="H242" t="b">
        <v>0</v>
      </c>
    </row>
    <row r="243" spans="1:8" x14ac:dyDescent="0.15">
      <c r="A243">
        <v>14</v>
      </c>
      <c r="B243">
        <v>16</v>
      </c>
      <c r="C243">
        <v>3059140.99609375</v>
      </c>
      <c r="D243">
        <v>3211864.3799437173</v>
      </c>
      <c r="E243">
        <v>8.1886737297979168E-6</v>
      </c>
      <c r="F243">
        <v>8.1316465961717523E-6</v>
      </c>
      <c r="G243">
        <v>5.7027133626164558E-8</v>
      </c>
      <c r="H243" t="b">
        <v>0</v>
      </c>
    </row>
    <row r="244" spans="1:8" x14ac:dyDescent="0.15">
      <c r="A244">
        <v>14</v>
      </c>
      <c r="B244">
        <v>17</v>
      </c>
      <c r="C244">
        <v>3058780.99609375</v>
      </c>
      <c r="D244">
        <v>2914890.2626438597</v>
      </c>
      <c r="E244">
        <v>8.1834927764872325E-6</v>
      </c>
      <c r="F244">
        <v>8.1316465961717523E-6</v>
      </c>
      <c r="G244">
        <v>5.1846180315480271E-8</v>
      </c>
      <c r="H244" t="b">
        <v>0</v>
      </c>
    </row>
    <row r="245" spans="1:8" x14ac:dyDescent="0.15">
      <c r="A245">
        <v>14</v>
      </c>
      <c r="B245">
        <v>18</v>
      </c>
      <c r="C245">
        <v>3058960.99609375</v>
      </c>
      <c r="D245">
        <v>3063230.3617803822</v>
      </c>
      <c r="E245">
        <v>8.186082944623098E-6</v>
      </c>
      <c r="F245">
        <v>8.1316465961717523E-6</v>
      </c>
      <c r="G245">
        <v>5.4436348451345731E-8</v>
      </c>
      <c r="H245" t="b">
        <v>0</v>
      </c>
    </row>
    <row r="246" spans="1:8" x14ac:dyDescent="0.15">
      <c r="A246">
        <v>15</v>
      </c>
      <c r="B246">
        <v>1</v>
      </c>
      <c r="C246">
        <v>6050000</v>
      </c>
      <c r="D246">
        <v>4365531689214.1094</v>
      </c>
      <c r="E246">
        <v>3.1974609123723262E-3</v>
      </c>
      <c r="F246">
        <v>8.1608029244635734E-6</v>
      </c>
      <c r="G246">
        <v>3.1893001094478626E-3</v>
      </c>
      <c r="H246" t="b">
        <v>0</v>
      </c>
    </row>
    <row r="247" spans="1:8" x14ac:dyDescent="0.15">
      <c r="A247">
        <v>15</v>
      </c>
      <c r="B247">
        <v>2</v>
      </c>
      <c r="C247">
        <v>3075000</v>
      </c>
      <c r="D247">
        <v>-40026610.412773907</v>
      </c>
      <c r="E247">
        <v>6.7066134192432839E-6</v>
      </c>
      <c r="F247">
        <v>8.1608029244634802E-6</v>
      </c>
      <c r="G247">
        <v>-1.4541895052201963E-6</v>
      </c>
      <c r="H247" t="b">
        <v>1</v>
      </c>
    </row>
    <row r="248" spans="1:8" x14ac:dyDescent="0.15">
      <c r="A248">
        <v>15</v>
      </c>
      <c r="B248">
        <v>3</v>
      </c>
      <c r="C248">
        <v>4562500</v>
      </c>
      <c r="D248">
        <v>223225967487.24609</v>
      </c>
      <c r="E248">
        <v>3.2598241486919553E-4</v>
      </c>
      <c r="F248">
        <v>8.160802924463465E-6</v>
      </c>
      <c r="G248">
        <v>3.1782161194473206E-4</v>
      </c>
      <c r="H248" t="b">
        <v>0</v>
      </c>
    </row>
    <row r="249" spans="1:8" x14ac:dyDescent="0.15">
      <c r="A249">
        <v>15</v>
      </c>
      <c r="B249">
        <v>4</v>
      </c>
      <c r="C249">
        <v>3818750</v>
      </c>
      <c r="D249">
        <v>16146277390.25436</v>
      </c>
      <c r="E249">
        <v>5.3418955876233807E-5</v>
      </c>
      <c r="F249">
        <v>8.1608029244634785E-6</v>
      </c>
      <c r="G249">
        <v>4.5258152951770328E-5</v>
      </c>
      <c r="H249" t="b">
        <v>0</v>
      </c>
    </row>
    <row r="250" spans="1:8" x14ac:dyDescent="0.15">
      <c r="A250">
        <v>15</v>
      </c>
      <c r="B250">
        <v>5</v>
      </c>
      <c r="C250">
        <v>3446875</v>
      </c>
      <c r="D250">
        <v>1522087392.2568338</v>
      </c>
      <c r="E250">
        <v>1.6137182814217816E-5</v>
      </c>
      <c r="F250">
        <v>8.1608029244634802E-6</v>
      </c>
      <c r="G250">
        <v>7.976379889754336E-6</v>
      </c>
      <c r="H250" t="b">
        <v>0</v>
      </c>
    </row>
    <row r="251" spans="1:8" x14ac:dyDescent="0.15">
      <c r="A251">
        <v>15</v>
      </c>
      <c r="B251">
        <v>6</v>
      </c>
      <c r="C251">
        <v>3260937.5</v>
      </c>
      <c r="D251">
        <v>122430502.47283718</v>
      </c>
      <c r="E251">
        <v>9.6429123054423372E-6</v>
      </c>
      <c r="F251">
        <v>8.1608029244634802E-6</v>
      </c>
      <c r="G251">
        <v>1.482109380978857E-6</v>
      </c>
      <c r="H251" t="b">
        <v>0</v>
      </c>
    </row>
    <row r="252" spans="1:8" x14ac:dyDescent="0.15">
      <c r="A252">
        <v>15</v>
      </c>
      <c r="B252">
        <v>7</v>
      </c>
      <c r="C252">
        <v>3167968.75</v>
      </c>
      <c r="D252">
        <v>-4596582.5234539825</v>
      </c>
      <c r="E252">
        <v>8.0739726941043599E-6</v>
      </c>
      <c r="F252">
        <v>8.1608029244634802E-6</v>
      </c>
      <c r="G252">
        <v>-8.6830230359120295E-8</v>
      </c>
      <c r="H252" t="b">
        <v>1</v>
      </c>
    </row>
    <row r="253" spans="1:8" x14ac:dyDescent="0.15">
      <c r="A253">
        <v>15</v>
      </c>
      <c r="B253">
        <v>8</v>
      </c>
      <c r="C253">
        <v>3214453.125</v>
      </c>
      <c r="D253">
        <v>45219987.033326872</v>
      </c>
      <c r="E253">
        <v>8.8324151542136489E-6</v>
      </c>
      <c r="F253">
        <v>8.1608029244634802E-6</v>
      </c>
      <c r="G253">
        <v>6.7161222975016864E-7</v>
      </c>
      <c r="H253" t="b">
        <v>0</v>
      </c>
    </row>
    <row r="254" spans="1:8" x14ac:dyDescent="0.15">
      <c r="A254">
        <v>15</v>
      </c>
      <c r="B254">
        <v>9</v>
      </c>
      <c r="C254">
        <v>3191210.9375</v>
      </c>
      <c r="D254">
        <v>17163327.544844292</v>
      </c>
      <c r="E254">
        <v>8.4467889394298971E-6</v>
      </c>
      <c r="F254">
        <v>8.1608029244634802E-6</v>
      </c>
      <c r="G254">
        <v>2.8598601496641692E-7</v>
      </c>
      <c r="H254" t="b">
        <v>0</v>
      </c>
    </row>
    <row r="255" spans="1:8" x14ac:dyDescent="0.15">
      <c r="A255">
        <v>15</v>
      </c>
      <c r="B255">
        <v>10</v>
      </c>
      <c r="C255">
        <v>3179589.84375</v>
      </c>
      <c r="D255">
        <v>5531010.7217718</v>
      </c>
      <c r="E255">
        <v>8.2587924709719801E-6</v>
      </c>
      <c r="F255">
        <v>8.1608029244634802E-6</v>
      </c>
      <c r="G255">
        <v>9.7989546508499859E-8</v>
      </c>
      <c r="H255" t="b">
        <v>0</v>
      </c>
    </row>
    <row r="256" spans="1:8" x14ac:dyDescent="0.15">
      <c r="A256">
        <v>15</v>
      </c>
      <c r="B256">
        <v>11</v>
      </c>
      <c r="C256">
        <v>3173779.296875</v>
      </c>
      <c r="D256">
        <v>283516.01291708776</v>
      </c>
      <c r="E256">
        <v>8.1659876166549464E-6</v>
      </c>
      <c r="F256">
        <v>8.1608029244634802E-6</v>
      </c>
      <c r="G256">
        <v>5.1846921914662102E-9</v>
      </c>
      <c r="H256" t="b">
        <v>0</v>
      </c>
    </row>
    <row r="257" spans="1:8" x14ac:dyDescent="0.15">
      <c r="A257">
        <v>15</v>
      </c>
      <c r="B257">
        <v>12</v>
      </c>
      <c r="C257">
        <v>3176684.5703125</v>
      </c>
      <c r="D257">
        <v>2860771.5043764883</v>
      </c>
      <c r="E257">
        <v>8.2122907254373971E-6</v>
      </c>
      <c r="F257">
        <v>8.1608029244634802E-6</v>
      </c>
      <c r="G257">
        <v>5.1487800973916848E-8</v>
      </c>
      <c r="H257" t="b">
        <v>0</v>
      </c>
    </row>
    <row r="258" spans="1:8" x14ac:dyDescent="0.15">
      <c r="A258">
        <v>15</v>
      </c>
      <c r="B258">
        <v>13</v>
      </c>
      <c r="C258">
        <v>3178137.20703125</v>
      </c>
      <c r="D258">
        <v>4184232.1743802805</v>
      </c>
      <c r="E258">
        <v>8.23551730812253E-6</v>
      </c>
      <c r="F258">
        <v>8.1608029244634802E-6</v>
      </c>
      <c r="G258">
        <v>7.4714383659049737E-8</v>
      </c>
      <c r="H258" t="b">
        <v>0</v>
      </c>
    </row>
    <row r="259" spans="1:8" x14ac:dyDescent="0.15">
      <c r="A259">
        <v>15</v>
      </c>
      <c r="B259">
        <v>14</v>
      </c>
      <c r="C259">
        <v>3177637.20703125</v>
      </c>
      <c r="D259">
        <v>3726073.1844446398</v>
      </c>
      <c r="E259">
        <v>8.2275172579555072E-6</v>
      </c>
      <c r="F259">
        <v>8.1608029244634802E-6</v>
      </c>
      <c r="G259">
        <v>6.6714333492026975E-8</v>
      </c>
      <c r="H259" t="b">
        <v>0</v>
      </c>
    </row>
    <row r="260" spans="1:8" x14ac:dyDescent="0.15">
      <c r="A260">
        <v>15</v>
      </c>
      <c r="B260">
        <v>15</v>
      </c>
      <c r="C260">
        <v>3177037.20703125</v>
      </c>
      <c r="D260">
        <v>3179901.7422909196</v>
      </c>
      <c r="E260">
        <v>8.2179244479264592E-6</v>
      </c>
      <c r="F260">
        <v>8.1608029244634802E-6</v>
      </c>
      <c r="G260">
        <v>5.7121523462978988E-8</v>
      </c>
      <c r="H260" t="b">
        <v>0</v>
      </c>
    </row>
    <row r="261" spans="1:8" x14ac:dyDescent="0.15">
      <c r="A261">
        <v>16</v>
      </c>
      <c r="B261">
        <v>1</v>
      </c>
      <c r="C261">
        <v>6050000</v>
      </c>
      <c r="D261">
        <v>1.357409145193622E+18</v>
      </c>
      <c r="E261">
        <v>536.87092200000006</v>
      </c>
      <c r="F261">
        <v>2.4969487526504963E-5</v>
      </c>
      <c r="G261">
        <v>536.87089703051254</v>
      </c>
      <c r="H261" t="b">
        <v>0</v>
      </c>
    </row>
    <row r="262" spans="1:8" x14ac:dyDescent="0.15">
      <c r="A262">
        <v>16</v>
      </c>
      <c r="B262">
        <v>2</v>
      </c>
      <c r="C262">
        <v>3075000</v>
      </c>
      <c r="D262">
        <v>1.3574091451936218E+18</v>
      </c>
      <c r="E262">
        <v>536.87092199999995</v>
      </c>
      <c r="F262">
        <v>2.4969487526504963E-5</v>
      </c>
      <c r="G262">
        <v>536.87089703051242</v>
      </c>
      <c r="H262" t="b">
        <v>0</v>
      </c>
    </row>
    <row r="263" spans="1:8" x14ac:dyDescent="0.15">
      <c r="A263">
        <v>16</v>
      </c>
      <c r="B263">
        <v>3</v>
      </c>
      <c r="C263">
        <v>1587500</v>
      </c>
      <c r="D263">
        <v>1.357409145193622E+18</v>
      </c>
      <c r="E263">
        <v>536.87092200000006</v>
      </c>
      <c r="F263">
        <v>2.4969487526504963E-5</v>
      </c>
      <c r="G263">
        <v>536.87089703051254</v>
      </c>
      <c r="H263" t="b">
        <v>0</v>
      </c>
    </row>
    <row r="264" spans="1:8" x14ac:dyDescent="0.15">
      <c r="A264">
        <v>16</v>
      </c>
      <c r="B264">
        <v>4</v>
      </c>
      <c r="C264">
        <v>843750</v>
      </c>
      <c r="D264">
        <v>4211172561526.8145</v>
      </c>
      <c r="E264">
        <v>1.0930532364939325E-2</v>
      </c>
      <c r="F264">
        <v>2.4969487573207189E-5</v>
      </c>
      <c r="G264">
        <v>1.0905562877366118E-2</v>
      </c>
      <c r="H264" t="b">
        <v>0</v>
      </c>
    </row>
    <row r="265" spans="1:8" x14ac:dyDescent="0.15">
      <c r="A265">
        <v>16</v>
      </c>
      <c r="B265">
        <v>5</v>
      </c>
      <c r="C265">
        <v>471875</v>
      </c>
      <c r="D265">
        <v>-46519.217128515622</v>
      </c>
      <c r="E265">
        <v>-4.3716699359058186E-6</v>
      </c>
      <c r="F265">
        <v>2.4969487573206528E-5</v>
      </c>
      <c r="G265">
        <v>-2.9341157509112347E-5</v>
      </c>
      <c r="H265" t="b">
        <v>1</v>
      </c>
    </row>
    <row r="266" spans="1:8" x14ac:dyDescent="0.15">
      <c r="A266">
        <v>16</v>
      </c>
      <c r="B266">
        <v>6</v>
      </c>
      <c r="C266">
        <v>657812.5</v>
      </c>
      <c r="D266">
        <v>-70413651.227235615</v>
      </c>
      <c r="E266">
        <v>1.6329824599309529E-5</v>
      </c>
      <c r="F266">
        <v>2.4969487573206528E-5</v>
      </c>
      <c r="G266">
        <v>-8.6396629738969993E-6</v>
      </c>
      <c r="H266" t="b">
        <v>1</v>
      </c>
    </row>
    <row r="267" spans="1:8" x14ac:dyDescent="0.15">
      <c r="A267">
        <v>16</v>
      </c>
      <c r="B267">
        <v>7</v>
      </c>
      <c r="C267">
        <v>750781.25</v>
      </c>
      <c r="D267">
        <v>87297649061.826355</v>
      </c>
      <c r="E267">
        <v>5.4183861267589038E-4</v>
      </c>
      <c r="F267">
        <v>2.4969487573206538E-5</v>
      </c>
      <c r="G267">
        <v>5.1686912510268384E-4</v>
      </c>
      <c r="H267" t="b">
        <v>0</v>
      </c>
    </row>
    <row r="268" spans="1:8" x14ac:dyDescent="0.15">
      <c r="A268">
        <v>16</v>
      </c>
      <c r="B268">
        <v>8</v>
      </c>
      <c r="C268">
        <v>704296.875</v>
      </c>
      <c r="D268">
        <v>6953309514.3848743</v>
      </c>
      <c r="E268">
        <v>1.010474404445905E-4</v>
      </c>
      <c r="F268">
        <v>2.4969487573206525E-5</v>
      </c>
      <c r="G268">
        <v>7.607795287138398E-5</v>
      </c>
      <c r="H268" t="b">
        <v>0</v>
      </c>
    </row>
    <row r="269" spans="1:8" x14ac:dyDescent="0.15">
      <c r="A269">
        <v>16</v>
      </c>
      <c r="B269">
        <v>9</v>
      </c>
      <c r="C269">
        <v>681054.6875</v>
      </c>
      <c r="D269">
        <v>952953483.17320585</v>
      </c>
      <c r="E269">
        <v>4.1378604843595493E-5</v>
      </c>
      <c r="F269">
        <v>2.4969487573206528E-5</v>
      </c>
      <c r="G269">
        <v>1.6409117270388965E-5</v>
      </c>
      <c r="H269" t="b">
        <v>0</v>
      </c>
    </row>
    <row r="270" spans="1:8" x14ac:dyDescent="0.15">
      <c r="A270">
        <v>16</v>
      </c>
      <c r="B270">
        <v>10</v>
      </c>
      <c r="C270">
        <v>669433.59375</v>
      </c>
      <c r="D270">
        <v>39349178.94629702</v>
      </c>
      <c r="E270">
        <v>2.6031428631416075E-5</v>
      </c>
      <c r="F270">
        <v>2.4969487573206528E-5</v>
      </c>
      <c r="G270">
        <v>1.0619410582095471E-6</v>
      </c>
      <c r="H270" t="b">
        <v>0</v>
      </c>
    </row>
    <row r="271" spans="1:8" x14ac:dyDescent="0.15">
      <c r="A271">
        <v>16</v>
      </c>
      <c r="B271">
        <v>11</v>
      </c>
      <c r="C271">
        <v>663623.046875</v>
      </c>
      <c r="D271">
        <v>-94035276.619423971</v>
      </c>
      <c r="E271">
        <v>2.0564875078006644E-5</v>
      </c>
      <c r="F271">
        <v>2.4969487573206528E-5</v>
      </c>
      <c r="G271">
        <v>-4.4046124951998839E-6</v>
      </c>
      <c r="H271" t="b">
        <v>1</v>
      </c>
    </row>
    <row r="272" spans="1:8" x14ac:dyDescent="0.15">
      <c r="A272">
        <v>16</v>
      </c>
      <c r="B272">
        <v>12</v>
      </c>
      <c r="C272">
        <v>666528.3203125</v>
      </c>
      <c r="D272">
        <v>-52897524.921907879</v>
      </c>
      <c r="E272">
        <v>2.3145125563256264E-5</v>
      </c>
      <c r="F272">
        <v>2.4969487573206528E-5</v>
      </c>
      <c r="G272">
        <v>-1.8243620099502638E-6</v>
      </c>
      <c r="H272" t="b">
        <v>1</v>
      </c>
    </row>
    <row r="273" spans="1:8" x14ac:dyDescent="0.15">
      <c r="A273">
        <v>16</v>
      </c>
      <c r="B273">
        <v>13</v>
      </c>
      <c r="C273">
        <v>667980.95703125</v>
      </c>
      <c r="D273">
        <v>-13900278.314840274</v>
      </c>
      <c r="E273">
        <v>2.4547959332879704E-5</v>
      </c>
      <c r="F273">
        <v>2.4969487573206528E-5</v>
      </c>
      <c r="G273">
        <v>-4.2152824032682434E-7</v>
      </c>
      <c r="H273" t="b">
        <v>1</v>
      </c>
    </row>
    <row r="274" spans="1:8" x14ac:dyDescent="0.15">
      <c r="A274">
        <v>16</v>
      </c>
      <c r="B274">
        <v>14</v>
      </c>
      <c r="C274">
        <v>668480.95703125</v>
      </c>
      <c r="D274">
        <v>2741441.8317688536</v>
      </c>
      <c r="E274">
        <v>2.5049252928987301E-5</v>
      </c>
      <c r="F274">
        <v>2.4969487573206528E-5</v>
      </c>
      <c r="G274">
        <v>7.976535578077323E-8</v>
      </c>
      <c r="H274" t="b">
        <v>0</v>
      </c>
    </row>
    <row r="275" spans="1:8" x14ac:dyDescent="0.15">
      <c r="A275">
        <v>16</v>
      </c>
      <c r="B275">
        <v>15</v>
      </c>
      <c r="C275">
        <v>668230.95703125</v>
      </c>
      <c r="D275">
        <v>-5794187.9123423984</v>
      </c>
      <c r="E275">
        <v>2.4797404888133532E-5</v>
      </c>
      <c r="F275">
        <v>2.4969487573206528E-5</v>
      </c>
      <c r="G275">
        <v>-1.7208268507299581E-7</v>
      </c>
      <c r="H275" t="b">
        <v>1</v>
      </c>
    </row>
    <row r="276" spans="1:8" x14ac:dyDescent="0.15">
      <c r="A276">
        <v>16</v>
      </c>
      <c r="B276">
        <v>16</v>
      </c>
      <c r="C276">
        <v>668355.95703125</v>
      </c>
      <c r="D276">
        <v>-1580649.1176030776</v>
      </c>
      <c r="E276">
        <v>2.4923024581894861E-5</v>
      </c>
      <c r="F276">
        <v>2.4969487573206528E-5</v>
      </c>
      <c r="G276">
        <v>-4.6462991311667048E-8</v>
      </c>
      <c r="H276" t="b">
        <v>1</v>
      </c>
    </row>
    <row r="277" spans="1:8" x14ac:dyDescent="0.15">
      <c r="A277">
        <v>16</v>
      </c>
      <c r="B277">
        <v>17</v>
      </c>
      <c r="C277">
        <v>668480.95703125</v>
      </c>
      <c r="D277">
        <v>2741441.8317688536</v>
      </c>
      <c r="E277">
        <v>2.5049252928987301E-5</v>
      </c>
      <c r="F277">
        <v>2.4969487573206528E-5</v>
      </c>
      <c r="G277">
        <v>7.976535578077323E-8</v>
      </c>
      <c r="H277" t="b">
        <v>0</v>
      </c>
    </row>
    <row r="278" spans="1:8" x14ac:dyDescent="0.15">
      <c r="A278">
        <v>16</v>
      </c>
      <c r="B278">
        <v>18</v>
      </c>
      <c r="C278">
        <v>668418.45703125</v>
      </c>
      <c r="D278">
        <v>566901.24686731317</v>
      </c>
      <c r="E278">
        <v>2.49860664930659E-5</v>
      </c>
      <c r="F278">
        <v>2.4969487573206528E-5</v>
      </c>
      <c r="G278">
        <v>1.6578919859371944E-8</v>
      </c>
      <c r="H278" t="b">
        <v>0</v>
      </c>
    </row>
    <row r="279" spans="1:8" x14ac:dyDescent="0.15">
      <c r="A279">
        <v>16</v>
      </c>
      <c r="B279">
        <v>19</v>
      </c>
      <c r="C279">
        <v>668449.70703125</v>
      </c>
      <c r="D279">
        <v>1650821.1377223858</v>
      </c>
      <c r="E279">
        <v>2.5017642516418784E-5</v>
      </c>
      <c r="F279">
        <v>2.4969487573206528E-5</v>
      </c>
      <c r="G279">
        <v>4.8154943212255817E-8</v>
      </c>
      <c r="H279" t="b">
        <v>0</v>
      </c>
    </row>
    <row r="280" spans="1:8" x14ac:dyDescent="0.15">
      <c r="A280">
        <v>16</v>
      </c>
      <c r="B280">
        <v>20</v>
      </c>
      <c r="C280">
        <v>668434.08203125</v>
      </c>
      <c r="D280">
        <v>1108009.1729872222</v>
      </c>
      <c r="E280">
        <v>2.5001849763692572E-5</v>
      </c>
      <c r="F280">
        <v>2.4969487573206528E-5</v>
      </c>
      <c r="G280">
        <v>3.2362190486043767E-8</v>
      </c>
      <c r="H280" t="b">
        <v>0</v>
      </c>
    </row>
    <row r="281" spans="1:8" x14ac:dyDescent="0.15">
      <c r="A281">
        <v>16</v>
      </c>
      <c r="B281">
        <v>21</v>
      </c>
      <c r="C281">
        <v>668415.33203125</v>
      </c>
      <c r="D281">
        <v>458883.97444949573</v>
      </c>
      <c r="E281">
        <v>2.498291097631591E-5</v>
      </c>
      <c r="F281">
        <v>2.4969487573206528E-5</v>
      </c>
      <c r="G281">
        <v>1.3423403109381633E-8</v>
      </c>
      <c r="H281" t="b">
        <v>0</v>
      </c>
    </row>
    <row r="282" spans="1:8" x14ac:dyDescent="0.15">
      <c r="A282">
        <v>16</v>
      </c>
      <c r="B282">
        <v>22</v>
      </c>
      <c r="C282">
        <v>668424.70703125</v>
      </c>
      <c r="D282">
        <v>783018.30578535877</v>
      </c>
      <c r="E282">
        <v>2.4992375111593623E-5</v>
      </c>
      <c r="F282">
        <v>2.4969487573206528E-5</v>
      </c>
      <c r="G282">
        <v>2.2887538387094617E-8</v>
      </c>
      <c r="H282" t="b">
        <v>0</v>
      </c>
    </row>
    <row r="283" spans="1:8" x14ac:dyDescent="0.15">
      <c r="A283">
        <v>16</v>
      </c>
      <c r="B283">
        <v>23</v>
      </c>
      <c r="C283">
        <v>668420.01953125</v>
      </c>
      <c r="D283">
        <v>620813.77890499099</v>
      </c>
      <c r="E283">
        <v>2.4987640842081566E-5</v>
      </c>
      <c r="F283">
        <v>2.4969487573206528E-5</v>
      </c>
      <c r="G283">
        <v>1.8153268875037957E-8</v>
      </c>
      <c r="H283" t="b">
        <v>0</v>
      </c>
    </row>
    <row r="284" spans="1:8" x14ac:dyDescent="0.15">
      <c r="A284">
        <v>16</v>
      </c>
      <c r="B284">
        <v>24</v>
      </c>
      <c r="C284">
        <v>668422.36328125</v>
      </c>
      <c r="D284">
        <v>702018.58152665617</v>
      </c>
      <c r="E284">
        <v>2.4990011422070737E-5</v>
      </c>
      <c r="F284">
        <v>2.4969487573206528E-5</v>
      </c>
      <c r="G284">
        <v>2.052384886420925E-8</v>
      </c>
      <c r="H284" t="b">
        <v>0</v>
      </c>
    </row>
    <row r="285" spans="1:8" x14ac:dyDescent="0.15">
      <c r="A285">
        <v>16</v>
      </c>
      <c r="B285">
        <v>25</v>
      </c>
      <c r="C285">
        <v>668421.19140625</v>
      </c>
      <c r="D285">
        <v>661350.54558227793</v>
      </c>
      <c r="E285">
        <v>2.4988824329490103E-5</v>
      </c>
      <c r="F285">
        <v>2.4969487573206528E-5</v>
      </c>
      <c r="G285">
        <v>1.9336756283575511E-8</v>
      </c>
      <c r="H285" t="b">
        <v>0</v>
      </c>
    </row>
    <row r="286" spans="1:8" x14ac:dyDescent="0.15">
      <c r="A286">
        <v>16</v>
      </c>
      <c r="B286">
        <v>26</v>
      </c>
      <c r="C286">
        <v>668421.77734375</v>
      </c>
      <c r="D286">
        <v>681622.51988793595</v>
      </c>
      <c r="E286">
        <v>2.4989416093184966E-5</v>
      </c>
      <c r="F286">
        <v>2.4969487573206528E-5</v>
      </c>
      <c r="G286">
        <v>1.9928519978438484E-8</v>
      </c>
      <c r="H286" t="b">
        <v>0</v>
      </c>
    </row>
    <row r="287" spans="1:8" x14ac:dyDescent="0.15">
      <c r="A287">
        <v>16</v>
      </c>
      <c r="B287">
        <v>27</v>
      </c>
      <c r="C287">
        <v>668421.484375</v>
      </c>
      <c r="D287">
        <v>671607.90454016102</v>
      </c>
      <c r="E287">
        <v>2.4989123761397571E-5</v>
      </c>
      <c r="F287">
        <v>2.4969487573206528E-5</v>
      </c>
      <c r="G287">
        <v>1.9636188191043383E-8</v>
      </c>
      <c r="H287" t="b">
        <v>0</v>
      </c>
    </row>
    <row r="288" spans="1:8" x14ac:dyDescent="0.15">
      <c r="A288">
        <v>17</v>
      </c>
      <c r="B288">
        <v>1</v>
      </c>
      <c r="C288">
        <v>6050000</v>
      </c>
      <c r="D288">
        <v>2.1962445135251986E+18</v>
      </c>
      <c r="E288">
        <v>536.87092200000006</v>
      </c>
      <c r="F288">
        <v>1.6281267676276912E-5</v>
      </c>
      <c r="G288">
        <v>536.87090571873239</v>
      </c>
      <c r="H288" t="b">
        <v>0</v>
      </c>
    </row>
    <row r="289" spans="1:8" x14ac:dyDescent="0.15">
      <c r="A289">
        <v>17</v>
      </c>
      <c r="B289">
        <v>2</v>
      </c>
      <c r="C289">
        <v>3075000</v>
      </c>
      <c r="D289">
        <v>2.1845080985307761E+18</v>
      </c>
      <c r="E289">
        <v>534.3309386127288</v>
      </c>
      <c r="F289">
        <v>1.6281267676276912E-5</v>
      </c>
      <c r="G289">
        <v>534.33092233146112</v>
      </c>
      <c r="H289" t="b">
        <v>0</v>
      </c>
    </row>
    <row r="290" spans="1:8" x14ac:dyDescent="0.15">
      <c r="A290">
        <v>17</v>
      </c>
      <c r="B290">
        <v>3</v>
      </c>
      <c r="C290">
        <v>1587500</v>
      </c>
      <c r="D290">
        <v>470759667637481.13</v>
      </c>
      <c r="E290">
        <v>0.35937831092180278</v>
      </c>
      <c r="F290">
        <v>1.6281267644135955E-5</v>
      </c>
      <c r="G290">
        <v>0.35936202965415864</v>
      </c>
      <c r="H290" t="b">
        <v>0</v>
      </c>
    </row>
    <row r="291" spans="1:8" x14ac:dyDescent="0.15">
      <c r="A291">
        <v>17</v>
      </c>
      <c r="B291">
        <v>4</v>
      </c>
      <c r="C291">
        <v>843750</v>
      </c>
      <c r="D291">
        <v>-702331.56630133349</v>
      </c>
      <c r="E291">
        <v>4.34680082823054E-6</v>
      </c>
      <c r="F291">
        <v>1.6281267644159479E-5</v>
      </c>
      <c r="G291">
        <v>-1.1934466815928938E-5</v>
      </c>
      <c r="H291" t="b">
        <v>1</v>
      </c>
    </row>
    <row r="292" spans="1:8" x14ac:dyDescent="0.15">
      <c r="A292">
        <v>17</v>
      </c>
      <c r="B292">
        <v>5</v>
      </c>
      <c r="C292">
        <v>1215625</v>
      </c>
      <c r="D292">
        <v>1651799080117.4065</v>
      </c>
      <c r="E292">
        <v>3.5436027555850267E-3</v>
      </c>
      <c r="F292">
        <v>1.6281267644159374E-5</v>
      </c>
      <c r="G292">
        <v>3.5273214879408673E-3</v>
      </c>
      <c r="H292" t="b">
        <v>0</v>
      </c>
    </row>
    <row r="293" spans="1:8" x14ac:dyDescent="0.15">
      <c r="A293">
        <v>17</v>
      </c>
      <c r="B293">
        <v>6</v>
      </c>
      <c r="C293">
        <v>1029687.5</v>
      </c>
      <c r="D293">
        <v>12498864358.301416</v>
      </c>
      <c r="E293">
        <v>1.0069492936243236E-4</v>
      </c>
      <c r="F293">
        <v>1.6281267644159482E-5</v>
      </c>
      <c r="G293">
        <v>8.4413661718272875E-5</v>
      </c>
      <c r="H293" t="b">
        <v>0</v>
      </c>
    </row>
    <row r="294" spans="1:8" x14ac:dyDescent="0.15">
      <c r="A294">
        <v>17</v>
      </c>
      <c r="B294">
        <v>7</v>
      </c>
      <c r="C294">
        <v>936718.75</v>
      </c>
      <c r="D294">
        <v>-56859609.283341601</v>
      </c>
      <c r="E294">
        <v>1.2772024762318249E-5</v>
      </c>
      <c r="F294">
        <v>1.6281267644159479E-5</v>
      </c>
      <c r="G294">
        <v>-3.5092428818412293E-6</v>
      </c>
      <c r="H294" t="b">
        <v>1</v>
      </c>
    </row>
    <row r="295" spans="1:8" x14ac:dyDescent="0.15">
      <c r="A295">
        <v>17</v>
      </c>
      <c r="B295">
        <v>8</v>
      </c>
      <c r="C295">
        <v>983203.125</v>
      </c>
      <c r="D295">
        <v>1491661569.2719405</v>
      </c>
      <c r="E295">
        <v>3.3497058916490096E-5</v>
      </c>
      <c r="F295">
        <v>1.6281267644159479E-5</v>
      </c>
      <c r="G295">
        <v>1.7215791272330617E-5</v>
      </c>
      <c r="H295" t="b">
        <v>0</v>
      </c>
    </row>
    <row r="296" spans="1:8" x14ac:dyDescent="0.15">
      <c r="A296">
        <v>17</v>
      </c>
      <c r="B296">
        <v>9</v>
      </c>
      <c r="C296">
        <v>959960.9375</v>
      </c>
      <c r="D296">
        <v>102277524.16199358</v>
      </c>
      <c r="E296">
        <v>1.8562927535733769E-5</v>
      </c>
      <c r="F296">
        <v>1.6281267644159479E-5</v>
      </c>
      <c r="G296">
        <v>2.28165989157429E-6</v>
      </c>
      <c r="H296" t="b">
        <v>0</v>
      </c>
    </row>
    <row r="297" spans="1:8" x14ac:dyDescent="0.15">
      <c r="A297">
        <v>17</v>
      </c>
      <c r="B297">
        <v>10</v>
      </c>
      <c r="C297">
        <v>948339.84375</v>
      </c>
      <c r="D297">
        <v>-39181145.540138885</v>
      </c>
      <c r="E297">
        <v>1.4800819692009439E-5</v>
      </c>
      <c r="F297">
        <v>1.6281267644159479E-5</v>
      </c>
      <c r="G297">
        <v>-1.4804479521500397E-6</v>
      </c>
      <c r="H297" t="b">
        <v>1</v>
      </c>
    </row>
    <row r="298" spans="1:8" x14ac:dyDescent="0.15">
      <c r="A298">
        <v>17</v>
      </c>
      <c r="B298">
        <v>11</v>
      </c>
      <c r="C298">
        <v>954150.390625</v>
      </c>
      <c r="D298">
        <v>-10843320.490140866</v>
      </c>
      <c r="E298">
        <v>1.5944284122455183E-5</v>
      </c>
      <c r="F298">
        <v>1.6281267644159479E-5</v>
      </c>
      <c r="G298">
        <v>-3.369835217042962E-7</v>
      </c>
      <c r="H298" t="b">
        <v>1</v>
      </c>
    </row>
    <row r="299" spans="1:8" x14ac:dyDescent="0.15">
      <c r="A299">
        <v>17</v>
      </c>
      <c r="B299">
        <v>12</v>
      </c>
      <c r="C299">
        <v>957055.6640625</v>
      </c>
      <c r="D299">
        <v>35545232.973397292</v>
      </c>
      <c r="E299">
        <v>1.7207826560465258E-5</v>
      </c>
      <c r="F299">
        <v>1.6281267644159479E-5</v>
      </c>
      <c r="G299">
        <v>9.265589163057791E-7</v>
      </c>
      <c r="H299" t="b">
        <v>0</v>
      </c>
    </row>
    <row r="300" spans="1:8" x14ac:dyDescent="0.15">
      <c r="A300">
        <v>17</v>
      </c>
      <c r="B300">
        <v>13</v>
      </c>
      <c r="C300">
        <v>955603.02734375</v>
      </c>
      <c r="D300">
        <v>9996051.9806751367</v>
      </c>
      <c r="E300">
        <v>1.6564971567288684E-5</v>
      </c>
      <c r="F300">
        <v>1.6281267644159479E-5</v>
      </c>
      <c r="G300">
        <v>2.83703923129205E-7</v>
      </c>
      <c r="H300" t="b">
        <v>0</v>
      </c>
    </row>
    <row r="301" spans="1:8" x14ac:dyDescent="0.15">
      <c r="A301">
        <v>17</v>
      </c>
      <c r="B301">
        <v>14</v>
      </c>
      <c r="C301">
        <v>954403.02734375</v>
      </c>
      <c r="D301">
        <v>-7541439.5200479049</v>
      </c>
      <c r="E301">
        <v>1.6050669880434564E-5</v>
      </c>
      <c r="F301">
        <v>1.6281267644159479E-5</v>
      </c>
      <c r="G301">
        <v>-2.3059776372491494E-7</v>
      </c>
      <c r="H301" t="b">
        <v>1</v>
      </c>
    </row>
    <row r="302" spans="1:8" x14ac:dyDescent="0.15">
      <c r="A302">
        <v>17</v>
      </c>
      <c r="B302">
        <v>15</v>
      </c>
      <c r="C302">
        <v>955003.02734375</v>
      </c>
      <c r="D302">
        <v>838345.93767517537</v>
      </c>
      <c r="E302">
        <v>1.6305951937590055E-5</v>
      </c>
      <c r="F302">
        <v>1.6281267644159479E-5</v>
      </c>
      <c r="G302">
        <v>2.4684293430576111E-8</v>
      </c>
      <c r="H302" t="b">
        <v>0</v>
      </c>
    </row>
    <row r="303" spans="1:8" x14ac:dyDescent="0.15">
      <c r="A303">
        <v>17</v>
      </c>
      <c r="B303">
        <v>16</v>
      </c>
      <c r="C303">
        <v>955723.02734375</v>
      </c>
      <c r="D303">
        <v>11923152.085344274</v>
      </c>
      <c r="E303">
        <v>1.6617227143843387E-5</v>
      </c>
      <c r="F303">
        <v>1.6281267644159479E-5</v>
      </c>
      <c r="G303">
        <v>3.3595949968390836E-7</v>
      </c>
      <c r="H303" t="b">
        <v>0</v>
      </c>
    </row>
    <row r="304" spans="1:8" x14ac:dyDescent="0.15">
      <c r="A304">
        <v>17</v>
      </c>
      <c r="B304">
        <v>17</v>
      </c>
      <c r="C304">
        <v>955363.02734375</v>
      </c>
      <c r="D304">
        <v>6238046.1509640086</v>
      </c>
      <c r="E304">
        <v>1.6460913810750825E-5</v>
      </c>
      <c r="F304">
        <v>1.6281267644159479E-5</v>
      </c>
      <c r="G304">
        <v>1.7964616659134664E-7</v>
      </c>
      <c r="H304" t="b">
        <v>0</v>
      </c>
    </row>
    <row r="305" spans="1:8" x14ac:dyDescent="0.15">
      <c r="A305">
        <v>17</v>
      </c>
      <c r="B305">
        <v>18</v>
      </c>
      <c r="C305">
        <v>954931.02734375</v>
      </c>
      <c r="D305">
        <v>-207708.52524590027</v>
      </c>
      <c r="E305">
        <v>1.6275124423151242E-5</v>
      </c>
      <c r="F305">
        <v>1.6281267644159479E-5</v>
      </c>
      <c r="G305">
        <v>-6.1432210082371954E-9</v>
      </c>
      <c r="H305" t="b">
        <v>1</v>
      </c>
    </row>
    <row r="306" spans="1:8" x14ac:dyDescent="0.15">
      <c r="A306">
        <v>17</v>
      </c>
      <c r="B306">
        <v>19</v>
      </c>
      <c r="C306">
        <v>955147.02734375</v>
      </c>
      <c r="D306">
        <v>2964281.6237037983</v>
      </c>
      <c r="E306">
        <v>1.6367773776574977E-5</v>
      </c>
      <c r="F306">
        <v>1.6281267644159479E-5</v>
      </c>
      <c r="G306">
        <v>8.6506132415498191E-8</v>
      </c>
      <c r="H306" t="b">
        <v>0</v>
      </c>
    </row>
    <row r="307" spans="1:8" x14ac:dyDescent="0.15">
      <c r="A307">
        <v>17</v>
      </c>
      <c r="B307">
        <v>20</v>
      </c>
      <c r="C307">
        <v>955039.02734375</v>
      </c>
      <c r="D307">
        <v>1365621.4480199171</v>
      </c>
      <c r="E307">
        <v>1.6321387362943501E-5</v>
      </c>
      <c r="F307">
        <v>1.6281267644159479E-5</v>
      </c>
      <c r="G307">
        <v>4.0119718784022591E-8</v>
      </c>
      <c r="H307" t="b">
        <v>0</v>
      </c>
    </row>
    <row r="308" spans="1:8" x14ac:dyDescent="0.15">
      <c r="A308">
        <v>17</v>
      </c>
      <c r="B308">
        <v>21</v>
      </c>
      <c r="C308">
        <v>954909.42734375002</v>
      </c>
      <c r="D308">
        <v>-519375.74284116423</v>
      </c>
      <c r="E308">
        <v>1.6265885811056438E-5</v>
      </c>
      <c r="F308">
        <v>1.6281267644159479E-5</v>
      </c>
      <c r="G308">
        <v>-1.5381833103041083E-8</v>
      </c>
      <c r="H308" t="b">
        <v>1</v>
      </c>
    </row>
    <row r="309" spans="1:8" x14ac:dyDescent="0.15">
      <c r="A309">
        <v>17</v>
      </c>
      <c r="B309">
        <v>22</v>
      </c>
      <c r="C309">
        <v>954974.22734375007</v>
      </c>
      <c r="D309">
        <v>418545.71524477529</v>
      </c>
      <c r="E309">
        <v>1.6293613391749667E-5</v>
      </c>
      <c r="F309">
        <v>1.6281267644159479E-5</v>
      </c>
      <c r="G309">
        <v>1.2345747590187893E-8</v>
      </c>
      <c r="H309" t="b">
        <v>0</v>
      </c>
    </row>
    <row r="310" spans="1:8" x14ac:dyDescent="0.15">
      <c r="A310">
        <v>17</v>
      </c>
      <c r="B310">
        <v>23</v>
      </c>
      <c r="C310">
        <v>955051.98734375008</v>
      </c>
      <c r="D310">
        <v>1556214.4609035137</v>
      </c>
      <c r="E310">
        <v>1.6326949955196387E-5</v>
      </c>
      <c r="F310">
        <v>1.6281267644159479E-5</v>
      </c>
      <c r="G310">
        <v>4.5682311036907914E-8</v>
      </c>
      <c r="H310" t="b">
        <v>0</v>
      </c>
    </row>
    <row r="311" spans="1:8" x14ac:dyDescent="0.15">
      <c r="A311">
        <v>17</v>
      </c>
      <c r="B311">
        <v>24</v>
      </c>
      <c r="C311">
        <v>955013.10734375007</v>
      </c>
      <c r="D311">
        <v>985797.39221871377</v>
      </c>
      <c r="E311">
        <v>1.6310275337428839E-5</v>
      </c>
      <c r="F311">
        <v>1.6281267644159479E-5</v>
      </c>
      <c r="G311">
        <v>2.9007693269360622E-8</v>
      </c>
      <c r="H311" t="b">
        <v>0</v>
      </c>
    </row>
    <row r="312" spans="1:8" x14ac:dyDescent="0.15">
      <c r="A312">
        <v>17</v>
      </c>
      <c r="B312">
        <v>25</v>
      </c>
      <c r="C312">
        <v>954966.45134375012</v>
      </c>
      <c r="D312">
        <v>305599.59321520361</v>
      </c>
      <c r="E312">
        <v>1.6290286201509583E-5</v>
      </c>
      <c r="F312">
        <v>1.6281267644159479E-5</v>
      </c>
      <c r="G312">
        <v>9.0185573501038276E-9</v>
      </c>
      <c r="H312" t="b">
        <v>0</v>
      </c>
    </row>
    <row r="313" spans="1:8" x14ac:dyDescent="0.15">
      <c r="A313">
        <v>17</v>
      </c>
      <c r="B313">
        <v>26</v>
      </c>
      <c r="C313">
        <v>954989.77934375009</v>
      </c>
      <c r="D313">
        <v>645015.46880852291</v>
      </c>
      <c r="E313">
        <v>1.6300275139011282E-5</v>
      </c>
      <c r="F313">
        <v>1.6281267644159479E-5</v>
      </c>
      <c r="G313">
        <v>1.9007494851803038E-8</v>
      </c>
      <c r="H313" t="b">
        <v>0</v>
      </c>
    </row>
    <row r="314" spans="1:8" x14ac:dyDescent="0.15">
      <c r="A314">
        <v>17</v>
      </c>
      <c r="B314">
        <v>27</v>
      </c>
      <c r="C314">
        <v>955017.77294375014</v>
      </c>
      <c r="D314">
        <v>1054074.2607705053</v>
      </c>
      <c r="E314">
        <v>1.6312275448297447E-5</v>
      </c>
      <c r="F314">
        <v>1.6281267644159479E-5</v>
      </c>
      <c r="G314">
        <v>3.1007804137968259E-8</v>
      </c>
      <c r="H314" t="b">
        <v>0</v>
      </c>
    </row>
    <row r="315" spans="1:8" x14ac:dyDescent="0.15">
      <c r="A315">
        <v>17</v>
      </c>
      <c r="B315">
        <v>28</v>
      </c>
      <c r="C315">
        <v>955003.77614375018</v>
      </c>
      <c r="D315">
        <v>849378.25272772717</v>
      </c>
      <c r="E315">
        <v>1.6306275600987764E-5</v>
      </c>
      <c r="F315">
        <v>1.6281267644159479E-5</v>
      </c>
      <c r="G315">
        <v>2.5007956828284965E-8</v>
      </c>
      <c r="H315" t="b">
        <v>0</v>
      </c>
    </row>
    <row r="316" spans="1:8" x14ac:dyDescent="0.15">
      <c r="A316">
        <v>17</v>
      </c>
      <c r="B316">
        <v>29</v>
      </c>
      <c r="C316">
        <v>955010.77454375022</v>
      </c>
      <c r="D316">
        <v>951676.56378213875</v>
      </c>
      <c r="E316">
        <v>1.6309275365511767E-5</v>
      </c>
      <c r="F316">
        <v>1.6281267644159479E-5</v>
      </c>
      <c r="G316">
        <v>2.8007721352288562E-8</v>
      </c>
      <c r="H316" t="b">
        <v>0</v>
      </c>
    </row>
    <row r="317" spans="1:8" x14ac:dyDescent="0.15">
      <c r="A317">
        <v>18</v>
      </c>
      <c r="B317">
        <v>1</v>
      </c>
      <c r="C317">
        <v>6050000</v>
      </c>
      <c r="D317">
        <v>2.1822380993396808E+18</v>
      </c>
      <c r="E317">
        <v>536.87092200000006</v>
      </c>
      <c r="F317">
        <v>1.6348198187188245E-5</v>
      </c>
      <c r="G317">
        <v>536.87090565180188</v>
      </c>
      <c r="H317" t="b">
        <v>0</v>
      </c>
    </row>
    <row r="318" spans="1:8" x14ac:dyDescent="0.15">
      <c r="A318">
        <v>18</v>
      </c>
      <c r="B318">
        <v>2</v>
      </c>
      <c r="C318">
        <v>3075000</v>
      </c>
      <c r="D318">
        <v>4.1040352974084616E+16</v>
      </c>
      <c r="E318">
        <v>16.481339631800427</v>
      </c>
      <c r="F318">
        <v>1.6348198137450254E-5</v>
      </c>
      <c r="G318">
        <v>16.48132328360229</v>
      </c>
      <c r="H318" t="b">
        <v>0</v>
      </c>
    </row>
    <row r="319" spans="1:8" x14ac:dyDescent="0.15">
      <c r="A319">
        <v>18</v>
      </c>
      <c r="B319">
        <v>3</v>
      </c>
      <c r="C319">
        <v>1587500</v>
      </c>
      <c r="D319">
        <v>148789469088.71579</v>
      </c>
      <c r="E319">
        <v>5.6166878431390937E-4</v>
      </c>
      <c r="F319">
        <v>1.6348198136847546E-5</v>
      </c>
      <c r="G319">
        <v>5.4532058617706182E-4</v>
      </c>
      <c r="H319" t="b">
        <v>0</v>
      </c>
    </row>
    <row r="320" spans="1:8" x14ac:dyDescent="0.15">
      <c r="A320">
        <v>18</v>
      </c>
      <c r="B320">
        <v>4</v>
      </c>
      <c r="C320">
        <v>843750</v>
      </c>
      <c r="D320">
        <v>-78056.74052041884</v>
      </c>
      <c r="E320">
        <v>-2.5332447186566855E-6</v>
      </c>
      <c r="F320">
        <v>1.6348198136847576E-5</v>
      </c>
      <c r="G320">
        <v>-1.8881442855504263E-5</v>
      </c>
      <c r="H320" t="b">
        <v>1</v>
      </c>
    </row>
    <row r="321" spans="1:8" x14ac:dyDescent="0.15">
      <c r="A321">
        <v>18</v>
      </c>
      <c r="B321">
        <v>5</v>
      </c>
      <c r="C321">
        <v>1215625</v>
      </c>
      <c r="D321">
        <v>-9684569.4860917851</v>
      </c>
      <c r="E321">
        <v>8.5944778572811405E-6</v>
      </c>
      <c r="F321">
        <v>1.6348198136847576E-5</v>
      </c>
      <c r="G321">
        <v>-7.7537202795664359E-6</v>
      </c>
      <c r="H321" t="b">
        <v>1</v>
      </c>
    </row>
    <row r="322" spans="1:8" x14ac:dyDescent="0.15">
      <c r="A322">
        <v>18</v>
      </c>
      <c r="B322">
        <v>6</v>
      </c>
      <c r="C322">
        <v>1401562.5</v>
      </c>
      <c r="D322">
        <v>5607277181.8259783</v>
      </c>
      <c r="E322">
        <v>6.3151990426443136E-5</v>
      </c>
      <c r="F322">
        <v>1.6348198136847573E-5</v>
      </c>
      <c r="G322">
        <v>4.6803792289595563E-5</v>
      </c>
      <c r="H322" t="b">
        <v>0</v>
      </c>
    </row>
    <row r="323" spans="1:8" x14ac:dyDescent="0.15">
      <c r="A323">
        <v>18</v>
      </c>
      <c r="B323">
        <v>7</v>
      </c>
      <c r="C323">
        <v>1308593.75</v>
      </c>
      <c r="D323">
        <v>54464162.638462692</v>
      </c>
      <c r="E323">
        <v>1.7701248710394414E-5</v>
      </c>
      <c r="F323">
        <v>1.6348198136847576E-5</v>
      </c>
      <c r="G323">
        <v>1.3530505735468377E-6</v>
      </c>
      <c r="H323" t="b">
        <v>0</v>
      </c>
    </row>
    <row r="324" spans="1:8" x14ac:dyDescent="0.15">
      <c r="A324">
        <v>18</v>
      </c>
      <c r="B324">
        <v>8</v>
      </c>
      <c r="C324">
        <v>1262109.375</v>
      </c>
      <c r="D324">
        <v>-53216889.929339394</v>
      </c>
      <c r="E324">
        <v>1.2075528732548186E-5</v>
      </c>
      <c r="F324">
        <v>1.6348198136847576E-5</v>
      </c>
      <c r="G324">
        <v>-4.2726694042993907E-6</v>
      </c>
      <c r="H324" t="b">
        <v>1</v>
      </c>
    </row>
    <row r="325" spans="1:8" x14ac:dyDescent="0.15">
      <c r="A325">
        <v>18</v>
      </c>
      <c r="B325">
        <v>9</v>
      </c>
      <c r="C325">
        <v>1285351.5625</v>
      </c>
      <c r="D325">
        <v>-48982790.366292134</v>
      </c>
      <c r="E325">
        <v>1.4246446908583042E-5</v>
      </c>
      <c r="F325">
        <v>1.6348198136847576E-5</v>
      </c>
      <c r="G325">
        <v>-2.1017512282645339E-6</v>
      </c>
      <c r="H325" t="b">
        <v>1</v>
      </c>
    </row>
    <row r="326" spans="1:8" x14ac:dyDescent="0.15">
      <c r="A326">
        <v>18</v>
      </c>
      <c r="B326">
        <v>10</v>
      </c>
      <c r="C326">
        <v>1296972.65625</v>
      </c>
      <c r="D326">
        <v>-26261868.350059342</v>
      </c>
      <c r="E326">
        <v>1.5452726393505869E-5</v>
      </c>
      <c r="F326">
        <v>1.6348198136847576E-5</v>
      </c>
      <c r="G326">
        <v>-8.9547174334170731E-7</v>
      </c>
      <c r="H326" t="b">
        <v>1</v>
      </c>
    </row>
    <row r="327" spans="1:8" x14ac:dyDescent="0.15">
      <c r="A327">
        <v>18</v>
      </c>
      <c r="B327">
        <v>11</v>
      </c>
      <c r="C327">
        <v>1302783.203125</v>
      </c>
      <c r="D327">
        <v>-2705243.0949589168</v>
      </c>
      <c r="E327">
        <v>1.6267046915421518E-5</v>
      </c>
      <c r="F327">
        <v>1.6348198136847576E-5</v>
      </c>
      <c r="G327">
        <v>-8.1151221426058569E-8</v>
      </c>
      <c r="H327" t="b">
        <v>1</v>
      </c>
    </row>
    <row r="328" spans="1:8" x14ac:dyDescent="0.15">
      <c r="A328">
        <v>18</v>
      </c>
      <c r="B328">
        <v>12</v>
      </c>
      <c r="C328">
        <v>1305688.4765625</v>
      </c>
      <c r="D328">
        <v>22862400.512774032</v>
      </c>
      <c r="E328">
        <v>1.6970279113994773E-5</v>
      </c>
      <c r="F328">
        <v>1.6348198136847576E-5</v>
      </c>
      <c r="G328">
        <v>6.2208097714719682E-7</v>
      </c>
      <c r="H328" t="b">
        <v>0</v>
      </c>
    </row>
    <row r="329" spans="1:8" x14ac:dyDescent="0.15">
      <c r="A329">
        <v>18</v>
      </c>
      <c r="B329">
        <v>13</v>
      </c>
      <c r="C329">
        <v>1304235.83984375</v>
      </c>
      <c r="D329">
        <v>9355778.0507926382</v>
      </c>
      <c r="E329">
        <v>1.6615256429104489E-5</v>
      </c>
      <c r="F329">
        <v>1.6348198136847576E-5</v>
      </c>
      <c r="G329">
        <v>2.6705829225691214E-7</v>
      </c>
      <c r="H329" t="b">
        <v>0</v>
      </c>
    </row>
    <row r="330" spans="1:8" x14ac:dyDescent="0.15">
      <c r="A330">
        <v>18</v>
      </c>
      <c r="B330">
        <v>14</v>
      </c>
      <c r="C330">
        <v>1303035.83984375</v>
      </c>
      <c r="D330">
        <v>-708711.64121515525</v>
      </c>
      <c r="E330">
        <v>1.6327123943689481E-5</v>
      </c>
      <c r="F330">
        <v>1.6348198136847576E-5</v>
      </c>
      <c r="G330">
        <v>-2.1074193158095714E-8</v>
      </c>
      <c r="H330" t="b">
        <v>1</v>
      </c>
    </row>
    <row r="331" spans="1:8" x14ac:dyDescent="0.15">
      <c r="A331">
        <v>18</v>
      </c>
      <c r="B331">
        <v>15</v>
      </c>
      <c r="C331">
        <v>1303635.83984375</v>
      </c>
      <c r="D331">
        <v>4202371.3253142564</v>
      </c>
      <c r="E331">
        <v>1.6470612211941027E-5</v>
      </c>
      <c r="F331">
        <v>1.6348198136847576E-5</v>
      </c>
      <c r="G331">
        <v>1.2241407509345082E-7</v>
      </c>
      <c r="H331" t="b">
        <v>0</v>
      </c>
    </row>
    <row r="332" spans="1:8" x14ac:dyDescent="0.15">
      <c r="A332">
        <v>18</v>
      </c>
      <c r="B332">
        <v>16</v>
      </c>
      <c r="C332">
        <v>1303335.83984375</v>
      </c>
      <c r="D332">
        <v>1716855.5938464415</v>
      </c>
      <c r="E332">
        <v>1.6398725412128832E-5</v>
      </c>
      <c r="F332">
        <v>1.6348198136847576E-5</v>
      </c>
      <c r="G332">
        <v>5.052727528125531E-8</v>
      </c>
      <c r="H332" t="b">
        <v>0</v>
      </c>
    </row>
    <row r="333" spans="1:8" x14ac:dyDescent="0.15">
      <c r="A333">
        <v>18</v>
      </c>
      <c r="B333">
        <v>17</v>
      </c>
      <c r="C333">
        <v>1302975.83984375</v>
      </c>
      <c r="D333">
        <v>-1186666.8488640918</v>
      </c>
      <c r="E333">
        <v>1.6312838143868259E-5</v>
      </c>
      <c r="F333">
        <v>1.6348198136847576E-5</v>
      </c>
      <c r="G333">
        <v>-3.535999297931688E-8</v>
      </c>
      <c r="H333" t="b">
        <v>1</v>
      </c>
    </row>
    <row r="334" spans="1:8" x14ac:dyDescent="0.15">
      <c r="A334">
        <v>18</v>
      </c>
      <c r="B334">
        <v>18</v>
      </c>
      <c r="C334">
        <v>1303155.83984375</v>
      </c>
      <c r="D334">
        <v>254278.19263290887</v>
      </c>
      <c r="E334">
        <v>1.6355728064704338E-5</v>
      </c>
      <c r="F334">
        <v>1.6348198136847576E-5</v>
      </c>
      <c r="G334">
        <v>7.5299278567621415E-9</v>
      </c>
      <c r="H334" t="b">
        <v>0</v>
      </c>
    </row>
    <row r="335" spans="1:8" x14ac:dyDescent="0.15">
      <c r="A335">
        <v>18</v>
      </c>
      <c r="B335">
        <v>19</v>
      </c>
      <c r="C335">
        <v>1303371.83984375</v>
      </c>
      <c r="D335">
        <v>2011876.0819946027</v>
      </c>
      <c r="E335">
        <v>1.6407334831781192E-5</v>
      </c>
      <c r="F335">
        <v>1.6348198136847576E-5</v>
      </c>
      <c r="G335">
        <v>5.9136694933615289E-8</v>
      </c>
      <c r="H335" t="b">
        <v>0</v>
      </c>
    </row>
    <row r="336" spans="1:8" x14ac:dyDescent="0.15">
      <c r="A336">
        <v>18</v>
      </c>
      <c r="B336">
        <v>20</v>
      </c>
      <c r="C336">
        <v>1303263.83984375</v>
      </c>
      <c r="D336">
        <v>1129196.2079859271</v>
      </c>
      <c r="E336">
        <v>1.6381512841176987E-5</v>
      </c>
      <c r="F336">
        <v>1.6348198136847576E-5</v>
      </c>
      <c r="G336">
        <v>3.3314704329410414E-8</v>
      </c>
      <c r="H336" t="b">
        <v>0</v>
      </c>
    </row>
    <row r="337" spans="1:8" x14ac:dyDescent="0.15">
      <c r="A337">
        <v>18</v>
      </c>
      <c r="B337">
        <v>21</v>
      </c>
      <c r="C337">
        <v>1303317.83984375</v>
      </c>
      <c r="D337">
        <v>1569634.3574698889</v>
      </c>
      <c r="E337">
        <v>1.6394421229556362E-5</v>
      </c>
      <c r="F337">
        <v>1.6348198136847576E-5</v>
      </c>
      <c r="G337">
        <v>4.6223092708785304E-8</v>
      </c>
      <c r="H337" t="b">
        <v>0</v>
      </c>
    </row>
    <row r="338" spans="1:8" x14ac:dyDescent="0.15">
      <c r="A338">
        <v>18</v>
      </c>
      <c r="B338">
        <v>22</v>
      </c>
      <c r="C338">
        <v>1303290.83984375</v>
      </c>
      <c r="D338">
        <v>1349137.5453606884</v>
      </c>
      <c r="E338">
        <v>1.6387964848287736E-5</v>
      </c>
      <c r="F338">
        <v>1.6348198136847576E-5</v>
      </c>
      <c r="G338">
        <v>3.9766711440159902E-8</v>
      </c>
      <c r="H338" t="b">
        <v>0</v>
      </c>
    </row>
    <row r="339" spans="1:8" x14ac:dyDescent="0.15">
      <c r="A339">
        <v>18</v>
      </c>
      <c r="B339">
        <v>23</v>
      </c>
      <c r="C339">
        <v>1303258.4398437501</v>
      </c>
      <c r="D339">
        <v>1085266.171404568</v>
      </c>
      <c r="E339">
        <v>1.6380222718884167E-5</v>
      </c>
      <c r="F339">
        <v>1.6348198136847576E-5</v>
      </c>
      <c r="G339">
        <v>3.2024582036590437E-8</v>
      </c>
      <c r="H339" t="b">
        <v>0</v>
      </c>
    </row>
    <row r="340" spans="1:8" x14ac:dyDescent="0.15">
      <c r="A340">
        <v>18</v>
      </c>
      <c r="B340">
        <v>24</v>
      </c>
      <c r="C340">
        <v>1303274.63984375</v>
      </c>
      <c r="D340">
        <v>1217184.2383598599</v>
      </c>
      <c r="E340">
        <v>1.6384095411089749E-5</v>
      </c>
      <c r="F340">
        <v>1.6348198136847576E-5</v>
      </c>
      <c r="G340">
        <v>3.5897274242172657E-8</v>
      </c>
      <c r="H340" t="b">
        <v>0</v>
      </c>
    </row>
    <row r="341" spans="1:8" x14ac:dyDescent="0.15">
      <c r="A341">
        <v>18</v>
      </c>
      <c r="B341">
        <v>25</v>
      </c>
      <c r="C341">
        <v>1303294.07984375</v>
      </c>
      <c r="D341">
        <v>1375563.1212277948</v>
      </c>
      <c r="E341">
        <v>1.6388739245472013E-5</v>
      </c>
      <c r="F341">
        <v>1.6348198136847576E-5</v>
      </c>
      <c r="G341">
        <v>4.0541108624436408E-8</v>
      </c>
      <c r="H341" t="b">
        <v>0</v>
      </c>
    </row>
    <row r="342" spans="1:8" x14ac:dyDescent="0.15">
      <c r="A342">
        <v>18</v>
      </c>
      <c r="B342">
        <v>26</v>
      </c>
      <c r="C342">
        <v>1303284.35984375</v>
      </c>
      <c r="D342">
        <v>1296377.1637133057</v>
      </c>
      <c r="E342">
        <v>1.6386418200945752E-5</v>
      </c>
      <c r="F342">
        <v>1.6348198136847576E-5</v>
      </c>
      <c r="G342">
        <v>3.8220064098175196E-8</v>
      </c>
      <c r="H342" t="b">
        <v>0</v>
      </c>
    </row>
    <row r="343" spans="1:8" x14ac:dyDescent="0.15">
      <c r="A343">
        <v>19</v>
      </c>
      <c r="B343">
        <v>1</v>
      </c>
      <c r="C343">
        <v>6050000</v>
      </c>
      <c r="D343">
        <v>1.3021971132642478E+18</v>
      </c>
      <c r="E343">
        <v>536.87092200000006</v>
      </c>
      <c r="F343">
        <v>2.5762736072465486E-5</v>
      </c>
      <c r="G343">
        <v>536.87089623726399</v>
      </c>
      <c r="H343" t="b">
        <v>0</v>
      </c>
    </row>
    <row r="344" spans="1:8" x14ac:dyDescent="0.15">
      <c r="A344">
        <v>19</v>
      </c>
      <c r="B344">
        <v>2</v>
      </c>
      <c r="C344">
        <v>3075000</v>
      </c>
      <c r="D344">
        <v>1.3021971132642478E+18</v>
      </c>
      <c r="E344">
        <v>536.87092200000006</v>
      </c>
      <c r="F344">
        <v>2.5762736072465486E-5</v>
      </c>
      <c r="G344">
        <v>536.87089623726399</v>
      </c>
      <c r="H344" t="b">
        <v>0</v>
      </c>
    </row>
    <row r="345" spans="1:8" x14ac:dyDescent="0.15">
      <c r="A345">
        <v>19</v>
      </c>
      <c r="B345">
        <v>3</v>
      </c>
      <c r="C345">
        <v>1587500</v>
      </c>
      <c r="D345">
        <v>630142985163811.38</v>
      </c>
      <c r="E345">
        <v>0.7138059368254065</v>
      </c>
      <c r="F345">
        <v>2.5762736125978236E-5</v>
      </c>
      <c r="G345">
        <v>0.71378017408928052</v>
      </c>
      <c r="H345" t="b">
        <v>0</v>
      </c>
    </row>
    <row r="346" spans="1:8" x14ac:dyDescent="0.15">
      <c r="A346">
        <v>19</v>
      </c>
      <c r="B346">
        <v>4</v>
      </c>
      <c r="C346">
        <v>843750</v>
      </c>
      <c r="D346">
        <v>-174467.33392275794</v>
      </c>
      <c r="E346">
        <v>3.1151136755281401E-6</v>
      </c>
      <c r="F346">
        <v>2.5762736125966368E-5</v>
      </c>
      <c r="G346">
        <v>-2.2647622450438227E-5</v>
      </c>
      <c r="H346" t="b">
        <v>1</v>
      </c>
    </row>
    <row r="347" spans="1:8" x14ac:dyDescent="0.15">
      <c r="A347">
        <v>19</v>
      </c>
      <c r="B347">
        <v>5</v>
      </c>
      <c r="C347">
        <v>1215625</v>
      </c>
      <c r="D347">
        <v>532049022354.89246</v>
      </c>
      <c r="E347">
        <v>2.1959120319560914E-3</v>
      </c>
      <c r="F347">
        <v>2.5762736125966527E-5</v>
      </c>
      <c r="G347">
        <v>2.1701492958301248E-3</v>
      </c>
      <c r="H347" t="b">
        <v>0</v>
      </c>
    </row>
    <row r="348" spans="1:8" x14ac:dyDescent="0.15">
      <c r="A348">
        <v>19</v>
      </c>
      <c r="B348">
        <v>6</v>
      </c>
      <c r="C348">
        <v>1029687.5</v>
      </c>
      <c r="D348">
        <v>2238652704.6789851</v>
      </c>
      <c r="E348">
        <v>5.8810146183455322E-5</v>
      </c>
      <c r="F348">
        <v>2.5762736125966371E-5</v>
      </c>
      <c r="G348">
        <v>3.3047410057488952E-5</v>
      </c>
      <c r="H348" t="b">
        <v>0</v>
      </c>
    </row>
    <row r="349" spans="1:8" x14ac:dyDescent="0.15">
      <c r="A349">
        <v>19</v>
      </c>
      <c r="B349">
        <v>7</v>
      </c>
      <c r="C349">
        <v>936718.75</v>
      </c>
      <c r="D349">
        <v>-2462927.6085464908</v>
      </c>
      <c r="E349">
        <v>1.0451371667919904E-5</v>
      </c>
      <c r="F349">
        <v>2.5762736125966364E-5</v>
      </c>
      <c r="G349">
        <v>-1.5311364458046462E-5</v>
      </c>
      <c r="H349" t="b">
        <v>1</v>
      </c>
    </row>
    <row r="350" spans="1:8" x14ac:dyDescent="0.15">
      <c r="A350">
        <v>19</v>
      </c>
      <c r="B350">
        <v>8</v>
      </c>
      <c r="C350">
        <v>983203.125</v>
      </c>
      <c r="D350">
        <v>-101150467.75698629</v>
      </c>
      <c r="E350">
        <v>2.0246949731489872E-5</v>
      </c>
      <c r="F350">
        <v>2.5762736125966368E-5</v>
      </c>
      <c r="G350">
        <v>-5.5157863944764952E-6</v>
      </c>
      <c r="H350" t="b">
        <v>1</v>
      </c>
    </row>
    <row r="351" spans="1:8" x14ac:dyDescent="0.15">
      <c r="A351">
        <v>19</v>
      </c>
      <c r="B351">
        <v>9</v>
      </c>
      <c r="C351">
        <v>1006445.3125</v>
      </c>
      <c r="D351">
        <v>449297325.76861984</v>
      </c>
      <c r="E351">
        <v>3.4858140500732512E-5</v>
      </c>
      <c r="F351">
        <v>2.5762736125966368E-5</v>
      </c>
      <c r="G351">
        <v>9.0954043747661449E-6</v>
      </c>
      <c r="H351" t="b">
        <v>0</v>
      </c>
    </row>
    <row r="352" spans="1:8" x14ac:dyDescent="0.15">
      <c r="A352">
        <v>19</v>
      </c>
      <c r="B352">
        <v>10</v>
      </c>
      <c r="C352">
        <v>994824.21875</v>
      </c>
      <c r="D352">
        <v>31325082.06573109</v>
      </c>
      <c r="E352">
        <v>2.6633423091983574E-5</v>
      </c>
      <c r="F352">
        <v>2.5762736125966368E-5</v>
      </c>
      <c r="G352">
        <v>8.7068696601720697E-7</v>
      </c>
      <c r="H352" t="b">
        <v>0</v>
      </c>
    </row>
    <row r="353" spans="1:8" x14ac:dyDescent="0.15">
      <c r="A353">
        <v>19</v>
      </c>
      <c r="B353">
        <v>11</v>
      </c>
      <c r="C353">
        <v>989013.671875</v>
      </c>
      <c r="D353">
        <v>-67946638.32252264</v>
      </c>
      <c r="E353">
        <v>2.3236560237701986E-5</v>
      </c>
      <c r="F353">
        <v>2.5762736125966368E-5</v>
      </c>
      <c r="G353">
        <v>-2.5261758882643813E-6</v>
      </c>
      <c r="H353" t="b">
        <v>1</v>
      </c>
    </row>
    <row r="354" spans="1:8" x14ac:dyDescent="0.15">
      <c r="A354">
        <v>19</v>
      </c>
      <c r="B354">
        <v>12</v>
      </c>
      <c r="C354">
        <v>991918.9453125</v>
      </c>
      <c r="D354">
        <v>-27665545.906882491</v>
      </c>
      <c r="E354">
        <v>2.488103679137777E-5</v>
      </c>
      <c r="F354">
        <v>2.5762736125966368E-5</v>
      </c>
      <c r="G354">
        <v>-8.8169933458859799E-7</v>
      </c>
      <c r="H354" t="b">
        <v>1</v>
      </c>
    </row>
    <row r="355" spans="1:8" x14ac:dyDescent="0.15">
      <c r="A355">
        <v>19</v>
      </c>
      <c r="B355">
        <v>13</v>
      </c>
      <c r="C355">
        <v>993371.58203125</v>
      </c>
      <c r="D355">
        <v>-652891.78513144539</v>
      </c>
      <c r="E355">
        <v>2.5743341181689899E-5</v>
      </c>
      <c r="F355">
        <v>2.5762736125966368E-5</v>
      </c>
      <c r="G355">
        <v>-1.9394944276468647E-8</v>
      </c>
      <c r="H355" t="b">
        <v>1</v>
      </c>
    </row>
    <row r="356" spans="1:8" x14ac:dyDescent="0.15">
      <c r="A356">
        <v>19</v>
      </c>
      <c r="B356">
        <v>14</v>
      </c>
      <c r="C356">
        <v>993871.58203125</v>
      </c>
      <c r="D356">
        <v>9778497.844385108</v>
      </c>
      <c r="E356">
        <v>2.6046529649344637E-5</v>
      </c>
      <c r="F356">
        <v>2.5762736125966368E-5</v>
      </c>
      <c r="G356">
        <v>2.8379352337826972E-7</v>
      </c>
      <c r="H356" t="b">
        <v>0</v>
      </c>
    </row>
    <row r="357" spans="1:8" x14ac:dyDescent="0.15">
      <c r="A357">
        <v>19</v>
      </c>
      <c r="B357">
        <v>15</v>
      </c>
      <c r="C357">
        <v>993621.58203125</v>
      </c>
      <c r="D357">
        <v>4488580.0208007274</v>
      </c>
      <c r="E357">
        <v>2.5894523481908174E-5</v>
      </c>
      <c r="F357">
        <v>2.5762736125966368E-5</v>
      </c>
      <c r="G357">
        <v>1.3178735594180675E-7</v>
      </c>
      <c r="H357" t="b">
        <v>0</v>
      </c>
    </row>
    <row r="358" spans="1:8" x14ac:dyDescent="0.15">
      <c r="A358">
        <v>19</v>
      </c>
      <c r="B358">
        <v>16</v>
      </c>
      <c r="C358">
        <v>993321.58203125</v>
      </c>
      <c r="D358">
        <v>-1663492.9678761445</v>
      </c>
      <c r="E358">
        <v>2.5713203579006923E-5</v>
      </c>
      <c r="F358">
        <v>2.5762736125966368E-5</v>
      </c>
      <c r="G358">
        <v>-4.9532546959444614E-8</v>
      </c>
      <c r="H358" t="b">
        <v>1</v>
      </c>
    </row>
    <row r="359" spans="1:8" x14ac:dyDescent="0.15">
      <c r="A359">
        <v>19</v>
      </c>
      <c r="B359">
        <v>17</v>
      </c>
      <c r="C359">
        <v>993471.58203125</v>
      </c>
      <c r="D359">
        <v>1385967.5799809895</v>
      </c>
      <c r="E359">
        <v>2.5803715144830422E-5</v>
      </c>
      <c r="F359">
        <v>2.5762736125966368E-5</v>
      </c>
      <c r="G359">
        <v>4.0979018864054946E-8</v>
      </c>
      <c r="H359" t="b">
        <v>0</v>
      </c>
    </row>
    <row r="360" spans="1:8" x14ac:dyDescent="0.15">
      <c r="A360">
        <v>19</v>
      </c>
      <c r="B360">
        <v>18</v>
      </c>
      <c r="C360">
        <v>993396.58203125</v>
      </c>
      <c r="D360">
        <v>-145386.32717954161</v>
      </c>
      <c r="E360">
        <v>2.5758422321526064E-5</v>
      </c>
      <c r="F360">
        <v>2.5762736125966368E-5</v>
      </c>
      <c r="G360">
        <v>-4.3138044403036064E-9</v>
      </c>
      <c r="H360" t="b">
        <v>1</v>
      </c>
    </row>
    <row r="361" spans="1:8" x14ac:dyDescent="0.15">
      <c r="A361">
        <v>19</v>
      </c>
      <c r="B361">
        <v>19</v>
      </c>
      <c r="C361">
        <v>993434.08203125</v>
      </c>
      <c r="D361">
        <v>618632.17659756111</v>
      </c>
      <c r="E361">
        <v>2.5781059466076973E-5</v>
      </c>
      <c r="F361">
        <v>2.5762736125966368E-5</v>
      </c>
      <c r="G361">
        <v>1.8323340110605417E-8</v>
      </c>
      <c r="H361" t="b">
        <v>0</v>
      </c>
    </row>
    <row r="362" spans="1:8" x14ac:dyDescent="0.15">
      <c r="A362">
        <v>19</v>
      </c>
      <c r="B362">
        <v>20</v>
      </c>
      <c r="C362">
        <v>993479.08203125</v>
      </c>
      <c r="D362">
        <v>1539740.478957006</v>
      </c>
      <c r="E362">
        <v>2.5808245776896686E-5</v>
      </c>
      <c r="F362">
        <v>2.5762736125966368E-5</v>
      </c>
      <c r="G362">
        <v>4.5509650930318193E-8</v>
      </c>
      <c r="H362" t="b">
        <v>0</v>
      </c>
    </row>
    <row r="363" spans="1:8" x14ac:dyDescent="0.15">
      <c r="A363">
        <v>19</v>
      </c>
      <c r="B363">
        <v>21</v>
      </c>
      <c r="C363">
        <v>993456.58203125</v>
      </c>
      <c r="D363">
        <v>1078635.065130431</v>
      </c>
      <c r="E363">
        <v>2.5794650648328862E-5</v>
      </c>
      <c r="F363">
        <v>2.5762736125966368E-5</v>
      </c>
      <c r="G363">
        <v>3.1914522362494967E-8</v>
      </c>
      <c r="H363" t="b">
        <v>0</v>
      </c>
    </row>
    <row r="364" spans="1:8" x14ac:dyDescent="0.15">
      <c r="A364">
        <v>19</v>
      </c>
      <c r="B364">
        <v>22</v>
      </c>
      <c r="C364">
        <v>993429.58203125</v>
      </c>
      <c r="D364">
        <v>526774.92408837262</v>
      </c>
      <c r="E364">
        <v>2.5778342030400634E-5</v>
      </c>
      <c r="F364">
        <v>2.5762736125966368E-5</v>
      </c>
      <c r="G364">
        <v>1.5605904434266735E-8</v>
      </c>
      <c r="H364" t="b">
        <v>0</v>
      </c>
    </row>
    <row r="365" spans="1:8" x14ac:dyDescent="0.15">
      <c r="A365">
        <v>19</v>
      </c>
      <c r="B365">
        <v>23</v>
      </c>
      <c r="C365">
        <v>993443.08203125</v>
      </c>
      <c r="D365">
        <v>802397.71857893711</v>
      </c>
      <c r="E365">
        <v>2.5786492411599705E-5</v>
      </c>
      <c r="F365">
        <v>2.5762736125966368E-5</v>
      </c>
      <c r="G365">
        <v>2.3756285633337777E-8</v>
      </c>
      <c r="H365" t="b">
        <v>0</v>
      </c>
    </row>
    <row r="366" spans="1:8" x14ac:dyDescent="0.15">
      <c r="A366">
        <v>19</v>
      </c>
      <c r="B366">
        <v>24</v>
      </c>
      <c r="C366">
        <v>993459.28203124995</v>
      </c>
      <c r="D366">
        <v>1133915.706281153</v>
      </c>
      <c r="E366">
        <v>2.579628203871976E-5</v>
      </c>
      <c r="F366">
        <v>2.5762736125966368E-5</v>
      </c>
      <c r="G366">
        <v>3.3545912753392052E-8</v>
      </c>
      <c r="H366" t="b">
        <v>0</v>
      </c>
    </row>
    <row r="367" spans="1:8" x14ac:dyDescent="0.15">
      <c r="A367">
        <v>19</v>
      </c>
      <c r="B367">
        <v>25</v>
      </c>
      <c r="C367">
        <v>993451.18203124998</v>
      </c>
      <c r="D367">
        <v>968125.41265340382</v>
      </c>
      <c r="E367">
        <v>2.5791388155911544E-5</v>
      </c>
      <c r="F367">
        <v>2.5762736125966368E-5</v>
      </c>
      <c r="G367">
        <v>2.8652029945176733E-8</v>
      </c>
      <c r="H367" t="b">
        <v>0</v>
      </c>
    </row>
    <row r="368" spans="1:8" x14ac:dyDescent="0.15">
      <c r="A368">
        <v>19</v>
      </c>
      <c r="B368">
        <v>26</v>
      </c>
      <c r="C368">
        <v>993455.23203125002</v>
      </c>
      <c r="D368">
        <v>1051001.1985837871</v>
      </c>
      <c r="E368">
        <v>2.5793834989178317E-5</v>
      </c>
      <c r="F368">
        <v>2.5762736125966368E-5</v>
      </c>
      <c r="G368">
        <v>3.1098863211949043E-8</v>
      </c>
      <c r="H368" t="b">
        <v>0</v>
      </c>
    </row>
    <row r="369" spans="1:8" x14ac:dyDescent="0.15">
      <c r="A369">
        <v>19</v>
      </c>
      <c r="B369">
        <v>27</v>
      </c>
      <c r="C369">
        <v>993453.20703125</v>
      </c>
      <c r="D369">
        <v>1009558.4657720866</v>
      </c>
      <c r="E369">
        <v>2.5792611545510924E-5</v>
      </c>
      <c r="F369">
        <v>2.5762736125966368E-5</v>
      </c>
      <c r="G369">
        <v>2.9875419544556005E-8</v>
      </c>
      <c r="H369" t="b">
        <v>0</v>
      </c>
    </row>
    <row r="370" spans="1:8" x14ac:dyDescent="0.15">
      <c r="A370">
        <v>19</v>
      </c>
      <c r="B370">
        <v>28</v>
      </c>
      <c r="C370">
        <v>993450.77703124995</v>
      </c>
      <c r="D370">
        <v>959839.96350418194</v>
      </c>
      <c r="E370">
        <v>2.5791143484479101E-5</v>
      </c>
      <c r="F370">
        <v>2.5762736125966368E-5</v>
      </c>
      <c r="G370">
        <v>2.8407358512732997E-8</v>
      </c>
      <c r="H370" t="b">
        <v>0</v>
      </c>
    </row>
    <row r="371" spans="1:8" x14ac:dyDescent="0.15">
      <c r="A371">
        <v>19</v>
      </c>
      <c r="B371">
        <v>29</v>
      </c>
      <c r="C371">
        <v>993451.99203124992</v>
      </c>
      <c r="D371">
        <v>984605.11274772789</v>
      </c>
      <c r="E371">
        <v>2.5791874778117186E-5</v>
      </c>
      <c r="F371">
        <v>2.5762736125966368E-5</v>
      </c>
      <c r="G371">
        <v>2.9138652150818758E-8</v>
      </c>
      <c r="H371" t="b">
        <v>0</v>
      </c>
    </row>
    <row r="372" spans="1:8" x14ac:dyDescent="0.15">
      <c r="A372">
        <v>20</v>
      </c>
      <c r="B372">
        <v>1</v>
      </c>
      <c r="C372">
        <v>6050000</v>
      </c>
      <c r="D372">
        <v>2.1491936769004132E+18</v>
      </c>
      <c r="E372">
        <v>536.87092200000006</v>
      </c>
      <c r="F372">
        <v>1.6373376638512127E-5</v>
      </c>
      <c r="G372">
        <v>536.87090562662343</v>
      </c>
      <c r="H372" t="b">
        <v>0</v>
      </c>
    </row>
    <row r="373" spans="1:8" x14ac:dyDescent="0.15">
      <c r="A373">
        <v>20</v>
      </c>
      <c r="B373">
        <v>2</v>
      </c>
      <c r="C373">
        <v>3075000</v>
      </c>
      <c r="D373">
        <v>2011118215029393.8</v>
      </c>
      <c r="E373">
        <v>1.2509194512685509</v>
      </c>
      <c r="F373">
        <v>1.6373376592770938E-5</v>
      </c>
      <c r="G373">
        <v>1.2509030778919581</v>
      </c>
      <c r="H373" t="b">
        <v>0</v>
      </c>
    </row>
    <row r="374" spans="1:8" x14ac:dyDescent="0.15">
      <c r="A374">
        <v>20</v>
      </c>
      <c r="B374">
        <v>3</v>
      </c>
      <c r="C374">
        <v>1587500</v>
      </c>
      <c r="D374">
        <v>2197050217.4738946</v>
      </c>
      <c r="E374">
        <v>3.9927974897532018E-5</v>
      </c>
      <c r="F374">
        <v>1.6373376592761435E-5</v>
      </c>
      <c r="G374">
        <v>2.3554598304770584E-5</v>
      </c>
      <c r="H374" t="b">
        <v>0</v>
      </c>
    </row>
    <row r="375" spans="1:8" x14ac:dyDescent="0.15">
      <c r="A375">
        <v>20</v>
      </c>
      <c r="B375">
        <v>4</v>
      </c>
      <c r="C375">
        <v>843750</v>
      </c>
      <c r="D375">
        <v>-42630.132043759251</v>
      </c>
      <c r="E375">
        <v>-5.9084492722717392E-6</v>
      </c>
      <c r="F375">
        <v>1.6373376592761431E-5</v>
      </c>
      <c r="G375">
        <v>-2.2281825865033172E-5</v>
      </c>
      <c r="H375" t="b">
        <v>1</v>
      </c>
    </row>
    <row r="376" spans="1:8" x14ac:dyDescent="0.15">
      <c r="A376">
        <v>20</v>
      </c>
      <c r="B376">
        <v>5</v>
      </c>
      <c r="C376">
        <v>1215625</v>
      </c>
      <c r="D376">
        <v>-345464.34249535401</v>
      </c>
      <c r="E376">
        <v>2.6908765311287224E-6</v>
      </c>
      <c r="F376">
        <v>1.6373376592761435E-5</v>
      </c>
      <c r="G376">
        <v>-1.3682500061632712E-5</v>
      </c>
      <c r="H376" t="b">
        <v>1</v>
      </c>
    </row>
    <row r="377" spans="1:8" x14ac:dyDescent="0.15">
      <c r="A377">
        <v>20</v>
      </c>
      <c r="B377">
        <v>6</v>
      </c>
      <c r="C377">
        <v>1401562.5</v>
      </c>
      <c r="D377">
        <v>-9681944.8344030418</v>
      </c>
      <c r="E377">
        <v>8.6317499126313679E-6</v>
      </c>
      <c r="F377">
        <v>1.6373376592761435E-5</v>
      </c>
      <c r="G377">
        <v>-7.7416266801300669E-6</v>
      </c>
      <c r="H377" t="b">
        <v>1</v>
      </c>
    </row>
    <row r="378" spans="1:8" x14ac:dyDescent="0.15">
      <c r="A378">
        <v>20</v>
      </c>
      <c r="B378">
        <v>7</v>
      </c>
      <c r="C378">
        <v>1494531.25</v>
      </c>
      <c r="D378">
        <v>-36716322.960985824</v>
      </c>
      <c r="E378">
        <v>1.4965428018973315E-5</v>
      </c>
      <c r="F378">
        <v>1.6373376592761435E-5</v>
      </c>
      <c r="G378">
        <v>-1.4079485737881197E-6</v>
      </c>
      <c r="H378" t="b">
        <v>1</v>
      </c>
    </row>
    <row r="379" spans="1:8" x14ac:dyDescent="0.15">
      <c r="A379">
        <v>20</v>
      </c>
      <c r="B379">
        <v>8</v>
      </c>
      <c r="C379">
        <v>1541015.625</v>
      </c>
      <c r="D379">
        <v>487193693.25139487</v>
      </c>
      <c r="E379">
        <v>2.3791325571205547E-5</v>
      </c>
      <c r="F379">
        <v>1.6373376592761435E-5</v>
      </c>
      <c r="G379">
        <v>7.4179489784441122E-6</v>
      </c>
      <c r="H379" t="b">
        <v>0</v>
      </c>
    </row>
    <row r="380" spans="1:8" x14ac:dyDescent="0.15">
      <c r="A380">
        <v>20</v>
      </c>
      <c r="B380">
        <v>9</v>
      </c>
      <c r="C380">
        <v>1517773.4375</v>
      </c>
      <c r="D380">
        <v>74203995.167993471</v>
      </c>
      <c r="E380">
        <v>1.8170793213459858E-5</v>
      </c>
      <c r="F380">
        <v>1.6373376592761435E-5</v>
      </c>
      <c r="G380">
        <v>1.7974166206984232E-6</v>
      </c>
      <c r="H380" t="b">
        <v>0</v>
      </c>
    </row>
    <row r="381" spans="1:8" x14ac:dyDescent="0.15">
      <c r="A381">
        <v>20</v>
      </c>
      <c r="B381">
        <v>10</v>
      </c>
      <c r="C381">
        <v>1506152.34375</v>
      </c>
      <c r="D381">
        <v>-12041314.845255135</v>
      </c>
      <c r="E381">
        <v>1.5985020449666957E-5</v>
      </c>
      <c r="F381">
        <v>1.6373376592761435E-5</v>
      </c>
      <c r="G381">
        <v>-3.8835614309447742E-7</v>
      </c>
      <c r="H381" t="b">
        <v>1</v>
      </c>
    </row>
    <row r="382" spans="1:8" x14ac:dyDescent="0.15">
      <c r="A382">
        <v>20</v>
      </c>
      <c r="B382">
        <v>11</v>
      </c>
      <c r="C382">
        <v>1511962.890625</v>
      </c>
      <c r="D382">
        <v>21202692.732719414</v>
      </c>
      <c r="E382">
        <v>1.6967638179031381E-5</v>
      </c>
      <c r="F382">
        <v>1.6373376592761435E-5</v>
      </c>
      <c r="G382">
        <v>5.9426158626994661E-7</v>
      </c>
      <c r="H382" t="b">
        <v>0</v>
      </c>
    </row>
    <row r="383" spans="1:8" x14ac:dyDescent="0.15">
      <c r="A383">
        <v>20</v>
      </c>
      <c r="B383">
        <v>12</v>
      </c>
      <c r="C383">
        <v>1509057.6171875</v>
      </c>
      <c r="D383">
        <v>658672.58937688661</v>
      </c>
      <c r="E383">
        <v>1.6393361940486371E-5</v>
      </c>
      <c r="F383">
        <v>1.6373376592761435E-5</v>
      </c>
      <c r="G383">
        <v>1.998534772493666E-8</v>
      </c>
      <c r="H383" t="b">
        <v>0</v>
      </c>
    </row>
    <row r="384" spans="1:8" x14ac:dyDescent="0.15">
      <c r="A384">
        <v>20</v>
      </c>
      <c r="B384">
        <v>13</v>
      </c>
      <c r="C384">
        <v>1510510.25390625</v>
      </c>
      <c r="D384">
        <v>10462537.009575643</v>
      </c>
      <c r="E384">
        <v>1.6678303783945243E-5</v>
      </c>
      <c r="F384">
        <v>1.6373376592761435E-5</v>
      </c>
      <c r="G384">
        <v>3.0492719118380815E-7</v>
      </c>
      <c r="H384" t="b">
        <v>0</v>
      </c>
    </row>
    <row r="385" spans="1:8" x14ac:dyDescent="0.15">
      <c r="A385">
        <v>20</v>
      </c>
      <c r="B385">
        <v>14</v>
      </c>
      <c r="C385">
        <v>1510010.25390625</v>
      </c>
      <c r="D385">
        <v>6984508.7469304129</v>
      </c>
      <c r="E385">
        <v>1.6579749441395554E-5</v>
      </c>
      <c r="F385">
        <v>1.6373376592761435E-5</v>
      </c>
      <c r="G385">
        <v>2.0637284863411938E-7</v>
      </c>
      <c r="H385" t="b">
        <v>0</v>
      </c>
    </row>
    <row r="386" spans="1:8" x14ac:dyDescent="0.15">
      <c r="A386">
        <v>20</v>
      </c>
      <c r="B386">
        <v>15</v>
      </c>
      <c r="C386">
        <v>1509410.25390625</v>
      </c>
      <c r="D386">
        <v>2955782.7527753641</v>
      </c>
      <c r="E386">
        <v>1.6462177859008997E-5</v>
      </c>
      <c r="F386">
        <v>1.6373376592761435E-5</v>
      </c>
      <c r="G386">
        <v>8.880126624756236E-8</v>
      </c>
      <c r="H386" t="b">
        <v>0</v>
      </c>
    </row>
    <row r="387" spans="1:8" x14ac:dyDescent="0.15">
      <c r="A387">
        <v>20</v>
      </c>
      <c r="B387">
        <v>16</v>
      </c>
      <c r="C387">
        <v>1508690.25390625</v>
      </c>
      <c r="D387">
        <v>-1678301.0365533687</v>
      </c>
      <c r="E387">
        <v>1.6321922226272269E-5</v>
      </c>
      <c r="F387">
        <v>1.6373376592761435E-5</v>
      </c>
      <c r="G387">
        <v>-5.1454366489165878E-8</v>
      </c>
      <c r="H387" t="b">
        <v>1</v>
      </c>
    </row>
    <row r="388" spans="1:8" x14ac:dyDescent="0.15">
      <c r="A388">
        <v>20</v>
      </c>
      <c r="B388">
        <v>17</v>
      </c>
      <c r="C388">
        <v>1509050.25390625</v>
      </c>
      <c r="D388">
        <v>611263.39662842732</v>
      </c>
      <c r="E388">
        <v>1.6391927304111071E-5</v>
      </c>
      <c r="F388">
        <v>1.6373376592761435E-5</v>
      </c>
      <c r="G388">
        <v>1.8550711349636304E-8</v>
      </c>
      <c r="H388" t="b">
        <v>0</v>
      </c>
    </row>
    <row r="389" spans="1:8" x14ac:dyDescent="0.15">
      <c r="A389">
        <v>20</v>
      </c>
      <c r="B389">
        <v>18</v>
      </c>
      <c r="C389">
        <v>1509482.25390625</v>
      </c>
      <c r="D389">
        <v>3431015.4112491636</v>
      </c>
      <c r="E389">
        <v>1.6476248520746069E-5</v>
      </c>
      <c r="F389">
        <v>1.6373376592761435E-5</v>
      </c>
      <c r="G389">
        <v>1.0287192798463411E-7</v>
      </c>
      <c r="H389" t="b">
        <v>0</v>
      </c>
    </row>
    <row r="390" spans="1:8" x14ac:dyDescent="0.15">
      <c r="A390">
        <v>20</v>
      </c>
      <c r="B390">
        <v>19</v>
      </c>
      <c r="C390">
        <v>1509266.25390625</v>
      </c>
      <c r="D390">
        <v>2011656.7438729792</v>
      </c>
      <c r="E390">
        <v>1.6434057217741913E-5</v>
      </c>
      <c r="F390">
        <v>1.6373376592761435E-5</v>
      </c>
      <c r="G390">
        <v>6.0680624980478037E-8</v>
      </c>
      <c r="H390" t="b">
        <v>0</v>
      </c>
    </row>
    <row r="391" spans="1:8" x14ac:dyDescent="0.15">
      <c r="A391">
        <v>20</v>
      </c>
      <c r="B391">
        <v>20</v>
      </c>
      <c r="C391">
        <v>1509007.05390625</v>
      </c>
      <c r="D391">
        <v>333586.15025420184</v>
      </c>
      <c r="E391">
        <v>1.6383512645013197E-5</v>
      </c>
      <c r="F391">
        <v>1.6373376592761435E-5</v>
      </c>
      <c r="G391">
        <v>1.0136052251761944E-8</v>
      </c>
      <c r="H391" t="b">
        <v>0</v>
      </c>
    </row>
    <row r="392" spans="1:8" x14ac:dyDescent="0.15">
      <c r="A392">
        <v>20</v>
      </c>
      <c r="B392">
        <v>21</v>
      </c>
      <c r="C392">
        <v>1509136.6539062501</v>
      </c>
      <c r="D392">
        <v>1168967.5840662715</v>
      </c>
      <c r="E392">
        <v>1.6408766456255945E-5</v>
      </c>
      <c r="F392">
        <v>1.6373376592761435E-5</v>
      </c>
      <c r="G392">
        <v>3.5389863494510415E-8</v>
      </c>
      <c r="H392" t="b">
        <v>0</v>
      </c>
    </row>
    <row r="393" spans="1:8" x14ac:dyDescent="0.15">
      <c r="A393">
        <v>20</v>
      </c>
      <c r="B393">
        <v>22</v>
      </c>
      <c r="C393">
        <v>1509292.1739062502</v>
      </c>
      <c r="D393">
        <v>2181128.4797705505</v>
      </c>
      <c r="E393">
        <v>1.6439121446097698E-5</v>
      </c>
      <c r="F393">
        <v>1.6373376592761435E-5</v>
      </c>
      <c r="G393">
        <v>6.5744853336263643E-8</v>
      </c>
      <c r="H393" t="b">
        <v>0</v>
      </c>
    </row>
    <row r="394" spans="1:8" x14ac:dyDescent="0.15">
      <c r="A394">
        <v>20</v>
      </c>
      <c r="B394">
        <v>23</v>
      </c>
      <c r="C394">
        <v>1509214.4139062501</v>
      </c>
      <c r="D394">
        <v>1673710.0474575704</v>
      </c>
      <c r="E394">
        <v>1.6423936699256966E-5</v>
      </c>
      <c r="F394">
        <v>1.6373376592761435E-5</v>
      </c>
      <c r="G394">
        <v>5.056010649553112E-8</v>
      </c>
      <c r="H394" t="b">
        <v>0</v>
      </c>
    </row>
    <row r="395" spans="1:8" x14ac:dyDescent="0.15">
      <c r="A395">
        <v>20</v>
      </c>
      <c r="B395">
        <v>24</v>
      </c>
      <c r="C395">
        <v>1509121.1019062502</v>
      </c>
      <c r="D395">
        <v>1068393.9060571946</v>
      </c>
      <c r="E395">
        <v>1.6405735781285179E-5</v>
      </c>
      <c r="F395">
        <v>1.6373376592761435E-5</v>
      </c>
      <c r="G395">
        <v>3.235918852374469E-8</v>
      </c>
      <c r="H395" t="b">
        <v>0</v>
      </c>
    </row>
    <row r="396" spans="1:8" x14ac:dyDescent="0.15">
      <c r="A396">
        <v>20</v>
      </c>
      <c r="B396">
        <v>25</v>
      </c>
      <c r="C396">
        <v>1509167.7579062502</v>
      </c>
      <c r="D396">
        <v>1370613.0473811752</v>
      </c>
      <c r="E396">
        <v>1.6414834895197884E-5</v>
      </c>
      <c r="F396">
        <v>1.6373376592761435E-5</v>
      </c>
      <c r="G396">
        <v>4.1458302436449062E-8</v>
      </c>
      <c r="H396" t="b">
        <v>0</v>
      </c>
    </row>
    <row r="397" spans="1:8" x14ac:dyDescent="0.15">
      <c r="A397">
        <v>20</v>
      </c>
      <c r="B397">
        <v>26</v>
      </c>
      <c r="C397">
        <v>1509223.7451062503</v>
      </c>
      <c r="D397">
        <v>1734454.6836800522</v>
      </c>
      <c r="E397">
        <v>1.6425757977838247E-5</v>
      </c>
      <c r="F397">
        <v>1.6373376592761435E-5</v>
      </c>
      <c r="G397">
        <v>5.2381385076811745E-8</v>
      </c>
      <c r="H397" t="b">
        <v>0</v>
      </c>
    </row>
    <row r="398" spans="1:8" x14ac:dyDescent="0.15">
      <c r="A398">
        <v>20</v>
      </c>
      <c r="B398">
        <v>27</v>
      </c>
      <c r="C398">
        <v>1509195.7515062504</v>
      </c>
      <c r="D398">
        <v>1552395.5977998264</v>
      </c>
      <c r="E398">
        <v>1.642029654723446E-5</v>
      </c>
      <c r="F398">
        <v>1.6373376592761435E-5</v>
      </c>
      <c r="G398">
        <v>4.6919954473025223E-8</v>
      </c>
      <c r="H398" t="b">
        <v>0</v>
      </c>
    </row>
    <row r="399" spans="1:8" x14ac:dyDescent="0.15">
      <c r="A399">
        <v>20</v>
      </c>
      <c r="B399">
        <v>28</v>
      </c>
      <c r="C399">
        <v>1509162.1591862503</v>
      </c>
      <c r="D399">
        <v>1334235.366804762</v>
      </c>
      <c r="E399">
        <v>1.6413740903142955E-5</v>
      </c>
      <c r="F399">
        <v>1.6373376592761435E-5</v>
      </c>
      <c r="G399">
        <v>4.036431038152057E-8</v>
      </c>
      <c r="H399" t="b">
        <v>0</v>
      </c>
    </row>
    <row r="400" spans="1:8" x14ac:dyDescent="0.15">
      <c r="A400">
        <v>20</v>
      </c>
      <c r="B400">
        <v>29</v>
      </c>
      <c r="C400">
        <v>1509178.9553462502</v>
      </c>
      <c r="D400">
        <v>1443285.4529026346</v>
      </c>
      <c r="E400">
        <v>1.6417019359449467E-5</v>
      </c>
      <c r="F400">
        <v>1.6373376592761435E-5</v>
      </c>
      <c r="G400">
        <v>4.3642766688032383E-8</v>
      </c>
      <c r="H400" t="b">
        <v>0</v>
      </c>
    </row>
    <row r="401" spans="1:8" x14ac:dyDescent="0.15">
      <c r="A401">
        <v>20</v>
      </c>
      <c r="B401">
        <v>30</v>
      </c>
      <c r="C401">
        <v>1509199.1107382502</v>
      </c>
      <c r="D401">
        <v>1574232.2517165288</v>
      </c>
      <c r="E401">
        <v>1.6420952055560455E-5</v>
      </c>
      <c r="F401">
        <v>1.6373376592761435E-5</v>
      </c>
      <c r="G401">
        <v>4.7575462799020058E-8</v>
      </c>
      <c r="H401" t="b">
        <v>0</v>
      </c>
    </row>
    <row r="402" spans="1:8" x14ac:dyDescent="0.15">
      <c r="A402">
        <v>20</v>
      </c>
      <c r="B402">
        <v>31</v>
      </c>
      <c r="C402">
        <v>1509189.0330422502</v>
      </c>
      <c r="D402">
        <v>1508675.0224698167</v>
      </c>
      <c r="E402">
        <v>1.6418983742515858E-5</v>
      </c>
      <c r="F402">
        <v>1.6373376592761435E-5</v>
      </c>
      <c r="G402">
        <v>4.5607149754423054E-8</v>
      </c>
      <c r="H402" t="b">
        <v>0</v>
      </c>
    </row>
    <row r="403" spans="1:8" x14ac:dyDescent="0.15">
      <c r="A403">
        <v>21</v>
      </c>
      <c r="B403">
        <v>1</v>
      </c>
      <c r="C403">
        <v>6050000</v>
      </c>
      <c r="D403">
        <v>2.2534990593105646E+18</v>
      </c>
      <c r="E403">
        <v>522.40027381938444</v>
      </c>
      <c r="F403">
        <v>1.5571994936181E-5</v>
      </c>
      <c r="G403">
        <v>522.4002582473895</v>
      </c>
      <c r="H403" t="b">
        <v>0</v>
      </c>
    </row>
    <row r="404" spans="1:8" x14ac:dyDescent="0.15">
      <c r="A404">
        <v>21</v>
      </c>
      <c r="B404">
        <v>2</v>
      </c>
      <c r="C404">
        <v>3075000</v>
      </c>
      <c r="D404">
        <v>53356348499038.945</v>
      </c>
      <c r="E404">
        <v>5.5915616623578829E-2</v>
      </c>
      <c r="F404">
        <v>1.5571994950690227E-5</v>
      </c>
      <c r="G404">
        <v>5.5900044628628139E-2</v>
      </c>
      <c r="H404" t="b">
        <v>0</v>
      </c>
    </row>
    <row r="405" spans="1:8" x14ac:dyDescent="0.15">
      <c r="A405">
        <v>21</v>
      </c>
      <c r="B405">
        <v>3</v>
      </c>
      <c r="C405">
        <v>1587500</v>
      </c>
      <c r="D405">
        <v>-4095394.4464995135</v>
      </c>
      <c r="E405">
        <v>7.0149778181186426E-6</v>
      </c>
      <c r="F405">
        <v>1.5571994950689427E-5</v>
      </c>
      <c r="G405">
        <v>-8.5570171325707845E-6</v>
      </c>
      <c r="H405" t="b">
        <v>1</v>
      </c>
    </row>
    <row r="406" spans="1:8" x14ac:dyDescent="0.15">
      <c r="A406">
        <v>21</v>
      </c>
      <c r="B406">
        <v>4</v>
      </c>
      <c r="C406">
        <v>2331250</v>
      </c>
      <c r="D406">
        <v>541791751470.2771</v>
      </c>
      <c r="E406">
        <v>1.421551768408025E-3</v>
      </c>
      <c r="F406">
        <v>1.5571994950689359E-5</v>
      </c>
      <c r="G406">
        <v>1.4059797734573356E-3</v>
      </c>
      <c r="H406" t="b">
        <v>0</v>
      </c>
    </row>
    <row r="407" spans="1:8" x14ac:dyDescent="0.15">
      <c r="A407">
        <v>21</v>
      </c>
      <c r="B407">
        <v>5</v>
      </c>
      <c r="C407">
        <v>1959375</v>
      </c>
      <c r="D407">
        <v>14493400601.505278</v>
      </c>
      <c r="E407">
        <v>1.059495835805903E-4</v>
      </c>
      <c r="F407">
        <v>1.5571994950689427E-5</v>
      </c>
      <c r="G407">
        <v>9.0377588629900877E-5</v>
      </c>
      <c r="H407" t="b">
        <v>0</v>
      </c>
    </row>
    <row r="408" spans="1:8" x14ac:dyDescent="0.15">
      <c r="A408">
        <v>21</v>
      </c>
      <c r="B408">
        <v>6</v>
      </c>
      <c r="C408">
        <v>1773437.5</v>
      </c>
      <c r="D408">
        <v>269814182.59668416</v>
      </c>
      <c r="E408">
        <v>2.0247044272190258E-5</v>
      </c>
      <c r="F408">
        <v>1.5571994950689427E-5</v>
      </c>
      <c r="G408">
        <v>4.6750493215008309E-6</v>
      </c>
      <c r="H408" t="b">
        <v>0</v>
      </c>
    </row>
    <row r="409" spans="1:8" x14ac:dyDescent="0.15">
      <c r="A409">
        <v>21</v>
      </c>
      <c r="B409">
        <v>7</v>
      </c>
      <c r="C409">
        <v>1680468.75</v>
      </c>
      <c r="D409">
        <v>-48730302.15298184</v>
      </c>
      <c r="E409">
        <v>1.132286846902048E-5</v>
      </c>
      <c r="F409">
        <v>1.5571994950689427E-5</v>
      </c>
      <c r="G409">
        <v>-4.2491264816689472E-6</v>
      </c>
      <c r="H409" t="b">
        <v>1</v>
      </c>
    </row>
    <row r="410" spans="1:8" x14ac:dyDescent="0.15">
      <c r="A410">
        <v>21</v>
      </c>
      <c r="B410">
        <v>8</v>
      </c>
      <c r="C410">
        <v>1726953.125</v>
      </c>
      <c r="D410">
        <v>-36355027.320417218</v>
      </c>
      <c r="E410">
        <v>1.4225525113957724E-5</v>
      </c>
      <c r="F410">
        <v>1.5571994950689427E-5</v>
      </c>
      <c r="G410">
        <v>-1.3464698367317035E-6</v>
      </c>
      <c r="H410" t="b">
        <v>1</v>
      </c>
    </row>
    <row r="411" spans="1:8" x14ac:dyDescent="0.15">
      <c r="A411">
        <v>21</v>
      </c>
      <c r="B411">
        <v>9</v>
      </c>
      <c r="C411">
        <v>1750195.3125</v>
      </c>
      <c r="D411">
        <v>19322388.446361337</v>
      </c>
      <c r="E411">
        <v>1.6095326316143595E-5</v>
      </c>
      <c r="F411">
        <v>1.5571994950689427E-5</v>
      </c>
      <c r="G411">
        <v>5.2333136545416794E-7</v>
      </c>
      <c r="H411" t="b">
        <v>0</v>
      </c>
    </row>
    <row r="412" spans="1:8" x14ac:dyDescent="0.15">
      <c r="A412">
        <v>21</v>
      </c>
      <c r="B412">
        <v>10</v>
      </c>
      <c r="C412">
        <v>1738574.21875</v>
      </c>
      <c r="D412">
        <v>-16630162.889984488</v>
      </c>
      <c r="E412">
        <v>1.5041802766174378E-5</v>
      </c>
      <c r="F412">
        <v>1.5571994950689427E-5</v>
      </c>
      <c r="G412">
        <v>-5.3019218451504859E-7</v>
      </c>
      <c r="H412" t="b">
        <v>1</v>
      </c>
    </row>
    <row r="413" spans="1:8" x14ac:dyDescent="0.15">
      <c r="A413">
        <v>21</v>
      </c>
      <c r="B413">
        <v>11</v>
      </c>
      <c r="C413">
        <v>1744384.765625</v>
      </c>
      <c r="D413">
        <v>-3613827.8409276488</v>
      </c>
      <c r="E413">
        <v>1.5464463162858164E-5</v>
      </c>
      <c r="F413">
        <v>1.5571994950689427E-5</v>
      </c>
      <c r="G413">
        <v>-1.0753178783126335E-7</v>
      </c>
      <c r="H413" t="b">
        <v>1</v>
      </c>
    </row>
    <row r="414" spans="1:8" x14ac:dyDescent="0.15">
      <c r="A414">
        <v>21</v>
      </c>
      <c r="B414">
        <v>12</v>
      </c>
      <c r="C414">
        <v>1747290.0390625</v>
      </c>
      <c r="D414">
        <v>3734630.039130616</v>
      </c>
      <c r="E414">
        <v>1.567949388166278E-5</v>
      </c>
      <c r="F414">
        <v>1.5571994950689427E-5</v>
      </c>
      <c r="G414">
        <v>1.0749893097335305E-7</v>
      </c>
      <c r="H414" t="b">
        <v>0</v>
      </c>
    </row>
    <row r="415" spans="1:8" x14ac:dyDescent="0.15">
      <c r="A415">
        <v>21</v>
      </c>
      <c r="B415">
        <v>13</v>
      </c>
      <c r="C415">
        <v>1745837.40234375</v>
      </c>
      <c r="D415">
        <v>-11188.072570607901</v>
      </c>
      <c r="E415">
        <v>1.5571667555212951E-5</v>
      </c>
      <c r="F415">
        <v>1.5571994950689427E-5</v>
      </c>
      <c r="G415">
        <v>-3.2739547647570358E-10</v>
      </c>
      <c r="H415" t="b">
        <v>1</v>
      </c>
    </row>
    <row r="416" spans="1:8" x14ac:dyDescent="0.15">
      <c r="A416">
        <v>21</v>
      </c>
      <c r="B416">
        <v>14</v>
      </c>
      <c r="C416">
        <v>1746337.40234375</v>
      </c>
      <c r="D416">
        <v>1261906.4617938581</v>
      </c>
      <c r="E416">
        <v>1.5608712150626034E-5</v>
      </c>
      <c r="F416">
        <v>1.5571994950689427E-5</v>
      </c>
      <c r="G416">
        <v>3.6717199936606924E-8</v>
      </c>
      <c r="H416" t="b">
        <v>0</v>
      </c>
    </row>
    <row r="417" spans="1:8" x14ac:dyDescent="0.15">
      <c r="A417">
        <v>21</v>
      </c>
      <c r="B417">
        <v>15</v>
      </c>
      <c r="C417">
        <v>1746937.40234375</v>
      </c>
      <c r="D417">
        <v>2812079.0826091859</v>
      </c>
      <c r="E417">
        <v>1.5653261929487046E-5</v>
      </c>
      <c r="F417">
        <v>1.5571994950689427E-5</v>
      </c>
      <c r="G417">
        <v>8.1266978797618562E-8</v>
      </c>
      <c r="H417" t="b">
        <v>0</v>
      </c>
    </row>
    <row r="418" spans="1:8" x14ac:dyDescent="0.15">
      <c r="A418">
        <v>21</v>
      </c>
      <c r="B418">
        <v>16</v>
      </c>
      <c r="C418">
        <v>1746637.40234375</v>
      </c>
      <c r="D418">
        <v>2033889.7450289363</v>
      </c>
      <c r="E418">
        <v>1.5630972949018442E-5</v>
      </c>
      <c r="F418">
        <v>1.5571994950689427E-5</v>
      </c>
      <c r="G418">
        <v>5.8977998329014496E-8</v>
      </c>
      <c r="H418" t="b">
        <v>0</v>
      </c>
    </row>
    <row r="419" spans="1:8" x14ac:dyDescent="0.15">
      <c r="A419">
        <v>21</v>
      </c>
      <c r="B419">
        <v>17</v>
      </c>
      <c r="C419">
        <v>1746277.40234375</v>
      </c>
      <c r="D419">
        <v>1108240.2217443325</v>
      </c>
      <c r="E419">
        <v>1.5604263001024139E-5</v>
      </c>
      <c r="F419">
        <v>1.5571994950689427E-5</v>
      </c>
      <c r="G419">
        <v>3.2268050334711453E-8</v>
      </c>
      <c r="H419" t="b">
        <v>0</v>
      </c>
    </row>
    <row r="420" spans="1:8" x14ac:dyDescent="0.15">
      <c r="A420">
        <v>21</v>
      </c>
      <c r="B420">
        <v>18</v>
      </c>
      <c r="C420">
        <v>1746457.40234375</v>
      </c>
      <c r="D420">
        <v>1569972.6476446046</v>
      </c>
      <c r="E420">
        <v>1.5617613564944006E-5</v>
      </c>
      <c r="F420">
        <v>1.5571994950689427E-5</v>
      </c>
      <c r="G420">
        <v>4.5618614254579149E-8</v>
      </c>
      <c r="H420" t="b">
        <v>0</v>
      </c>
    </row>
    <row r="421" spans="1:8" x14ac:dyDescent="0.15">
      <c r="A421">
        <v>21</v>
      </c>
      <c r="B421">
        <v>19</v>
      </c>
      <c r="C421">
        <v>1746673.40234375</v>
      </c>
      <c r="D421">
        <v>2126971.3838208169</v>
      </c>
      <c r="E421">
        <v>1.5633646911939399E-5</v>
      </c>
      <c r="F421">
        <v>1.5571994950689427E-5</v>
      </c>
      <c r="G421">
        <v>6.1651961249972438E-8</v>
      </c>
      <c r="H421" t="b">
        <v>0</v>
      </c>
    </row>
    <row r="422" spans="1:8" x14ac:dyDescent="0.15">
      <c r="A422">
        <v>21</v>
      </c>
      <c r="B422">
        <v>20</v>
      </c>
      <c r="C422">
        <v>1746565.40234375</v>
      </c>
      <c r="D422">
        <v>1848073.7909258327</v>
      </c>
      <c r="E422">
        <v>1.5625628518141057E-5</v>
      </c>
      <c r="F422">
        <v>1.5571994950689427E-5</v>
      </c>
      <c r="G422">
        <v>5.363356745162961E-8</v>
      </c>
      <c r="H422" t="b">
        <v>0</v>
      </c>
    </row>
    <row r="423" spans="1:8" x14ac:dyDescent="0.15">
      <c r="A423">
        <v>21</v>
      </c>
      <c r="B423">
        <v>21</v>
      </c>
      <c r="C423">
        <v>1746435.8023437499</v>
      </c>
      <c r="D423">
        <v>1514420.8477685458</v>
      </c>
      <c r="E423">
        <v>1.5616010205365206E-5</v>
      </c>
      <c r="F423">
        <v>1.5571994950689427E-5</v>
      </c>
      <c r="G423">
        <v>4.4015254675779385E-8</v>
      </c>
      <c r="H423" t="b">
        <v>0</v>
      </c>
    </row>
    <row r="424" spans="1:8" x14ac:dyDescent="0.15">
      <c r="A424">
        <v>21</v>
      </c>
      <c r="B424">
        <v>22</v>
      </c>
      <c r="C424">
        <v>1746500.60234375</v>
      </c>
      <c r="D424">
        <v>1681117.5800684474</v>
      </c>
      <c r="E424">
        <v>1.5620819133418108E-5</v>
      </c>
      <c r="F424">
        <v>1.5571994950689427E-5</v>
      </c>
      <c r="G424">
        <v>4.882418272868054E-8</v>
      </c>
      <c r="H424" t="b">
        <v>0</v>
      </c>
    </row>
    <row r="425" spans="1:8" x14ac:dyDescent="0.15">
      <c r="A425">
        <v>21</v>
      </c>
      <c r="B425">
        <v>23</v>
      </c>
      <c r="C425">
        <v>1746578.36234375</v>
      </c>
      <c r="D425">
        <v>1881499.4344236678</v>
      </c>
      <c r="E425">
        <v>1.562659054371241E-5</v>
      </c>
      <c r="F425">
        <v>1.5571994950689427E-5</v>
      </c>
      <c r="G425">
        <v>5.459559302298326E-8</v>
      </c>
      <c r="H425" t="b">
        <v>0</v>
      </c>
    </row>
    <row r="426" spans="1:8" x14ac:dyDescent="0.15">
      <c r="A426">
        <v>21</v>
      </c>
      <c r="B426">
        <v>24</v>
      </c>
      <c r="C426">
        <v>1746539.4823437501</v>
      </c>
      <c r="D426">
        <v>1781229.7518262942</v>
      </c>
      <c r="E426">
        <v>1.5623703833441232E-5</v>
      </c>
      <c r="F426">
        <v>1.5571994950689427E-5</v>
      </c>
      <c r="G426">
        <v>5.1708882751804949E-8</v>
      </c>
      <c r="H426" t="b">
        <v>0</v>
      </c>
    </row>
    <row r="427" spans="1:8" x14ac:dyDescent="0.15">
      <c r="A427">
        <v>21</v>
      </c>
      <c r="B427">
        <v>25</v>
      </c>
      <c r="C427">
        <v>1746492.8263437501</v>
      </c>
      <c r="D427">
        <v>1661074.9730932866</v>
      </c>
      <c r="E427">
        <v>1.5620241308498356E-5</v>
      </c>
      <c r="F427">
        <v>1.5571994950689427E-5</v>
      </c>
      <c r="G427">
        <v>4.8246357808929321E-8</v>
      </c>
      <c r="H427" t="b">
        <v>0</v>
      </c>
    </row>
    <row r="428" spans="1:8" x14ac:dyDescent="0.15">
      <c r="A428">
        <v>21</v>
      </c>
      <c r="B428">
        <v>26</v>
      </c>
      <c r="C428">
        <v>1746516.1543437501</v>
      </c>
      <c r="D428">
        <v>1721160.9305043116</v>
      </c>
      <c r="E428">
        <v>1.5621973272802075E-5</v>
      </c>
      <c r="F428">
        <v>1.5571994950689427E-5</v>
      </c>
      <c r="G428">
        <v>4.9978322112648052E-8</v>
      </c>
      <c r="H428" t="b">
        <v>0</v>
      </c>
    </row>
    <row r="429" spans="1:8" x14ac:dyDescent="0.15">
      <c r="A429">
        <v>21</v>
      </c>
      <c r="B429">
        <v>27</v>
      </c>
      <c r="C429">
        <v>1746544.14794375</v>
      </c>
      <c r="D429">
        <v>1793280.5628066363</v>
      </c>
      <c r="E429">
        <v>1.5624050903457761E-5</v>
      </c>
      <c r="F429">
        <v>1.5571994950689427E-5</v>
      </c>
      <c r="G429">
        <v>5.2055952768333618E-8</v>
      </c>
      <c r="H429" t="b">
        <v>0</v>
      </c>
    </row>
    <row r="430" spans="1:8" x14ac:dyDescent="0.15">
      <c r="A430">
        <v>21</v>
      </c>
      <c r="B430">
        <v>28</v>
      </c>
      <c r="C430">
        <v>1746530.1511437499</v>
      </c>
      <c r="D430">
        <v>1757214.0601004327</v>
      </c>
      <c r="E430">
        <v>1.5623012059238102E-5</v>
      </c>
      <c r="F430">
        <v>1.5571994950689427E-5</v>
      </c>
      <c r="G430">
        <v>5.1017108548674731E-8</v>
      </c>
      <c r="H430" t="b">
        <v>0</v>
      </c>
    </row>
    <row r="431" spans="1:8" x14ac:dyDescent="0.15">
      <c r="A431">
        <v>22</v>
      </c>
      <c r="B431">
        <v>1</v>
      </c>
      <c r="C431">
        <v>6050000</v>
      </c>
      <c r="D431">
        <v>1.3444255161856998E+18</v>
      </c>
      <c r="E431">
        <v>536.87092199999995</v>
      </c>
      <c r="F431">
        <v>2.5240337663490209E-5</v>
      </c>
      <c r="G431">
        <v>536.87089675966229</v>
      </c>
      <c r="H431" t="b">
        <v>0</v>
      </c>
    </row>
    <row r="432" spans="1:8" x14ac:dyDescent="0.15">
      <c r="A432">
        <v>22</v>
      </c>
      <c r="B432">
        <v>2</v>
      </c>
      <c r="C432">
        <v>3075000</v>
      </c>
      <c r="D432">
        <v>1.3444255161857001E+18</v>
      </c>
      <c r="E432">
        <v>536.87092200000006</v>
      </c>
      <c r="F432">
        <v>2.5240337663490209E-5</v>
      </c>
      <c r="G432">
        <v>536.8708967596624</v>
      </c>
      <c r="H432" t="b">
        <v>0</v>
      </c>
    </row>
    <row r="433" spans="1:8" x14ac:dyDescent="0.15">
      <c r="A433">
        <v>22</v>
      </c>
      <c r="B433">
        <v>3</v>
      </c>
      <c r="C433">
        <v>1587500</v>
      </c>
      <c r="D433">
        <v>1005403802072.9631</v>
      </c>
      <c r="E433">
        <v>3.5195203281238397E-3</v>
      </c>
      <c r="F433">
        <v>2.5240337618482375E-5</v>
      </c>
      <c r="G433">
        <v>3.4942799905053573E-3</v>
      </c>
      <c r="H433" t="b">
        <v>0</v>
      </c>
    </row>
    <row r="434" spans="1:8" x14ac:dyDescent="0.15">
      <c r="A434">
        <v>22</v>
      </c>
      <c r="B434">
        <v>4</v>
      </c>
      <c r="C434">
        <v>843750</v>
      </c>
      <c r="D434">
        <v>-50659.910068935627</v>
      </c>
      <c r="E434">
        <v>-3.6993646300152918E-6</v>
      </c>
      <c r="F434">
        <v>2.5240337618482405E-5</v>
      </c>
      <c r="G434">
        <v>-2.8939702248497697E-5</v>
      </c>
      <c r="H434" t="b">
        <v>1</v>
      </c>
    </row>
    <row r="435" spans="1:8" x14ac:dyDescent="0.15">
      <c r="A435">
        <v>22</v>
      </c>
      <c r="B435">
        <v>5</v>
      </c>
      <c r="C435">
        <v>1215625</v>
      </c>
      <c r="D435">
        <v>-69788692.579821378</v>
      </c>
      <c r="E435">
        <v>1.6382014563259049E-5</v>
      </c>
      <c r="F435">
        <v>2.5240337618482405E-5</v>
      </c>
      <c r="G435">
        <v>-8.8583230552233557E-6</v>
      </c>
      <c r="H435" t="b">
        <v>1</v>
      </c>
    </row>
    <row r="436" spans="1:8" x14ac:dyDescent="0.15">
      <c r="A436">
        <v>22</v>
      </c>
      <c r="B436">
        <v>6</v>
      </c>
      <c r="C436">
        <v>1401562.5</v>
      </c>
      <c r="D436">
        <v>41841296404.491684</v>
      </c>
      <c r="E436">
        <v>3.2207409611490081E-4</v>
      </c>
      <c r="F436">
        <v>2.5240337618482429E-5</v>
      </c>
      <c r="G436">
        <v>2.9683375849641838E-4</v>
      </c>
      <c r="H436" t="b">
        <v>0</v>
      </c>
    </row>
    <row r="437" spans="1:8" x14ac:dyDescent="0.15">
      <c r="A437">
        <v>22</v>
      </c>
      <c r="B437">
        <v>7</v>
      </c>
      <c r="C437">
        <v>1308593.75</v>
      </c>
      <c r="D437">
        <v>4418491176.4935951</v>
      </c>
      <c r="E437">
        <v>7.9521888520554535E-5</v>
      </c>
      <c r="F437">
        <v>2.5240337618482402E-5</v>
      </c>
      <c r="G437">
        <v>5.4281550902072134E-5</v>
      </c>
      <c r="H437" t="b">
        <v>0</v>
      </c>
    </row>
    <row r="438" spans="1:8" x14ac:dyDescent="0.15">
      <c r="A438">
        <v>22</v>
      </c>
      <c r="B438">
        <v>8</v>
      </c>
      <c r="C438">
        <v>1262109.375</v>
      </c>
      <c r="D438">
        <v>628901439.72438002</v>
      </c>
      <c r="E438">
        <v>3.69961953400101E-5</v>
      </c>
      <c r="F438">
        <v>2.5240337618482405E-5</v>
      </c>
      <c r="G438">
        <v>1.1755857721527695E-5</v>
      </c>
      <c r="H438" t="b">
        <v>0</v>
      </c>
    </row>
    <row r="439" spans="1:8" x14ac:dyDescent="0.15">
      <c r="A439">
        <v>22</v>
      </c>
      <c r="B439">
        <v>9</v>
      </c>
      <c r="C439">
        <v>1238867.1875</v>
      </c>
      <c r="D439">
        <v>-15689750.077994557</v>
      </c>
      <c r="E439">
        <v>2.4765201505947037E-5</v>
      </c>
      <c r="F439">
        <v>2.5240337618482405E-5</v>
      </c>
      <c r="G439">
        <v>-4.7513611253536763E-7</v>
      </c>
      <c r="H439" t="b">
        <v>1</v>
      </c>
    </row>
    <row r="440" spans="1:8" x14ac:dyDescent="0.15">
      <c r="A440">
        <v>22</v>
      </c>
      <c r="B440">
        <v>10</v>
      </c>
      <c r="C440">
        <v>1250488.28125</v>
      </c>
      <c r="D440">
        <v>235106079.91031402</v>
      </c>
      <c r="E440">
        <v>3.0319788955725741E-5</v>
      </c>
      <c r="F440">
        <v>2.5240337618482405E-5</v>
      </c>
      <c r="G440">
        <v>5.0794513372433358E-6</v>
      </c>
      <c r="H440" t="b">
        <v>0</v>
      </c>
    </row>
    <row r="441" spans="1:8" x14ac:dyDescent="0.15">
      <c r="A441">
        <v>22</v>
      </c>
      <c r="B441">
        <v>11</v>
      </c>
      <c r="C441">
        <v>1244677.734375</v>
      </c>
      <c r="D441">
        <v>87275637.473918945</v>
      </c>
      <c r="E441">
        <v>2.741425416091912E-5</v>
      </c>
      <c r="F441">
        <v>2.5240337618482405E-5</v>
      </c>
      <c r="G441">
        <v>2.1739165424367147E-6</v>
      </c>
      <c r="H441" t="b">
        <v>0</v>
      </c>
    </row>
    <row r="442" spans="1:8" x14ac:dyDescent="0.15">
      <c r="A442">
        <v>22</v>
      </c>
      <c r="B442">
        <v>12</v>
      </c>
      <c r="C442">
        <v>1241772.4609375</v>
      </c>
      <c r="D442">
        <v>29915352.937722225</v>
      </c>
      <c r="E442">
        <v>2.6058766504024267E-5</v>
      </c>
      <c r="F442">
        <v>2.5240337618482405E-5</v>
      </c>
      <c r="G442">
        <v>8.1842888554186236E-7</v>
      </c>
      <c r="H442" t="b">
        <v>0</v>
      </c>
    </row>
    <row r="443" spans="1:8" x14ac:dyDescent="0.15">
      <c r="A443">
        <v>22</v>
      </c>
      <c r="B443">
        <v>13</v>
      </c>
      <c r="C443">
        <v>1240319.82421875</v>
      </c>
      <c r="D443">
        <v>5706077.5125391623</v>
      </c>
      <c r="E443">
        <v>2.5404405608124618E-5</v>
      </c>
      <c r="F443">
        <v>2.5240337618482405E-5</v>
      </c>
      <c r="G443">
        <v>1.6406798964221326E-7</v>
      </c>
      <c r="H443" t="b">
        <v>0</v>
      </c>
    </row>
    <row r="444" spans="1:8" x14ac:dyDescent="0.15">
      <c r="A444">
        <v>22</v>
      </c>
      <c r="B444">
        <v>14</v>
      </c>
      <c r="C444">
        <v>1239119.82421875</v>
      </c>
      <c r="D444">
        <v>-12165401.388140177</v>
      </c>
      <c r="E444">
        <v>2.4875295314921766E-5</v>
      </c>
      <c r="F444">
        <v>2.5240337618482405E-5</v>
      </c>
      <c r="G444">
        <v>-3.6504230356063897E-7</v>
      </c>
      <c r="H444" t="b">
        <v>1</v>
      </c>
    </row>
    <row r="445" spans="1:8" x14ac:dyDescent="0.15">
      <c r="A445">
        <v>22</v>
      </c>
      <c r="B445">
        <v>15</v>
      </c>
      <c r="C445">
        <v>1239719.82421875</v>
      </c>
      <c r="D445">
        <v>-3465270.053987585</v>
      </c>
      <c r="E445">
        <v>2.5138570483977955E-5</v>
      </c>
      <c r="F445">
        <v>2.5240337618482405E-5</v>
      </c>
      <c r="G445">
        <v>-1.017671345044505E-7</v>
      </c>
      <c r="H445" t="b">
        <v>1</v>
      </c>
    </row>
    <row r="446" spans="1:8" x14ac:dyDescent="0.15">
      <c r="A446">
        <v>22</v>
      </c>
      <c r="B446">
        <v>16</v>
      </c>
      <c r="C446">
        <v>1240319.82421875</v>
      </c>
      <c r="D446">
        <v>5706077.5125391623</v>
      </c>
      <c r="E446">
        <v>2.5404405608124618E-5</v>
      </c>
      <c r="F446">
        <v>2.5240337618482405E-5</v>
      </c>
      <c r="G446">
        <v>1.6406798964221326E-7</v>
      </c>
      <c r="H446" t="b">
        <v>0</v>
      </c>
    </row>
    <row r="447" spans="1:8" x14ac:dyDescent="0.15">
      <c r="A447">
        <v>22</v>
      </c>
      <c r="B447">
        <v>17</v>
      </c>
      <c r="C447">
        <v>1240019.82421875</v>
      </c>
      <c r="D447">
        <v>1060993.5946156408</v>
      </c>
      <c r="E447">
        <v>2.527116745119094E-5</v>
      </c>
      <c r="F447">
        <v>2.5240337618482405E-5</v>
      </c>
      <c r="G447">
        <v>3.0829832708535005E-8</v>
      </c>
      <c r="H447" t="b">
        <v>0</v>
      </c>
    </row>
    <row r="448" spans="1:8" x14ac:dyDescent="0.15">
      <c r="A448">
        <v>22</v>
      </c>
      <c r="B448">
        <v>18</v>
      </c>
      <c r="C448">
        <v>1240169.82421875</v>
      </c>
      <c r="D448">
        <v>3368650.3993008998</v>
      </c>
      <c r="E448">
        <v>2.533770719264883E-5</v>
      </c>
      <c r="F448">
        <v>2.5240337618482405E-5</v>
      </c>
      <c r="G448">
        <v>9.7369574166425107E-8</v>
      </c>
      <c r="H448" t="b">
        <v>0</v>
      </c>
    </row>
    <row r="449" spans="1:8" x14ac:dyDescent="0.15">
      <c r="A449">
        <v>22</v>
      </c>
      <c r="B449">
        <v>19</v>
      </c>
      <c r="C449">
        <v>1240094.82421875</v>
      </c>
      <c r="D449">
        <v>2211097.956039825</v>
      </c>
      <c r="E449">
        <v>2.5304417192138376E-5</v>
      </c>
      <c r="F449">
        <v>2.5240337618482405E-5</v>
      </c>
      <c r="G449">
        <v>6.4079573655971393E-8</v>
      </c>
      <c r="H449" t="b">
        <v>0</v>
      </c>
    </row>
    <row r="450" spans="1:8" x14ac:dyDescent="0.15">
      <c r="A450">
        <v>22</v>
      </c>
      <c r="B450">
        <v>20</v>
      </c>
      <c r="C450">
        <v>1240004.82421875</v>
      </c>
      <c r="D450">
        <v>831865.00836964289</v>
      </c>
      <c r="E450">
        <v>2.5264522330235251E-5</v>
      </c>
      <c r="F450">
        <v>2.5240337618482405E-5</v>
      </c>
      <c r="G450">
        <v>2.4184711752846098E-8</v>
      </c>
      <c r="H450" t="b">
        <v>0</v>
      </c>
    </row>
    <row r="451" spans="1:8" x14ac:dyDescent="0.15">
      <c r="A451">
        <v>22</v>
      </c>
      <c r="B451">
        <v>21</v>
      </c>
      <c r="C451">
        <v>1240049.82421875</v>
      </c>
      <c r="D451">
        <v>1520142.6486478436</v>
      </c>
      <c r="E451">
        <v>2.5284462519267857E-5</v>
      </c>
      <c r="F451">
        <v>2.5240337618482405E-5</v>
      </c>
      <c r="G451">
        <v>4.412490078545221E-8</v>
      </c>
      <c r="H451" t="b">
        <v>0</v>
      </c>
    </row>
    <row r="452" spans="1:8" x14ac:dyDescent="0.15">
      <c r="A452">
        <v>22</v>
      </c>
      <c r="B452">
        <v>22</v>
      </c>
      <c r="C452">
        <v>1240027.32421875</v>
      </c>
      <c r="D452">
        <v>1175669.3476494395</v>
      </c>
      <c r="E452">
        <v>2.5274490614872491E-5</v>
      </c>
      <c r="F452">
        <v>2.5240337618482405E-5</v>
      </c>
      <c r="G452">
        <v>3.41529963900864E-8</v>
      </c>
      <c r="H452" t="b">
        <v>0</v>
      </c>
    </row>
    <row r="453" spans="1:8" x14ac:dyDescent="0.15">
      <c r="A453">
        <v>22</v>
      </c>
      <c r="B453">
        <v>23</v>
      </c>
      <c r="C453">
        <v>1240038.57421875</v>
      </c>
      <c r="D453">
        <v>1347739.6370202403</v>
      </c>
      <c r="E453">
        <v>2.5279473720141994E-5</v>
      </c>
      <c r="F453">
        <v>2.5240337618482405E-5</v>
      </c>
      <c r="G453">
        <v>3.9136101659589383E-8</v>
      </c>
      <c r="H453" t="b">
        <v>0</v>
      </c>
    </row>
    <row r="454" spans="1:8" x14ac:dyDescent="0.15">
      <c r="A454">
        <v>22</v>
      </c>
      <c r="B454">
        <v>24</v>
      </c>
      <c r="C454">
        <v>1240032.94921875</v>
      </c>
      <c r="D454">
        <v>1261642.2690607652</v>
      </c>
      <c r="E454">
        <v>2.5276980857446788E-5</v>
      </c>
      <c r="F454">
        <v>2.5240337618482405E-5</v>
      </c>
      <c r="G454">
        <v>3.6643238964382727E-8</v>
      </c>
      <c r="H454" t="b">
        <v>0</v>
      </c>
    </row>
    <row r="455" spans="1:8" x14ac:dyDescent="0.15">
      <c r="A455">
        <v>22</v>
      </c>
      <c r="B455">
        <v>25</v>
      </c>
      <c r="C455">
        <v>1240026.19921875</v>
      </c>
      <c r="D455">
        <v>1158380.6255656672</v>
      </c>
      <c r="E455">
        <v>2.5273989720864766E-5</v>
      </c>
      <c r="F455">
        <v>2.5240337618482405E-5</v>
      </c>
      <c r="G455">
        <v>3.3652102382361143E-8</v>
      </c>
      <c r="H455" t="b">
        <v>0</v>
      </c>
    </row>
    <row r="456" spans="1:8" x14ac:dyDescent="0.15">
      <c r="A456">
        <v>22</v>
      </c>
      <c r="B456">
        <v>26</v>
      </c>
      <c r="C456">
        <v>1240029.57421875</v>
      </c>
      <c r="D456">
        <v>1210003.9210298257</v>
      </c>
      <c r="E456">
        <v>2.5275485248433487E-5</v>
      </c>
      <c r="F456">
        <v>2.5240337618482405E-5</v>
      </c>
      <c r="G456">
        <v>3.5147629951082232E-8</v>
      </c>
      <c r="H456" t="b">
        <v>0</v>
      </c>
    </row>
    <row r="457" spans="1:8" x14ac:dyDescent="0.15">
      <c r="A457">
        <v>22</v>
      </c>
      <c r="B457">
        <v>27</v>
      </c>
      <c r="C457">
        <v>1240033.62421875</v>
      </c>
      <c r="D457">
        <v>1272054.4210162042</v>
      </c>
      <c r="E457">
        <v>2.5277282383179755E-5</v>
      </c>
      <c r="F457">
        <v>2.5240337618482405E-5</v>
      </c>
      <c r="G457">
        <v>3.6944764697350137E-8</v>
      </c>
      <c r="H457" t="b">
        <v>0</v>
      </c>
    </row>
    <row r="458" spans="1:8" x14ac:dyDescent="0.15">
      <c r="A458">
        <v>22</v>
      </c>
      <c r="B458">
        <v>28</v>
      </c>
      <c r="C458">
        <v>1240031.5992187501</v>
      </c>
      <c r="D458">
        <v>1240985.1234315147</v>
      </c>
      <c r="E458">
        <v>2.5276382604067552E-5</v>
      </c>
      <c r="F458">
        <v>2.5240337618482405E-5</v>
      </c>
      <c r="G458">
        <v>3.604498558514664E-8</v>
      </c>
      <c r="H458" t="b">
        <v>0</v>
      </c>
    </row>
    <row r="459" spans="1:8" x14ac:dyDescent="0.15">
      <c r="A459">
        <v>23</v>
      </c>
      <c r="B459">
        <v>1</v>
      </c>
      <c r="C459">
        <v>6050000</v>
      </c>
      <c r="D459">
        <v>2.2933935499701117E+18</v>
      </c>
      <c r="E459">
        <v>536.87092200000006</v>
      </c>
      <c r="F459">
        <v>1.7916480828716885E-5</v>
      </c>
      <c r="G459">
        <v>536.87090408351924</v>
      </c>
      <c r="H459" t="b">
        <v>0</v>
      </c>
    </row>
    <row r="460" spans="1:8" x14ac:dyDescent="0.15">
      <c r="A460">
        <v>23</v>
      </c>
      <c r="B460">
        <v>2</v>
      </c>
      <c r="C460">
        <v>3075000</v>
      </c>
      <c r="D460">
        <v>2.2933935499701117E+18</v>
      </c>
      <c r="E460">
        <v>536.87092200000006</v>
      </c>
      <c r="F460">
        <v>1.7916480828716885E-5</v>
      </c>
      <c r="G460">
        <v>536.87090408351924</v>
      </c>
      <c r="H460" t="b">
        <v>0</v>
      </c>
    </row>
    <row r="461" spans="1:8" x14ac:dyDescent="0.15">
      <c r="A461">
        <v>23</v>
      </c>
      <c r="B461">
        <v>3</v>
      </c>
      <c r="C461">
        <v>1587500</v>
      </c>
      <c r="D461">
        <v>4.230495649354256E+17</v>
      </c>
      <c r="E461">
        <v>120.81384286509645</v>
      </c>
      <c r="F461">
        <v>1.791648084292774E-5</v>
      </c>
      <c r="G461">
        <v>120.8138249486156</v>
      </c>
      <c r="H461" t="b">
        <v>0</v>
      </c>
    </row>
    <row r="462" spans="1:8" x14ac:dyDescent="0.15">
      <c r="A462">
        <v>23</v>
      </c>
      <c r="B462">
        <v>4</v>
      </c>
      <c r="C462">
        <v>843750</v>
      </c>
      <c r="D462">
        <v>80793627113.232773</v>
      </c>
      <c r="E462">
        <v>3.3963325980002334E-4</v>
      </c>
      <c r="F462">
        <v>1.7916480839867959E-5</v>
      </c>
      <c r="G462">
        <v>3.2171677896015538E-4</v>
      </c>
      <c r="H462" t="b">
        <v>0</v>
      </c>
    </row>
    <row r="463" spans="1:8" x14ac:dyDescent="0.15">
      <c r="A463">
        <v>23</v>
      </c>
      <c r="B463">
        <v>5</v>
      </c>
      <c r="C463">
        <v>471875</v>
      </c>
      <c r="D463">
        <v>-24128.34678865469</v>
      </c>
      <c r="E463">
        <v>-8.1828526925378422E-6</v>
      </c>
      <c r="F463">
        <v>1.7916480839867945E-5</v>
      </c>
      <c r="G463">
        <v>-2.6099333532405787E-5</v>
      </c>
      <c r="H463" t="b">
        <v>1</v>
      </c>
    </row>
    <row r="464" spans="1:8" x14ac:dyDescent="0.15">
      <c r="A464">
        <v>23</v>
      </c>
      <c r="B464">
        <v>6</v>
      </c>
      <c r="C464">
        <v>657812.5</v>
      </c>
      <c r="D464">
        <v>-236490.10509886686</v>
      </c>
      <c r="E464">
        <v>2.5991442339686161E-6</v>
      </c>
      <c r="F464">
        <v>1.7916480839867945E-5</v>
      </c>
      <c r="G464">
        <v>-1.5317336605899328E-5</v>
      </c>
      <c r="H464" t="b">
        <v>1</v>
      </c>
    </row>
    <row r="465" spans="1:8" x14ac:dyDescent="0.15">
      <c r="A465">
        <v>23</v>
      </c>
      <c r="B465">
        <v>7</v>
      </c>
      <c r="C465">
        <v>750781.25</v>
      </c>
      <c r="D465">
        <v>-76826148.007052884</v>
      </c>
      <c r="E465">
        <v>1.5562890614788567E-5</v>
      </c>
      <c r="F465">
        <v>1.7916480839867945E-5</v>
      </c>
      <c r="G465">
        <v>-2.3535902250793782E-6</v>
      </c>
      <c r="H465" t="b">
        <v>1</v>
      </c>
    </row>
    <row r="466" spans="1:8" x14ac:dyDescent="0.15">
      <c r="A466">
        <v>23</v>
      </c>
      <c r="B466">
        <v>8</v>
      </c>
      <c r="C466">
        <v>797265.625</v>
      </c>
      <c r="D466">
        <v>8513961606.8950462</v>
      </c>
      <c r="E466">
        <v>7.7193267548749693E-5</v>
      </c>
      <c r="F466">
        <v>1.7916480839867945E-5</v>
      </c>
      <c r="G466">
        <v>5.9276786708881748E-5</v>
      </c>
      <c r="H466" t="b">
        <v>0</v>
      </c>
    </row>
    <row r="467" spans="1:8" x14ac:dyDescent="0.15">
      <c r="A467">
        <v>23</v>
      </c>
      <c r="B467">
        <v>9</v>
      </c>
      <c r="C467">
        <v>774023.4375</v>
      </c>
      <c r="D467">
        <v>1684407385.7388651</v>
      </c>
      <c r="E467">
        <v>3.5260416579208843E-5</v>
      </c>
      <c r="F467">
        <v>1.7916480839867945E-5</v>
      </c>
      <c r="G467">
        <v>1.7343935739340898E-5</v>
      </c>
      <c r="H467" t="b">
        <v>0</v>
      </c>
    </row>
    <row r="468" spans="1:8" x14ac:dyDescent="0.15">
      <c r="A468">
        <v>23</v>
      </c>
      <c r="B468">
        <v>10</v>
      </c>
      <c r="C468">
        <v>762402.34375</v>
      </c>
      <c r="D468">
        <v>416345370.53287649</v>
      </c>
      <c r="E468">
        <v>2.3522402914786871E-5</v>
      </c>
      <c r="F468">
        <v>1.7916480839867945E-5</v>
      </c>
      <c r="G468">
        <v>5.6059220749189259E-6</v>
      </c>
      <c r="H468" t="b">
        <v>0</v>
      </c>
    </row>
    <row r="469" spans="1:8" x14ac:dyDescent="0.15">
      <c r="A469">
        <v>23</v>
      </c>
      <c r="B469">
        <v>11</v>
      </c>
      <c r="C469">
        <v>756591.796875</v>
      </c>
      <c r="D469">
        <v>65549064.231179364</v>
      </c>
      <c r="E469">
        <v>1.9153337847781646E-5</v>
      </c>
      <c r="F469">
        <v>1.7916480839867945E-5</v>
      </c>
      <c r="G469">
        <v>1.2368570079137008E-6</v>
      </c>
      <c r="H469" t="b">
        <v>0</v>
      </c>
    </row>
    <row r="470" spans="1:8" x14ac:dyDescent="0.15">
      <c r="A470">
        <v>23</v>
      </c>
      <c r="B470">
        <v>12</v>
      </c>
      <c r="C470">
        <v>753686.5234375</v>
      </c>
      <c r="D470">
        <v>-27514886.06907621</v>
      </c>
      <c r="E470">
        <v>1.7269641564536824E-5</v>
      </c>
      <c r="F470">
        <v>1.7916480839867945E-5</v>
      </c>
      <c r="G470">
        <v>-6.4683927533112101E-7</v>
      </c>
      <c r="H470" t="b">
        <v>1</v>
      </c>
    </row>
    <row r="471" spans="1:8" x14ac:dyDescent="0.15">
      <c r="A471">
        <v>23</v>
      </c>
      <c r="B471">
        <v>13</v>
      </c>
      <c r="C471">
        <v>755139.16015625</v>
      </c>
      <c r="D471">
        <v>12967112.408514382</v>
      </c>
      <c r="E471">
        <v>1.8188328074292362E-5</v>
      </c>
      <c r="F471">
        <v>1.7916480839867945E-5</v>
      </c>
      <c r="G471">
        <v>2.7184723442441657E-7</v>
      </c>
      <c r="H471" t="b">
        <v>0</v>
      </c>
    </row>
    <row r="472" spans="1:8" x14ac:dyDescent="0.15">
      <c r="A472">
        <v>23</v>
      </c>
      <c r="B472">
        <v>14</v>
      </c>
      <c r="C472">
        <v>753939.16015625</v>
      </c>
      <c r="D472">
        <v>-21291367.948797278</v>
      </c>
      <c r="E472">
        <v>1.7426183573670807E-5</v>
      </c>
      <c r="F472">
        <v>1.7916480839867945E-5</v>
      </c>
      <c r="G472">
        <v>-4.9029726619713868E-7</v>
      </c>
      <c r="H472" t="b">
        <v>1</v>
      </c>
    </row>
    <row r="473" spans="1:8" x14ac:dyDescent="0.15">
      <c r="A473">
        <v>23</v>
      </c>
      <c r="B473">
        <v>15</v>
      </c>
      <c r="C473">
        <v>754539.16015625</v>
      </c>
      <c r="D473">
        <v>-5151868.0680528339</v>
      </c>
      <c r="E473">
        <v>1.7803379972604662E-5</v>
      </c>
      <c r="F473">
        <v>1.7916480839867945E-5</v>
      </c>
      <c r="G473">
        <v>-1.1310086726328293E-7</v>
      </c>
      <c r="H473" t="b">
        <v>1</v>
      </c>
    </row>
    <row r="474" spans="1:8" x14ac:dyDescent="0.15">
      <c r="A474">
        <v>23</v>
      </c>
      <c r="B474">
        <v>16</v>
      </c>
      <c r="C474">
        <v>755139.16015625</v>
      </c>
      <c r="D474">
        <v>12967112.408514382</v>
      </c>
      <c r="E474">
        <v>1.8188328074292362E-5</v>
      </c>
      <c r="F474">
        <v>1.7916480839867945E-5</v>
      </c>
      <c r="G474">
        <v>2.7184723442441657E-7</v>
      </c>
      <c r="H474" t="b">
        <v>0</v>
      </c>
    </row>
    <row r="475" spans="1:8" x14ac:dyDescent="0.15">
      <c r="A475">
        <v>23</v>
      </c>
      <c r="B475">
        <v>17</v>
      </c>
      <c r="C475">
        <v>754839.16015625</v>
      </c>
      <c r="D475">
        <v>3654979.1905921432</v>
      </c>
      <c r="E475">
        <v>1.7994875737024141E-5</v>
      </c>
      <c r="F475">
        <v>1.7916480839867945E-5</v>
      </c>
      <c r="G475">
        <v>7.8394897156195819E-8</v>
      </c>
      <c r="H475" t="b">
        <v>0</v>
      </c>
    </row>
    <row r="476" spans="1:8" x14ac:dyDescent="0.15">
      <c r="A476">
        <v>23</v>
      </c>
      <c r="B476">
        <v>18</v>
      </c>
      <c r="C476">
        <v>754479.16015625</v>
      </c>
      <c r="D476">
        <v>-6853636.3320943983</v>
      </c>
      <c r="E476">
        <v>1.7765311442228015E-5</v>
      </c>
      <c r="F476">
        <v>1.7916480839867945E-5</v>
      </c>
      <c r="G476">
        <v>-1.5116939763993019E-7</v>
      </c>
      <c r="H476" t="b">
        <v>1</v>
      </c>
    </row>
    <row r="477" spans="1:8" x14ac:dyDescent="0.15">
      <c r="A477">
        <v>23</v>
      </c>
      <c r="B477">
        <v>19</v>
      </c>
      <c r="C477">
        <v>754659.16015625</v>
      </c>
      <c r="D477">
        <v>-1689209.0561412999</v>
      </c>
      <c r="E477">
        <v>1.7879742143083159E-5</v>
      </c>
      <c r="F477">
        <v>1.7916480839867945E-5</v>
      </c>
      <c r="G477">
        <v>-3.6738696784785956E-8</v>
      </c>
      <c r="H477" t="b">
        <v>1</v>
      </c>
    </row>
    <row r="478" spans="1:8" x14ac:dyDescent="0.15">
      <c r="A478">
        <v>23</v>
      </c>
      <c r="B478">
        <v>20</v>
      </c>
      <c r="C478">
        <v>754839.16015625</v>
      </c>
      <c r="D478">
        <v>3654979.1905921432</v>
      </c>
      <c r="E478">
        <v>1.7994875737024141E-5</v>
      </c>
      <c r="F478">
        <v>1.7916480839867945E-5</v>
      </c>
      <c r="G478">
        <v>7.8394897156195819E-8</v>
      </c>
      <c r="H478" t="b">
        <v>0</v>
      </c>
    </row>
    <row r="479" spans="1:8" x14ac:dyDescent="0.15">
      <c r="A479">
        <v>23</v>
      </c>
      <c r="B479">
        <v>21</v>
      </c>
      <c r="C479">
        <v>754749.16015625</v>
      </c>
      <c r="D479">
        <v>960228.80372408871</v>
      </c>
      <c r="E479">
        <v>1.7937219865905224E-5</v>
      </c>
      <c r="F479">
        <v>1.7916480839867945E-5</v>
      </c>
      <c r="G479">
        <v>2.0739026037279164E-8</v>
      </c>
      <c r="H479" t="b">
        <v>0</v>
      </c>
    </row>
    <row r="480" spans="1:8" x14ac:dyDescent="0.15">
      <c r="A480">
        <v>23</v>
      </c>
      <c r="B480">
        <v>22</v>
      </c>
      <c r="C480">
        <v>754641.16015625</v>
      </c>
      <c r="D480">
        <v>-2213582.5631729816</v>
      </c>
      <c r="E480">
        <v>1.7868270163027782E-5</v>
      </c>
      <c r="F480">
        <v>1.7916480839867945E-5</v>
      </c>
      <c r="G480">
        <v>-4.8210676840163507E-8</v>
      </c>
      <c r="H480" t="b">
        <v>1</v>
      </c>
    </row>
    <row r="481" spans="1:8" x14ac:dyDescent="0.15">
      <c r="A481">
        <v>23</v>
      </c>
      <c r="B481">
        <v>23</v>
      </c>
      <c r="C481">
        <v>754695.16015625</v>
      </c>
      <c r="D481">
        <v>-634838.8883296696</v>
      </c>
      <c r="E481">
        <v>1.7902712193795111E-5</v>
      </c>
      <c r="F481">
        <v>1.7916480839867945E-5</v>
      </c>
      <c r="G481">
        <v>-1.3768646072834413E-8</v>
      </c>
      <c r="H481" t="b">
        <v>1</v>
      </c>
    </row>
    <row r="482" spans="1:8" x14ac:dyDescent="0.15">
      <c r="A482">
        <v>23</v>
      </c>
      <c r="B482">
        <v>24</v>
      </c>
      <c r="C482">
        <v>754749.16015625</v>
      </c>
      <c r="D482">
        <v>960228.80372408871</v>
      </c>
      <c r="E482">
        <v>1.7937219865905224E-5</v>
      </c>
      <c r="F482">
        <v>1.7916480839867945E-5</v>
      </c>
      <c r="G482">
        <v>2.0739026037279164E-8</v>
      </c>
      <c r="H482" t="b">
        <v>0</v>
      </c>
    </row>
    <row r="483" spans="1:8" x14ac:dyDescent="0.15">
      <c r="A483">
        <v>23</v>
      </c>
      <c r="B483">
        <v>25</v>
      </c>
      <c r="C483">
        <v>754722.16015625</v>
      </c>
      <c r="D483">
        <v>160665.12775970739</v>
      </c>
      <c r="E483">
        <v>1.7919958135116903E-5</v>
      </c>
      <c r="F483">
        <v>1.7916480839867945E-5</v>
      </c>
      <c r="G483">
        <v>3.4772952489577633E-9</v>
      </c>
      <c r="H483" t="b">
        <v>0</v>
      </c>
    </row>
    <row r="484" spans="1:8" x14ac:dyDescent="0.15">
      <c r="A484">
        <v>23</v>
      </c>
      <c r="B484">
        <v>26</v>
      </c>
      <c r="C484">
        <v>754735.66015625</v>
      </c>
      <c r="D484">
        <v>560057.02390223427</v>
      </c>
      <c r="E484">
        <v>1.7928589573300203E-5</v>
      </c>
      <c r="F484">
        <v>1.7916480839867945E-5</v>
      </c>
      <c r="G484">
        <v>1.2108733432257513E-8</v>
      </c>
      <c r="H484" t="b">
        <v>0</v>
      </c>
    </row>
    <row r="485" spans="1:8" x14ac:dyDescent="0.15">
      <c r="A485">
        <v>23</v>
      </c>
      <c r="B485">
        <v>27</v>
      </c>
      <c r="C485">
        <v>754751.86015624995</v>
      </c>
      <c r="D485">
        <v>1040408.7462451281</v>
      </c>
      <c r="E485">
        <v>1.7938946907931483E-5</v>
      </c>
      <c r="F485">
        <v>1.7916480839867945E-5</v>
      </c>
      <c r="G485">
        <v>2.2466068063537999E-8</v>
      </c>
      <c r="H485" t="b">
        <v>0</v>
      </c>
    </row>
    <row r="486" spans="1:8" x14ac:dyDescent="0.15">
      <c r="A486">
        <v>23</v>
      </c>
      <c r="B486">
        <v>28</v>
      </c>
      <c r="C486">
        <v>754743.76015624998</v>
      </c>
      <c r="D486">
        <v>800109.10558432608</v>
      </c>
      <c r="E486">
        <v>1.7933768804040391E-5</v>
      </c>
      <c r="F486">
        <v>1.7916480839867945E-5</v>
      </c>
      <c r="G486">
        <v>1.7287964172445523E-8</v>
      </c>
      <c r="H486" t="b">
        <v>0</v>
      </c>
    </row>
    <row r="487" spans="1:8" x14ac:dyDescent="0.15">
      <c r="A487">
        <v>23</v>
      </c>
      <c r="B487">
        <v>29</v>
      </c>
      <c r="C487">
        <v>754734.04015625</v>
      </c>
      <c r="D487">
        <v>511972.54402720794</v>
      </c>
      <c r="E487">
        <v>1.7927551350589966E-5</v>
      </c>
      <c r="F487">
        <v>1.7916480839867945E-5</v>
      </c>
      <c r="G487">
        <v>1.1070510722020787E-8</v>
      </c>
      <c r="H487" t="b">
        <v>0</v>
      </c>
    </row>
    <row r="488" spans="1:8" x14ac:dyDescent="0.15">
      <c r="A488">
        <v>23</v>
      </c>
      <c r="B488">
        <v>30</v>
      </c>
      <c r="C488">
        <v>754738.90015624999</v>
      </c>
      <c r="D488">
        <v>656033.95948612492</v>
      </c>
      <c r="E488">
        <v>1.7930661094974654E-5</v>
      </c>
      <c r="F488">
        <v>1.7916480839867945E-5</v>
      </c>
      <c r="G488">
        <v>1.4180255106709062E-8</v>
      </c>
      <c r="H488" t="b">
        <v>0</v>
      </c>
    </row>
    <row r="489" spans="1:8" x14ac:dyDescent="0.15">
      <c r="A489">
        <v>23</v>
      </c>
      <c r="B489">
        <v>31</v>
      </c>
      <c r="C489">
        <v>754744.73215625004</v>
      </c>
      <c r="D489">
        <v>828939.9410160901</v>
      </c>
      <c r="E489">
        <v>1.7934390407281937E-5</v>
      </c>
      <c r="F489">
        <v>1.7916480839867945E-5</v>
      </c>
      <c r="G489">
        <v>1.7909567413991532E-8</v>
      </c>
      <c r="H489" t="b">
        <v>0</v>
      </c>
    </row>
    <row r="490" spans="1:8" x14ac:dyDescent="0.15">
      <c r="A490">
        <v>23</v>
      </c>
      <c r="B490">
        <v>32</v>
      </c>
      <c r="C490">
        <v>754741.81615625008</v>
      </c>
      <c r="D490">
        <v>742463.24184938404</v>
      </c>
      <c r="E490">
        <v>1.7932525658984345E-5</v>
      </c>
      <c r="F490">
        <v>1.7916480839867945E-5</v>
      </c>
      <c r="G490">
        <v>1.6044819116399679E-8</v>
      </c>
      <c r="H490" t="b">
        <v>0</v>
      </c>
    </row>
    <row r="491" spans="1:8" x14ac:dyDescent="0.15">
      <c r="A491">
        <v>23</v>
      </c>
      <c r="B491">
        <v>33</v>
      </c>
      <c r="C491">
        <v>754743.27415625006</v>
      </c>
      <c r="D491">
        <v>785577.49882863741</v>
      </c>
      <c r="E491">
        <v>1.7933455462035474E-5</v>
      </c>
      <c r="F491">
        <v>1.7916480839867945E-5</v>
      </c>
      <c r="G491">
        <v>1.6974622167528357E-8</v>
      </c>
      <c r="H491" t="b">
        <v>0</v>
      </c>
    </row>
    <row r="492" spans="1:8" x14ac:dyDescent="0.15">
      <c r="A492">
        <v>23</v>
      </c>
      <c r="B492">
        <v>34</v>
      </c>
      <c r="C492">
        <v>754742.54515625001</v>
      </c>
      <c r="D492">
        <v>764077.97106235195</v>
      </c>
      <c r="E492">
        <v>1.7932991828783712E-5</v>
      </c>
      <c r="F492">
        <v>1.7916480839867945E-5</v>
      </c>
      <c r="G492">
        <v>1.6510988915766512E-8</v>
      </c>
      <c r="H492" t="b">
        <v>0</v>
      </c>
    </row>
    <row r="493" spans="1:8" x14ac:dyDescent="0.15">
      <c r="A493">
        <v>23</v>
      </c>
      <c r="B493">
        <v>35</v>
      </c>
      <c r="C493">
        <v>754741.67035625002</v>
      </c>
      <c r="D493">
        <v>738140.65179222624</v>
      </c>
      <c r="E493">
        <v>1.7932432426409974E-5</v>
      </c>
      <c r="F493">
        <v>1.7916480839867945E-5</v>
      </c>
      <c r="G493">
        <v>1.5951586542028946E-8</v>
      </c>
      <c r="H493" t="b">
        <v>0</v>
      </c>
    </row>
    <row r="494" spans="1:8" x14ac:dyDescent="0.15">
      <c r="A494">
        <v>23</v>
      </c>
      <c r="B494">
        <v>36</v>
      </c>
      <c r="C494">
        <v>754742.10775625007</v>
      </c>
      <c r="D494">
        <v>751108.77798629203</v>
      </c>
      <c r="E494">
        <v>1.7932712125523776E-5</v>
      </c>
      <c r="F494">
        <v>1.7916480839867945E-5</v>
      </c>
      <c r="G494">
        <v>1.623128565583033E-8</v>
      </c>
      <c r="H494" t="b">
        <v>0</v>
      </c>
    </row>
    <row r="495" spans="1:8" x14ac:dyDescent="0.15">
      <c r="A495">
        <v>24</v>
      </c>
      <c r="B495">
        <v>1</v>
      </c>
      <c r="C495">
        <v>6050000</v>
      </c>
      <c r="D495">
        <v>3.8647596783502418E+18</v>
      </c>
      <c r="E495">
        <v>536.87092200000006</v>
      </c>
      <c r="F495">
        <v>1.1332711551403918E-5</v>
      </c>
      <c r="G495">
        <v>536.87091066728851</v>
      </c>
      <c r="H495" t="b">
        <v>0</v>
      </c>
    </row>
    <row r="496" spans="1:8" x14ac:dyDescent="0.15">
      <c r="A496">
        <v>24</v>
      </c>
      <c r="B496">
        <v>2</v>
      </c>
      <c r="C496">
        <v>3075000</v>
      </c>
      <c r="D496">
        <v>3.3771172743154099E+17</v>
      </c>
      <c r="E496">
        <v>62.727282809235831</v>
      </c>
      <c r="F496">
        <v>1.1332711522982208E-5</v>
      </c>
      <c r="G496">
        <v>62.727271476524308</v>
      </c>
      <c r="H496" t="b">
        <v>0</v>
      </c>
    </row>
    <row r="497" spans="1:8" x14ac:dyDescent="0.15">
      <c r="A497">
        <v>24</v>
      </c>
      <c r="B497">
        <v>3</v>
      </c>
      <c r="C497">
        <v>1587500</v>
      </c>
      <c r="D497">
        <v>12491334709809.26</v>
      </c>
      <c r="E497">
        <v>1.117768267937118E-2</v>
      </c>
      <c r="F497">
        <v>1.1332711520924826E-5</v>
      </c>
      <c r="G497">
        <v>1.1166349967850256E-2</v>
      </c>
      <c r="H497" t="b">
        <v>0</v>
      </c>
    </row>
    <row r="498" spans="1:8" x14ac:dyDescent="0.15">
      <c r="A498">
        <v>24</v>
      </c>
      <c r="B498">
        <v>4</v>
      </c>
      <c r="C498">
        <v>843750</v>
      </c>
      <c r="D498">
        <v>-148034.35757794409</v>
      </c>
      <c r="E498">
        <v>-3.3457197317742219E-7</v>
      </c>
      <c r="F498">
        <v>1.1332711520924359E-5</v>
      </c>
      <c r="G498">
        <v>-1.1667283494101782E-5</v>
      </c>
      <c r="H498" t="b">
        <v>1</v>
      </c>
    </row>
    <row r="499" spans="1:8" x14ac:dyDescent="0.15">
      <c r="A499">
        <v>24</v>
      </c>
      <c r="B499">
        <v>5</v>
      </c>
      <c r="C499">
        <v>1215625</v>
      </c>
      <c r="D499">
        <v>7122189216.8163099</v>
      </c>
      <c r="E499">
        <v>4.7583073110056673E-5</v>
      </c>
      <c r="F499">
        <v>1.1332711520924359E-5</v>
      </c>
      <c r="G499">
        <v>3.6250361589132314E-5</v>
      </c>
      <c r="H499" t="b">
        <v>0</v>
      </c>
    </row>
    <row r="500" spans="1:8" x14ac:dyDescent="0.15">
      <c r="A500">
        <v>24</v>
      </c>
      <c r="B500">
        <v>6</v>
      </c>
      <c r="C500">
        <v>1029687.5</v>
      </c>
      <c r="D500">
        <v>-1654072.8764406736</v>
      </c>
      <c r="E500">
        <v>4.0661531118973882E-6</v>
      </c>
      <c r="F500">
        <v>1.1332711520924359E-5</v>
      </c>
      <c r="G500">
        <v>-7.2665584090269706E-6</v>
      </c>
      <c r="H500" t="b">
        <v>1</v>
      </c>
    </row>
    <row r="501" spans="1:8" x14ac:dyDescent="0.15">
      <c r="A501">
        <v>24</v>
      </c>
      <c r="B501">
        <v>7</v>
      </c>
      <c r="C501">
        <v>1122656.25</v>
      </c>
      <c r="D501">
        <v>-44776601.496163487</v>
      </c>
      <c r="E501">
        <v>9.7618318707554857E-6</v>
      </c>
      <c r="F501">
        <v>1.1332711520924359E-5</v>
      </c>
      <c r="G501">
        <v>-1.5708796501688731E-6</v>
      </c>
      <c r="H501" t="b">
        <v>1</v>
      </c>
    </row>
    <row r="502" spans="1:8" x14ac:dyDescent="0.15">
      <c r="A502">
        <v>24</v>
      </c>
      <c r="B502">
        <v>8</v>
      </c>
      <c r="C502">
        <v>1169140.625</v>
      </c>
      <c r="D502">
        <v>864372403.64174759</v>
      </c>
      <c r="E502">
        <v>1.8838284079875998E-5</v>
      </c>
      <c r="F502">
        <v>1.1332711520924359E-5</v>
      </c>
      <c r="G502">
        <v>7.5055725589516394E-6</v>
      </c>
      <c r="H502" t="b">
        <v>0</v>
      </c>
    </row>
    <row r="503" spans="1:8" x14ac:dyDescent="0.15">
      <c r="A503">
        <v>24</v>
      </c>
      <c r="B503">
        <v>9</v>
      </c>
      <c r="C503">
        <v>1145898.4375</v>
      </c>
      <c r="D503">
        <v>59669826.518512785</v>
      </c>
      <c r="E503">
        <v>1.2409134077135054E-5</v>
      </c>
      <c r="F503">
        <v>1.1332711520924359E-5</v>
      </c>
      <c r="G503">
        <v>1.0764225562106957E-6</v>
      </c>
      <c r="H503" t="b">
        <v>0</v>
      </c>
    </row>
    <row r="504" spans="1:8" x14ac:dyDescent="0.15">
      <c r="A504">
        <v>24</v>
      </c>
      <c r="B504">
        <v>10</v>
      </c>
      <c r="C504">
        <v>1134277.34375</v>
      </c>
      <c r="D504">
        <v>-13147929.081850212</v>
      </c>
      <c r="E504">
        <v>1.1014445344871298E-5</v>
      </c>
      <c r="F504">
        <v>1.1332711520924359E-5</v>
      </c>
      <c r="G504">
        <v>-3.1826617605306079E-7</v>
      </c>
      <c r="H504" t="b">
        <v>1</v>
      </c>
    </row>
    <row r="505" spans="1:8" x14ac:dyDescent="0.15">
      <c r="A505">
        <v>24</v>
      </c>
      <c r="B505">
        <v>11</v>
      </c>
      <c r="C505">
        <v>1140087.890625</v>
      </c>
      <c r="D505">
        <v>17386602.205736484</v>
      </c>
      <c r="E505">
        <v>1.1693270113601562E-5</v>
      </c>
      <c r="F505">
        <v>1.1332711520924359E-5</v>
      </c>
      <c r="G505">
        <v>3.6055859267720297E-7</v>
      </c>
      <c r="H505" t="b">
        <v>0</v>
      </c>
    </row>
    <row r="506" spans="1:8" x14ac:dyDescent="0.15">
      <c r="A506">
        <v>24</v>
      </c>
      <c r="B506">
        <v>12</v>
      </c>
      <c r="C506">
        <v>1137182.6171875</v>
      </c>
      <c r="D506">
        <v>743053.64373548958</v>
      </c>
      <c r="E506">
        <v>1.1349324602139372E-5</v>
      </c>
      <c r="F506">
        <v>1.1332711520924359E-5</v>
      </c>
      <c r="G506">
        <v>1.6613081215012849E-8</v>
      </c>
      <c r="H506" t="b">
        <v>0</v>
      </c>
    </row>
    <row r="507" spans="1:8" x14ac:dyDescent="0.15">
      <c r="A507">
        <v>24</v>
      </c>
      <c r="B507">
        <v>13</v>
      </c>
      <c r="C507">
        <v>1138635.25390625</v>
      </c>
      <c r="D507">
        <v>8709343.0589058977</v>
      </c>
      <c r="E507">
        <v>1.1520152097580653E-5</v>
      </c>
      <c r="F507">
        <v>1.1332711520924359E-5</v>
      </c>
      <c r="G507">
        <v>1.8744057665629374E-7</v>
      </c>
      <c r="H507" t="b">
        <v>0</v>
      </c>
    </row>
    <row r="508" spans="1:8" x14ac:dyDescent="0.15">
      <c r="A508">
        <v>24</v>
      </c>
      <c r="B508">
        <v>14</v>
      </c>
      <c r="C508">
        <v>1138135.25390625</v>
      </c>
      <c r="D508">
        <v>5888250.7929149475</v>
      </c>
      <c r="E508">
        <v>1.1461095686600041E-5</v>
      </c>
      <c r="F508">
        <v>1.1332711520924359E-5</v>
      </c>
      <c r="G508">
        <v>1.2838416567568195E-7</v>
      </c>
      <c r="H508" t="b">
        <v>0</v>
      </c>
    </row>
    <row r="509" spans="1:8" x14ac:dyDescent="0.15">
      <c r="A509">
        <v>24</v>
      </c>
      <c r="B509">
        <v>15</v>
      </c>
      <c r="C509">
        <v>1137535.25390625</v>
      </c>
      <c r="D509">
        <v>2612807.7466608793</v>
      </c>
      <c r="E509">
        <v>1.1390584819242774E-5</v>
      </c>
      <c r="F509">
        <v>1.1332711520924359E-5</v>
      </c>
      <c r="G509">
        <v>5.787329831841517E-8</v>
      </c>
      <c r="H509" t="b">
        <v>0</v>
      </c>
    </row>
    <row r="510" spans="1:8" x14ac:dyDescent="0.15">
      <c r="A510">
        <v>24</v>
      </c>
      <c r="B510">
        <v>16</v>
      </c>
      <c r="C510">
        <v>1136815.25390625</v>
      </c>
      <c r="D510">
        <v>-1161663.9479182684</v>
      </c>
      <c r="E510">
        <v>1.1306483350461499E-5</v>
      </c>
      <c r="F510">
        <v>1.1332711520924359E-5</v>
      </c>
      <c r="G510">
        <v>-2.6228170462859642E-8</v>
      </c>
      <c r="H510" t="b">
        <v>1</v>
      </c>
    </row>
    <row r="511" spans="1:8" x14ac:dyDescent="0.15">
      <c r="A511">
        <v>24</v>
      </c>
      <c r="B511">
        <v>17</v>
      </c>
      <c r="C511">
        <v>1137175.25390625</v>
      </c>
      <c r="D511">
        <v>704484.90383111569</v>
      </c>
      <c r="E511">
        <v>1.1348465369613893E-5</v>
      </c>
      <c r="F511">
        <v>1.1332711520924359E-5</v>
      </c>
      <c r="G511">
        <v>1.575384868953416E-8</v>
      </c>
      <c r="H511" t="b">
        <v>0</v>
      </c>
    </row>
    <row r="512" spans="1:8" x14ac:dyDescent="0.15">
      <c r="A512">
        <v>24</v>
      </c>
      <c r="B512">
        <v>18</v>
      </c>
      <c r="C512">
        <v>1137607.25390625</v>
      </c>
      <c r="D512">
        <v>2999581.1510844347</v>
      </c>
      <c r="E512">
        <v>1.1399025621204338E-5</v>
      </c>
      <c r="F512">
        <v>1.1332711520924359E-5</v>
      </c>
      <c r="G512">
        <v>6.6314100279979554E-8</v>
      </c>
      <c r="H512" t="b">
        <v>0</v>
      </c>
    </row>
    <row r="513" spans="1:8" x14ac:dyDescent="0.15">
      <c r="A513">
        <v>24</v>
      </c>
      <c r="B513">
        <v>19</v>
      </c>
      <c r="C513">
        <v>1137391.25390625</v>
      </c>
      <c r="D513">
        <v>1844410.3473524433</v>
      </c>
      <c r="E513">
        <v>1.1373720844372626E-5</v>
      </c>
      <c r="F513">
        <v>1.1332711520924359E-5</v>
      </c>
      <c r="G513">
        <v>4.1009323448266936E-8</v>
      </c>
      <c r="H513" t="b">
        <v>0</v>
      </c>
    </row>
    <row r="514" spans="1:8" x14ac:dyDescent="0.15">
      <c r="A514">
        <v>24</v>
      </c>
      <c r="B514">
        <v>20</v>
      </c>
      <c r="C514">
        <v>1137132.05390625</v>
      </c>
      <c r="D514">
        <v>478288.05294717639</v>
      </c>
      <c r="E514">
        <v>1.1343419408345642E-5</v>
      </c>
      <c r="F514">
        <v>1.1332711520924359E-5</v>
      </c>
      <c r="G514">
        <v>1.0707887421282933E-8</v>
      </c>
      <c r="H514" t="b">
        <v>0</v>
      </c>
    </row>
    <row r="515" spans="1:8" x14ac:dyDescent="0.15">
      <c r="A515">
        <v>24</v>
      </c>
      <c r="B515">
        <v>21</v>
      </c>
      <c r="C515">
        <v>1137261.6539062501</v>
      </c>
      <c r="D515">
        <v>1158625.5493930141</v>
      </c>
      <c r="E515">
        <v>1.1358561541865476E-5</v>
      </c>
      <c r="F515">
        <v>1.1332711520924359E-5</v>
      </c>
      <c r="G515">
        <v>2.5850020941116711E-8</v>
      </c>
      <c r="H515" t="b">
        <v>0</v>
      </c>
    </row>
    <row r="516" spans="1:8" x14ac:dyDescent="0.15">
      <c r="A516">
        <v>24</v>
      </c>
      <c r="B516">
        <v>22</v>
      </c>
      <c r="C516">
        <v>1137196.8539062501</v>
      </c>
      <c r="D516">
        <v>817791.71090383211</v>
      </c>
      <c r="E516">
        <v>1.1350988660824328E-5</v>
      </c>
      <c r="F516">
        <v>1.1332711520924359E-5</v>
      </c>
      <c r="G516">
        <v>1.8277139899969621E-8</v>
      </c>
      <c r="H516" t="b">
        <v>0</v>
      </c>
    </row>
    <row r="517" spans="1:8" x14ac:dyDescent="0.15">
      <c r="A517">
        <v>24</v>
      </c>
      <c r="B517">
        <v>23</v>
      </c>
      <c r="C517">
        <v>1137229.25390625</v>
      </c>
      <c r="D517">
        <v>987997.54892919771</v>
      </c>
      <c r="E517">
        <v>1.1354773654293998E-5</v>
      </c>
      <c r="F517">
        <v>1.1332711520924359E-5</v>
      </c>
      <c r="G517">
        <v>2.2062133369639178E-8</v>
      </c>
      <c r="H517" t="b">
        <v>0</v>
      </c>
    </row>
    <row r="518" spans="1:8" x14ac:dyDescent="0.15">
      <c r="A518">
        <v>24</v>
      </c>
      <c r="B518">
        <v>24</v>
      </c>
      <c r="C518">
        <v>1137268.1339062499</v>
      </c>
      <c r="D518">
        <v>1192744.498132871</v>
      </c>
      <c r="E518">
        <v>1.1359318194644814E-5</v>
      </c>
      <c r="F518">
        <v>1.1332711520924359E-5</v>
      </c>
      <c r="G518">
        <v>2.6606673720455573E-8</v>
      </c>
      <c r="H518" t="b">
        <v>0</v>
      </c>
    </row>
    <row r="519" spans="1:8" x14ac:dyDescent="0.15">
      <c r="A519">
        <v>24</v>
      </c>
      <c r="B519">
        <v>25</v>
      </c>
      <c r="C519">
        <v>1137248.6939062499</v>
      </c>
      <c r="D519">
        <v>1090349.1105004833</v>
      </c>
      <c r="E519">
        <v>1.1357046604703994E-5</v>
      </c>
      <c r="F519">
        <v>1.1332711520924359E-5</v>
      </c>
      <c r="G519">
        <v>2.4335083779635617E-8</v>
      </c>
      <c r="H519" t="b">
        <v>0</v>
      </c>
    </row>
    <row r="520" spans="1:8" x14ac:dyDescent="0.15">
      <c r="A520">
        <v>24</v>
      </c>
      <c r="B520">
        <v>26</v>
      </c>
      <c r="C520">
        <v>1137258.4139062499</v>
      </c>
      <c r="D520">
        <v>1141551.2964153367</v>
      </c>
      <c r="E520">
        <v>1.1358182790652559E-5</v>
      </c>
      <c r="F520">
        <v>1.1332711520924359E-5</v>
      </c>
      <c r="G520">
        <v>2.5471269728200022E-8</v>
      </c>
      <c r="H520" t="b">
        <v>0</v>
      </c>
    </row>
    <row r="521" spans="1:8" x14ac:dyDescent="0.15">
      <c r="A521">
        <v>25</v>
      </c>
      <c r="B521">
        <v>1</v>
      </c>
      <c r="C521">
        <v>6050000</v>
      </c>
      <c r="D521">
        <v>3.7644665636476134E+18</v>
      </c>
      <c r="E521">
        <v>536.87092200000006</v>
      </c>
      <c r="F521">
        <v>1.3037581538810628E-5</v>
      </c>
      <c r="G521">
        <v>536.87090896241853</v>
      </c>
      <c r="H521" t="b">
        <v>0</v>
      </c>
    </row>
    <row r="522" spans="1:8" x14ac:dyDescent="0.15">
      <c r="A522">
        <v>25</v>
      </c>
      <c r="B522">
        <v>2</v>
      </c>
      <c r="C522">
        <v>3075000</v>
      </c>
      <c r="D522">
        <v>3.7644665636476134E+18</v>
      </c>
      <c r="E522">
        <v>536.87092200000006</v>
      </c>
      <c r="F522">
        <v>1.3037581538810628E-5</v>
      </c>
      <c r="G522">
        <v>536.87090896241853</v>
      </c>
      <c r="H522" t="b">
        <v>0</v>
      </c>
    </row>
    <row r="523" spans="1:8" x14ac:dyDescent="0.15">
      <c r="A523">
        <v>25</v>
      </c>
      <c r="B523">
        <v>3</v>
      </c>
      <c r="C523">
        <v>1587500</v>
      </c>
      <c r="D523">
        <v>4191167286712503.5</v>
      </c>
      <c r="E523">
        <v>1.4343214245149705</v>
      </c>
      <c r="F523">
        <v>1.3037581582775459E-5</v>
      </c>
      <c r="G523">
        <v>1.4343083869333877</v>
      </c>
      <c r="H523" t="b">
        <v>0</v>
      </c>
    </row>
    <row r="524" spans="1:8" x14ac:dyDescent="0.15">
      <c r="A524">
        <v>25</v>
      </c>
      <c r="B524">
        <v>4</v>
      </c>
      <c r="C524">
        <v>843750</v>
      </c>
      <c r="D524">
        <v>-420243.5999011005</v>
      </c>
      <c r="E524">
        <v>2.7574314035473232E-6</v>
      </c>
      <c r="F524">
        <v>1.3037581582869497E-5</v>
      </c>
      <c r="G524">
        <v>-1.0280150179322174E-5</v>
      </c>
      <c r="H524" t="b">
        <v>1</v>
      </c>
    </row>
    <row r="525" spans="1:8" x14ac:dyDescent="0.15">
      <c r="A525">
        <v>25</v>
      </c>
      <c r="B525">
        <v>5</v>
      </c>
      <c r="C525">
        <v>1215625</v>
      </c>
      <c r="D525">
        <v>5270721177819.165</v>
      </c>
      <c r="E525">
        <v>5.6365987438188898E-3</v>
      </c>
      <c r="F525">
        <v>1.3037581582869134E-5</v>
      </c>
      <c r="G525">
        <v>5.6235611622360206E-3</v>
      </c>
      <c r="H525" t="b">
        <v>0</v>
      </c>
    </row>
    <row r="526" spans="1:8" x14ac:dyDescent="0.15">
      <c r="A526">
        <v>25</v>
      </c>
      <c r="B526">
        <v>6</v>
      </c>
      <c r="C526">
        <v>1029687.5</v>
      </c>
      <c r="D526">
        <v>22868429629.076241</v>
      </c>
      <c r="E526">
        <v>9.770162249538005E-5</v>
      </c>
      <c r="F526">
        <v>1.30375815828695E-5</v>
      </c>
      <c r="G526">
        <v>8.466404091251055E-5</v>
      </c>
      <c r="H526" t="b">
        <v>0</v>
      </c>
    </row>
    <row r="527" spans="1:8" x14ac:dyDescent="0.15">
      <c r="A527">
        <v>25</v>
      </c>
      <c r="B527">
        <v>7</v>
      </c>
      <c r="C527">
        <v>936718.75</v>
      </c>
      <c r="D527">
        <v>-81737508.27824302</v>
      </c>
      <c r="E527">
        <v>1.0259666132311559E-5</v>
      </c>
      <c r="F527">
        <v>1.3037581582869497E-5</v>
      </c>
      <c r="G527">
        <v>-2.7779154505579381E-6</v>
      </c>
      <c r="H527" t="b">
        <v>1</v>
      </c>
    </row>
    <row r="528" spans="1:8" x14ac:dyDescent="0.15">
      <c r="A528">
        <v>25</v>
      </c>
      <c r="B528">
        <v>8</v>
      </c>
      <c r="C528">
        <v>983203.125</v>
      </c>
      <c r="D528">
        <v>2790057977.34196</v>
      </c>
      <c r="E528">
        <v>3.0664119383080173E-5</v>
      </c>
      <c r="F528">
        <v>1.3037581582869497E-5</v>
      </c>
      <c r="G528">
        <v>1.7626537800210676E-5</v>
      </c>
      <c r="H528" t="b">
        <v>0</v>
      </c>
    </row>
    <row r="529" spans="1:8" x14ac:dyDescent="0.15">
      <c r="A529">
        <v>25</v>
      </c>
      <c r="B529">
        <v>9</v>
      </c>
      <c r="C529">
        <v>959960.9375</v>
      </c>
      <c r="D529">
        <v>351323936.79220539</v>
      </c>
      <c r="E529">
        <v>1.6655477104042101E-5</v>
      </c>
      <c r="F529">
        <v>1.3037581582869497E-5</v>
      </c>
      <c r="G529">
        <v>3.617895521172604E-6</v>
      </c>
      <c r="H529" t="b">
        <v>0</v>
      </c>
    </row>
    <row r="530" spans="1:8" x14ac:dyDescent="0.15">
      <c r="A530">
        <v>25</v>
      </c>
      <c r="B530">
        <v>10</v>
      </c>
      <c r="C530">
        <v>948339.84375</v>
      </c>
      <c r="D530">
        <v>-43657159.318634681</v>
      </c>
      <c r="E530">
        <v>1.2177182826908662E-5</v>
      </c>
      <c r="F530">
        <v>1.3037581582869497E-5</v>
      </c>
      <c r="G530">
        <v>-8.6039875596083446E-7</v>
      </c>
      <c r="H530" t="b">
        <v>1</v>
      </c>
    </row>
    <row r="531" spans="1:8" x14ac:dyDescent="0.15">
      <c r="A531">
        <v>25</v>
      </c>
      <c r="B531">
        <v>11</v>
      </c>
      <c r="C531">
        <v>954150.390625</v>
      </c>
      <c r="D531">
        <v>88483760.464125574</v>
      </c>
      <c r="E531">
        <v>1.4250920852705704E-5</v>
      </c>
      <c r="F531">
        <v>1.3037581582869497E-5</v>
      </c>
      <c r="G531">
        <v>1.2133392698362069E-6</v>
      </c>
      <c r="H531" t="b">
        <v>0</v>
      </c>
    </row>
    <row r="532" spans="1:8" x14ac:dyDescent="0.15">
      <c r="A532">
        <v>25</v>
      </c>
      <c r="B532">
        <v>12</v>
      </c>
      <c r="C532">
        <v>951245.1171875</v>
      </c>
      <c r="D532">
        <v>8493700.9421583302</v>
      </c>
      <c r="E532">
        <v>1.3175535638749862E-5</v>
      </c>
      <c r="F532">
        <v>1.3037581582869497E-5</v>
      </c>
      <c r="G532">
        <v>1.3795405588036463E-7</v>
      </c>
      <c r="H532" t="b">
        <v>0</v>
      </c>
    </row>
    <row r="533" spans="1:8" x14ac:dyDescent="0.15">
      <c r="A533">
        <v>25</v>
      </c>
      <c r="B533">
        <v>13</v>
      </c>
      <c r="C533">
        <v>949792.48046875</v>
      </c>
      <c r="D533">
        <v>-20780897.711062327</v>
      </c>
      <c r="E533">
        <v>1.2667064673091707E-5</v>
      </c>
      <c r="F533">
        <v>1.3037581582869497E-5</v>
      </c>
      <c r="G533">
        <v>-3.7051690977779004E-7</v>
      </c>
      <c r="H533" t="b">
        <v>1</v>
      </c>
    </row>
    <row r="534" spans="1:8" x14ac:dyDescent="0.15">
      <c r="A534">
        <v>25</v>
      </c>
      <c r="B534">
        <v>14</v>
      </c>
      <c r="C534">
        <v>950292.48046875</v>
      </c>
      <c r="D534">
        <v>-11454372.698701637</v>
      </c>
      <c r="E534">
        <v>1.2839950103993988E-5</v>
      </c>
      <c r="F534">
        <v>1.3037581582869497E-5</v>
      </c>
      <c r="G534">
        <v>-1.97631478875509E-7</v>
      </c>
      <c r="H534" t="b">
        <v>1</v>
      </c>
    </row>
    <row r="535" spans="1:8" x14ac:dyDescent="0.15">
      <c r="A535">
        <v>25</v>
      </c>
      <c r="B535">
        <v>15</v>
      </c>
      <c r="C535">
        <v>950792.48046875</v>
      </c>
      <c r="D535">
        <v>-1347566.6240002539</v>
      </c>
      <c r="E535">
        <v>1.3015064441816E-5</v>
      </c>
      <c r="F535">
        <v>1.3037581582869497E-5</v>
      </c>
      <c r="G535">
        <v>-2.2517141053496508E-8</v>
      </c>
      <c r="H535" t="b">
        <v>1</v>
      </c>
    </row>
    <row r="536" spans="1:8" x14ac:dyDescent="0.15">
      <c r="A536">
        <v>25</v>
      </c>
      <c r="B536">
        <v>16</v>
      </c>
      <c r="C536">
        <v>951292.48046875</v>
      </c>
      <c r="D536">
        <v>9562085.401281707</v>
      </c>
      <c r="E536">
        <v>1.3192433043176089E-5</v>
      </c>
      <c r="F536">
        <v>1.3037581582869497E-5</v>
      </c>
      <c r="G536">
        <v>1.5485146030659256E-7</v>
      </c>
      <c r="H536" t="b">
        <v>0</v>
      </c>
    </row>
    <row r="537" spans="1:8" x14ac:dyDescent="0.15">
      <c r="A537">
        <v>25</v>
      </c>
      <c r="B537">
        <v>17</v>
      </c>
      <c r="C537">
        <v>951042.48046875</v>
      </c>
      <c r="D537">
        <v>4005517.1396071445</v>
      </c>
      <c r="E537">
        <v>1.310346591464569E-5</v>
      </c>
      <c r="F537">
        <v>1.3037581582869497E-5</v>
      </c>
      <c r="G537">
        <v>6.5884331776193563E-8</v>
      </c>
      <c r="H537" t="b">
        <v>0</v>
      </c>
    </row>
    <row r="538" spans="1:8" x14ac:dyDescent="0.15">
      <c r="A538">
        <v>25</v>
      </c>
      <c r="B538">
        <v>18</v>
      </c>
      <c r="C538">
        <v>950742.48046875</v>
      </c>
      <c r="D538">
        <v>-2394004.00362089</v>
      </c>
      <c r="E538">
        <v>1.2997451935546858E-5</v>
      </c>
      <c r="F538">
        <v>1.3037581582869497E-5</v>
      </c>
      <c r="G538">
        <v>-4.0129647322638575E-8</v>
      </c>
      <c r="H538" t="b">
        <v>1</v>
      </c>
    </row>
    <row r="539" spans="1:8" x14ac:dyDescent="0.15">
      <c r="A539">
        <v>25</v>
      </c>
      <c r="B539">
        <v>19</v>
      </c>
      <c r="C539">
        <v>950892.48046875</v>
      </c>
      <c r="D539">
        <v>769418.93015786679</v>
      </c>
      <c r="E539">
        <v>1.3050357160819338E-5</v>
      </c>
      <c r="F539">
        <v>1.3037581582869497E-5</v>
      </c>
      <c r="G539">
        <v>1.2775577949840654E-8</v>
      </c>
      <c r="H539" t="b">
        <v>0</v>
      </c>
    </row>
    <row r="540" spans="1:8" x14ac:dyDescent="0.15">
      <c r="A540">
        <v>25</v>
      </c>
      <c r="B540">
        <v>20</v>
      </c>
      <c r="C540">
        <v>951072.48046875</v>
      </c>
      <c r="D540">
        <v>4661512.2262479905</v>
      </c>
      <c r="E540">
        <v>1.3114112153747779E-5</v>
      </c>
      <c r="F540">
        <v>1.3037581582869497E-5</v>
      </c>
      <c r="G540">
        <v>7.6530570878282283E-8</v>
      </c>
      <c r="H540" t="b">
        <v>0</v>
      </c>
    </row>
    <row r="541" spans="1:8" x14ac:dyDescent="0.15">
      <c r="A541">
        <v>25</v>
      </c>
      <c r="B541">
        <v>21</v>
      </c>
      <c r="C541">
        <v>950982.48046875</v>
      </c>
      <c r="D541">
        <v>2702317.2735143253</v>
      </c>
      <c r="E541">
        <v>1.308219794250362E-5</v>
      </c>
      <c r="F541">
        <v>1.3037581582869497E-5</v>
      </c>
      <c r="G541">
        <v>4.4616359634122864E-8</v>
      </c>
      <c r="H541" t="b">
        <v>0</v>
      </c>
    </row>
    <row r="542" spans="1:8" x14ac:dyDescent="0.15">
      <c r="A542">
        <v>25</v>
      </c>
      <c r="B542">
        <v>22</v>
      </c>
      <c r="C542">
        <v>950874.48046875</v>
      </c>
      <c r="D542">
        <v>385983.09618882235</v>
      </c>
      <c r="E542">
        <v>1.3043997802002068E-5</v>
      </c>
      <c r="F542">
        <v>1.3037581582869497E-5</v>
      </c>
      <c r="G542">
        <v>6.4162191325709494E-9</v>
      </c>
      <c r="H542" t="b">
        <v>0</v>
      </c>
    </row>
    <row r="543" spans="1:8" x14ac:dyDescent="0.15">
      <c r="A543">
        <v>25</v>
      </c>
      <c r="B543">
        <v>23</v>
      </c>
      <c r="C543">
        <v>950928.48046875</v>
      </c>
      <c r="D543">
        <v>1539431.2289598563</v>
      </c>
      <c r="E543">
        <v>1.306308467215126E-5</v>
      </c>
      <c r="F543">
        <v>1.3037581582869497E-5</v>
      </c>
      <c r="G543">
        <v>2.550308928176349E-8</v>
      </c>
      <c r="H543" t="b">
        <v>0</v>
      </c>
    </row>
    <row r="544" spans="1:8" x14ac:dyDescent="0.15">
      <c r="A544">
        <v>25</v>
      </c>
      <c r="B544">
        <v>24</v>
      </c>
      <c r="C544">
        <v>950901.48046875</v>
      </c>
      <c r="D544">
        <v>961424.48822193325</v>
      </c>
      <c r="E544">
        <v>1.3053536206036016E-5</v>
      </c>
      <c r="F544">
        <v>1.3037581582869497E-5</v>
      </c>
      <c r="G544">
        <v>1.5954623166518811E-8</v>
      </c>
      <c r="H544" t="b">
        <v>0</v>
      </c>
    </row>
    <row r="545" spans="1:8" x14ac:dyDescent="0.15">
      <c r="A545">
        <v>25</v>
      </c>
      <c r="B545">
        <v>25</v>
      </c>
      <c r="C545">
        <v>950869.08046874998</v>
      </c>
      <c r="D545">
        <v>271156.25817382603</v>
      </c>
      <c r="E545">
        <v>1.3042090565675383E-5</v>
      </c>
      <c r="F545">
        <v>1.3037581582869497E-5</v>
      </c>
      <c r="G545">
        <v>4.5089828058860902E-9</v>
      </c>
      <c r="H545" t="b">
        <v>0</v>
      </c>
    </row>
    <row r="546" spans="1:8" x14ac:dyDescent="0.15">
      <c r="A546">
        <v>25</v>
      </c>
      <c r="B546">
        <v>26</v>
      </c>
      <c r="C546">
        <v>950885.28046874993</v>
      </c>
      <c r="D546">
        <v>615814.5979813165</v>
      </c>
      <c r="E546">
        <v>1.3047811333306881E-5</v>
      </c>
      <c r="F546">
        <v>1.3037581582869497E-5</v>
      </c>
      <c r="G546">
        <v>1.0229750437384149E-8</v>
      </c>
      <c r="H546" t="b">
        <v>0</v>
      </c>
    </row>
    <row r="547" spans="1:8" x14ac:dyDescent="0.15">
      <c r="A547">
        <v>25</v>
      </c>
      <c r="B547">
        <v>27</v>
      </c>
      <c r="C547">
        <v>950904.72046874987</v>
      </c>
      <c r="D547">
        <v>1030648.2149778184</v>
      </c>
      <c r="E547">
        <v>1.3054681465487107E-5</v>
      </c>
      <c r="F547">
        <v>1.3037581582869497E-5</v>
      </c>
      <c r="G547">
        <v>1.7099882617610271E-8</v>
      </c>
      <c r="H547" t="b">
        <v>0</v>
      </c>
    </row>
    <row r="548" spans="1:8" x14ac:dyDescent="0.15">
      <c r="A548">
        <v>25</v>
      </c>
      <c r="B548">
        <v>28</v>
      </c>
      <c r="C548">
        <v>950895.0004687499</v>
      </c>
      <c r="D548">
        <v>823183.43487649015</v>
      </c>
      <c r="E548">
        <v>1.3051247704902934E-5</v>
      </c>
      <c r="F548">
        <v>1.3037581582869497E-5</v>
      </c>
      <c r="G548">
        <v>1.3666122033437582E-8</v>
      </c>
      <c r="H548" t="b">
        <v>0</v>
      </c>
    </row>
    <row r="549" spans="1:8" x14ac:dyDescent="0.15">
      <c r="A549">
        <v>25</v>
      </c>
      <c r="B549">
        <v>29</v>
      </c>
      <c r="C549">
        <v>950899.86046874989</v>
      </c>
      <c r="D549">
        <v>926930.05834105483</v>
      </c>
      <c r="E549">
        <v>1.3052965345011916E-5</v>
      </c>
      <c r="F549">
        <v>1.3037581582869497E-5</v>
      </c>
      <c r="G549">
        <v>1.5383762142419336E-8</v>
      </c>
      <c r="H549" t="b">
        <v>0</v>
      </c>
    </row>
    <row r="550" spans="1:8" x14ac:dyDescent="0.15">
      <c r="A550">
        <v>25</v>
      </c>
      <c r="B550">
        <v>30</v>
      </c>
      <c r="C550">
        <v>950905.69246874994</v>
      </c>
      <c r="D550">
        <v>1051421.9491539616</v>
      </c>
      <c r="E550">
        <v>1.305502506184323E-5</v>
      </c>
      <c r="F550">
        <v>1.3037581582869497E-5</v>
      </c>
      <c r="G550">
        <v>1.7443478973733399E-8</v>
      </c>
      <c r="H550" t="b">
        <v>0</v>
      </c>
    </row>
    <row r="551" spans="1:8" x14ac:dyDescent="0.15">
      <c r="A551">
        <v>25</v>
      </c>
      <c r="B551">
        <v>31</v>
      </c>
      <c r="C551">
        <v>950902.77646874997</v>
      </c>
      <c r="D551">
        <v>989214.6662025518</v>
      </c>
      <c r="E551">
        <v>1.3053996031647953E-5</v>
      </c>
      <c r="F551">
        <v>1.3037581582869497E-5</v>
      </c>
      <c r="G551">
        <v>1.6414448778455745E-8</v>
      </c>
      <c r="H551" t="b">
        <v>0</v>
      </c>
    </row>
    <row r="552" spans="1:8" x14ac:dyDescent="0.15">
      <c r="A552">
        <v>25</v>
      </c>
      <c r="B552">
        <v>32</v>
      </c>
      <c r="C552">
        <v>950899.27726875001</v>
      </c>
      <c r="D552">
        <v>914371.73204751848</v>
      </c>
      <c r="E552">
        <v>1.3052757483860445E-5</v>
      </c>
      <c r="F552">
        <v>1.3037581582869497E-5</v>
      </c>
      <c r="G552">
        <v>1.5175900990947773E-8</v>
      </c>
      <c r="H552" t="b">
        <v>0</v>
      </c>
    </row>
    <row r="553" spans="1:8" x14ac:dyDescent="0.15">
      <c r="A553">
        <v>25</v>
      </c>
      <c r="B553">
        <v>33</v>
      </c>
      <c r="C553">
        <v>950901.02686874999</v>
      </c>
      <c r="D553">
        <v>951840.60416425206</v>
      </c>
      <c r="E553">
        <v>1.3053377610436084E-5</v>
      </c>
      <c r="F553">
        <v>1.3037581582869497E-5</v>
      </c>
      <c r="G553">
        <v>1.5796027566587125E-8</v>
      </c>
      <c r="H553" t="b">
        <v>0</v>
      </c>
    </row>
    <row r="554" spans="1:8" x14ac:dyDescent="0.15">
      <c r="A554">
        <v>26</v>
      </c>
      <c r="B554">
        <v>1</v>
      </c>
      <c r="C554">
        <v>6050000</v>
      </c>
      <c r="D554">
        <v>6.1396600037568246E+18</v>
      </c>
      <c r="E554">
        <v>536.87092200000006</v>
      </c>
      <c r="F554">
        <v>8.4234741279942682E-6</v>
      </c>
      <c r="G554">
        <v>536.87091357652594</v>
      </c>
      <c r="H554" t="b">
        <v>0</v>
      </c>
    </row>
    <row r="555" spans="1:8" x14ac:dyDescent="0.15">
      <c r="A555">
        <v>26</v>
      </c>
      <c r="B555">
        <v>2</v>
      </c>
      <c r="C555">
        <v>3075000</v>
      </c>
      <c r="D555">
        <v>7.006824486233044E+16</v>
      </c>
      <c r="E555">
        <v>10.625308945535867</v>
      </c>
      <c r="F555">
        <v>8.4234741439814798E-6</v>
      </c>
      <c r="G555">
        <v>10.625300522061723</v>
      </c>
      <c r="H555" t="b">
        <v>0</v>
      </c>
    </row>
    <row r="556" spans="1:8" x14ac:dyDescent="0.15">
      <c r="A556">
        <v>26</v>
      </c>
      <c r="B556">
        <v>3</v>
      </c>
      <c r="C556">
        <v>1587500</v>
      </c>
      <c r="D556">
        <v>484939203518.09827</v>
      </c>
      <c r="E556">
        <v>5.9895494561274236E-4</v>
      </c>
      <c r="F556">
        <v>8.4234741448604425E-6</v>
      </c>
      <c r="G556">
        <v>5.9053147146788192E-4</v>
      </c>
      <c r="H556" t="b">
        <v>0</v>
      </c>
    </row>
    <row r="557" spans="1:8" x14ac:dyDescent="0.15">
      <c r="A557">
        <v>26</v>
      </c>
      <c r="B557">
        <v>4</v>
      </c>
      <c r="C557">
        <v>843750</v>
      </c>
      <c r="D557">
        <v>-59736.461541769975</v>
      </c>
      <c r="E557">
        <v>-2.9074642042844166E-6</v>
      </c>
      <c r="F557">
        <v>8.4234741448604967E-6</v>
      </c>
      <c r="G557">
        <v>-1.1330938349144913E-5</v>
      </c>
      <c r="H557" t="b">
        <v>1</v>
      </c>
    </row>
    <row r="558" spans="1:8" x14ac:dyDescent="0.15">
      <c r="A558">
        <v>26</v>
      </c>
      <c r="B558">
        <v>5</v>
      </c>
      <c r="C558">
        <v>1215625</v>
      </c>
      <c r="D558">
        <v>-7154550.8232987085</v>
      </c>
      <c r="E558">
        <v>4.3503054279331237E-6</v>
      </c>
      <c r="F558">
        <v>8.4234741448604967E-6</v>
      </c>
      <c r="G558">
        <v>-4.073168716927373E-6</v>
      </c>
      <c r="H558" t="b">
        <v>1</v>
      </c>
    </row>
    <row r="559" spans="1:8" x14ac:dyDescent="0.15">
      <c r="A559">
        <v>26</v>
      </c>
      <c r="B559">
        <v>6</v>
      </c>
      <c r="C559">
        <v>1401562.5</v>
      </c>
      <c r="D559">
        <v>9904792577.399292</v>
      </c>
      <c r="E559">
        <v>4.0938410695974082E-5</v>
      </c>
      <c r="F559">
        <v>8.4234741448604967E-6</v>
      </c>
      <c r="G559">
        <v>3.2514936551113586E-5</v>
      </c>
      <c r="H559" t="b">
        <v>0</v>
      </c>
    </row>
    <row r="560" spans="1:8" x14ac:dyDescent="0.15">
      <c r="A560">
        <v>26</v>
      </c>
      <c r="B560">
        <v>7</v>
      </c>
      <c r="C560">
        <v>1308593.75</v>
      </c>
      <c r="D560">
        <v>98131002.499692231</v>
      </c>
      <c r="E560">
        <v>9.6841076378324028E-6</v>
      </c>
      <c r="F560">
        <v>8.4234741448604967E-6</v>
      </c>
      <c r="G560">
        <v>1.2606334929719061E-6</v>
      </c>
      <c r="H560" t="b">
        <v>0</v>
      </c>
    </row>
    <row r="561" spans="1:8" x14ac:dyDescent="0.15">
      <c r="A561">
        <v>26</v>
      </c>
      <c r="B561">
        <v>8</v>
      </c>
      <c r="C561">
        <v>1262109.375</v>
      </c>
      <c r="D561">
        <v>-38569053.991120256</v>
      </c>
      <c r="E561">
        <v>6.3781787010232865E-6</v>
      </c>
      <c r="F561">
        <v>8.4234741448604967E-6</v>
      </c>
      <c r="G561">
        <v>-2.0452954438372101E-6</v>
      </c>
      <c r="H561" t="b">
        <v>1</v>
      </c>
    </row>
    <row r="562" spans="1:8" x14ac:dyDescent="0.15">
      <c r="A562">
        <v>26</v>
      </c>
      <c r="B562">
        <v>9</v>
      </c>
      <c r="C562">
        <v>1285351.5625</v>
      </c>
      <c r="D562">
        <v>-24644959.164507236</v>
      </c>
      <c r="E562">
        <v>7.8749156946018696E-6</v>
      </c>
      <c r="F562">
        <v>8.4234741448604967E-6</v>
      </c>
      <c r="G562">
        <v>-5.4855845025862708E-7</v>
      </c>
      <c r="H562" t="b">
        <v>1</v>
      </c>
    </row>
    <row r="563" spans="1:8" x14ac:dyDescent="0.15">
      <c r="A563">
        <v>26</v>
      </c>
      <c r="B563">
        <v>10</v>
      </c>
      <c r="C563">
        <v>1296972.65625</v>
      </c>
      <c r="D563">
        <v>19045781.307120442</v>
      </c>
      <c r="E563">
        <v>8.7374896128310856E-6</v>
      </c>
      <c r="F563">
        <v>8.4234741448604967E-6</v>
      </c>
      <c r="G563">
        <v>3.1401546797058898E-7</v>
      </c>
      <c r="H563" t="b">
        <v>0</v>
      </c>
    </row>
    <row r="564" spans="1:8" x14ac:dyDescent="0.15">
      <c r="A564">
        <v>26</v>
      </c>
      <c r="B564">
        <v>11</v>
      </c>
      <c r="C564">
        <v>1291162.109375</v>
      </c>
      <c r="D564">
        <v>-6700287.2788781468</v>
      </c>
      <c r="E564">
        <v>8.2960794387865796E-6</v>
      </c>
      <c r="F564">
        <v>8.4234741448604967E-6</v>
      </c>
      <c r="G564">
        <v>-1.2739470607391707E-7</v>
      </c>
      <c r="H564" t="b">
        <v>1</v>
      </c>
    </row>
    <row r="565" spans="1:8" x14ac:dyDescent="0.15">
      <c r="A565">
        <v>26</v>
      </c>
      <c r="B565">
        <v>12</v>
      </c>
      <c r="C565">
        <v>1294067.3828125</v>
      </c>
      <c r="D565">
        <v>5133308.7302625971</v>
      </c>
      <c r="E565">
        <v>8.5142063814121416E-6</v>
      </c>
      <c r="F565">
        <v>8.4234741448604967E-6</v>
      </c>
      <c r="G565">
        <v>9.0732236551644901E-8</v>
      </c>
      <c r="H565" t="b">
        <v>0</v>
      </c>
    </row>
    <row r="566" spans="1:8" x14ac:dyDescent="0.15">
      <c r="A566">
        <v>26</v>
      </c>
      <c r="B566">
        <v>13</v>
      </c>
      <c r="C566">
        <v>1292614.74609375</v>
      </c>
      <c r="D566">
        <v>-1035213.7895507287</v>
      </c>
      <c r="E566">
        <v>8.404505025318883E-6</v>
      </c>
      <c r="F566">
        <v>8.4234741448604967E-6</v>
      </c>
      <c r="G566">
        <v>-1.8969119541613669E-8</v>
      </c>
      <c r="H566" t="b">
        <v>1</v>
      </c>
    </row>
    <row r="567" spans="1:8" x14ac:dyDescent="0.15">
      <c r="A567">
        <v>26</v>
      </c>
      <c r="B567">
        <v>14</v>
      </c>
      <c r="C567">
        <v>1293114.74609375</v>
      </c>
      <c r="D567">
        <v>1030335.504028935</v>
      </c>
      <c r="E567">
        <v>8.4421192677058509E-6</v>
      </c>
      <c r="F567">
        <v>8.4234741448604967E-6</v>
      </c>
      <c r="G567">
        <v>1.8645122845354245E-8</v>
      </c>
      <c r="H567" t="b">
        <v>0</v>
      </c>
    </row>
    <row r="568" spans="1:8" x14ac:dyDescent="0.15">
      <c r="A568">
        <v>26</v>
      </c>
      <c r="B568">
        <v>15</v>
      </c>
      <c r="C568">
        <v>1293714.74609375</v>
      </c>
      <c r="D568">
        <v>3588741.76629776</v>
      </c>
      <c r="E568">
        <v>8.4874581668586836E-6</v>
      </c>
      <c r="F568">
        <v>8.4234741448604967E-6</v>
      </c>
      <c r="G568">
        <v>6.3984021998186925E-8</v>
      </c>
      <c r="H568" t="b">
        <v>0</v>
      </c>
    </row>
    <row r="569" spans="1:8" x14ac:dyDescent="0.15">
      <c r="A569">
        <v>26</v>
      </c>
      <c r="B569">
        <v>16</v>
      </c>
      <c r="C569">
        <v>1293414.74609375</v>
      </c>
      <c r="D569">
        <v>2298629.4971874673</v>
      </c>
      <c r="E569">
        <v>8.4647616677046177E-6</v>
      </c>
      <c r="F569">
        <v>8.4234741448604967E-6</v>
      </c>
      <c r="G569">
        <v>4.1287522844121039E-8</v>
      </c>
      <c r="H569" t="b">
        <v>0</v>
      </c>
    </row>
    <row r="570" spans="1:8" x14ac:dyDescent="0.15">
      <c r="A570">
        <v>26</v>
      </c>
      <c r="B570">
        <v>17</v>
      </c>
      <c r="C570">
        <v>1293054.74609375</v>
      </c>
      <c r="D570">
        <v>779329.71912992757</v>
      </c>
      <c r="E570">
        <v>8.4375981219579212E-6</v>
      </c>
      <c r="F570">
        <v>8.4234741448604967E-6</v>
      </c>
      <c r="G570">
        <v>1.4123977097424509E-8</v>
      </c>
      <c r="H570" t="b">
        <v>0</v>
      </c>
    </row>
    <row r="571" spans="1:8" x14ac:dyDescent="0.15">
      <c r="A571">
        <v>26</v>
      </c>
      <c r="B571">
        <v>18</v>
      </c>
      <c r="C571">
        <v>1293234.74609375</v>
      </c>
      <c r="D571">
        <v>1535025.1101938663</v>
      </c>
      <c r="E571">
        <v>8.4511694062344196E-6</v>
      </c>
      <c r="F571">
        <v>8.4234741448604967E-6</v>
      </c>
      <c r="G571">
        <v>2.7695261373922937E-8</v>
      </c>
      <c r="H571" t="b">
        <v>0</v>
      </c>
    </row>
    <row r="572" spans="1:8" x14ac:dyDescent="0.15">
      <c r="A572">
        <v>26</v>
      </c>
      <c r="B572">
        <v>19</v>
      </c>
      <c r="C572">
        <v>1293144.74609375</v>
      </c>
      <c r="D572">
        <v>1156217.8051123985</v>
      </c>
      <c r="E572">
        <v>8.4443816277796239E-6</v>
      </c>
      <c r="F572">
        <v>8.4234741448604967E-6</v>
      </c>
      <c r="G572">
        <v>2.0907482919127222E-8</v>
      </c>
      <c r="H572" t="b">
        <v>0</v>
      </c>
    </row>
    <row r="573" spans="1:8" x14ac:dyDescent="0.15">
      <c r="A573">
        <v>26</v>
      </c>
      <c r="B573">
        <v>20</v>
      </c>
      <c r="C573">
        <v>1293189.74609375</v>
      </c>
      <c r="D573">
        <v>1345394.8624890221</v>
      </c>
      <c r="E573">
        <v>8.447775224964179E-6</v>
      </c>
      <c r="F573">
        <v>8.4234741448604967E-6</v>
      </c>
      <c r="G573">
        <v>2.4301080103682364E-8</v>
      </c>
      <c r="H573" t="b">
        <v>0</v>
      </c>
    </row>
    <row r="574" spans="1:8" x14ac:dyDescent="0.15">
      <c r="A574">
        <v>26</v>
      </c>
      <c r="B574">
        <v>21</v>
      </c>
      <c r="C574">
        <v>1293167.24609375</v>
      </c>
      <c r="D574">
        <v>1250745.1992572921</v>
      </c>
      <c r="E574">
        <v>8.4460782726454894E-6</v>
      </c>
      <c r="F574">
        <v>8.4234741448604967E-6</v>
      </c>
      <c r="G574">
        <v>2.26041277849927E-8</v>
      </c>
      <c r="H574" t="b">
        <v>0</v>
      </c>
    </row>
    <row r="575" spans="1:8" x14ac:dyDescent="0.15">
      <c r="A575">
        <v>26</v>
      </c>
      <c r="B575">
        <v>22</v>
      </c>
      <c r="C575">
        <v>1293178.49609375</v>
      </c>
      <c r="D575">
        <v>1298018.7385118625</v>
      </c>
      <c r="E575">
        <v>8.4469260648453051E-6</v>
      </c>
      <c r="F575">
        <v>8.4234741448604967E-6</v>
      </c>
      <c r="G575">
        <v>2.3451919984808403E-8</v>
      </c>
      <c r="H575" t="b">
        <v>0</v>
      </c>
    </row>
    <row r="576" spans="1:8" x14ac:dyDescent="0.15">
      <c r="A576">
        <v>27</v>
      </c>
      <c r="B576">
        <v>1</v>
      </c>
      <c r="C576">
        <v>6050000</v>
      </c>
      <c r="D576">
        <v>3.8367849841394714E+18</v>
      </c>
      <c r="E576">
        <v>536.87092200000006</v>
      </c>
      <c r="F576">
        <v>1.1385607990632707E-5</v>
      </c>
      <c r="G576">
        <v>536.87091061439207</v>
      </c>
      <c r="H576" t="b">
        <v>0</v>
      </c>
    </row>
    <row r="577" spans="1:8" x14ac:dyDescent="0.15">
      <c r="A577">
        <v>27</v>
      </c>
      <c r="B577">
        <v>2</v>
      </c>
      <c r="C577">
        <v>3075000</v>
      </c>
      <c r="D577">
        <v>4683640434749664</v>
      </c>
      <c r="E577">
        <v>1.5594415640223598</v>
      </c>
      <c r="F577">
        <v>1.1385607960656685E-5</v>
      </c>
      <c r="G577">
        <v>1.5594301784143991</v>
      </c>
      <c r="H577" t="b">
        <v>0</v>
      </c>
    </row>
    <row r="578" spans="1:8" x14ac:dyDescent="0.15">
      <c r="A578">
        <v>27</v>
      </c>
      <c r="B578">
        <v>3</v>
      </c>
      <c r="C578">
        <v>1587500</v>
      </c>
      <c r="D578">
        <v>2606305587.5411887</v>
      </c>
      <c r="E578">
        <v>2.8715775529919315E-5</v>
      </c>
      <c r="F578">
        <v>1.1385607960680792E-5</v>
      </c>
      <c r="G578">
        <v>1.7330167569238523E-5</v>
      </c>
      <c r="H578" t="b">
        <v>0</v>
      </c>
    </row>
    <row r="579" spans="1:8" x14ac:dyDescent="0.15">
      <c r="A579">
        <v>27</v>
      </c>
      <c r="B579">
        <v>4</v>
      </c>
      <c r="C579">
        <v>843750</v>
      </c>
      <c r="D579">
        <v>-36333.785834928807</v>
      </c>
      <c r="E579">
        <v>-5.5807013160976763E-6</v>
      </c>
      <c r="F579">
        <v>1.1385607960680793E-5</v>
      </c>
      <c r="G579">
        <v>-1.696630927677847E-5</v>
      </c>
      <c r="H579" t="b">
        <v>1</v>
      </c>
    </row>
    <row r="580" spans="1:8" x14ac:dyDescent="0.15">
      <c r="A580">
        <v>27</v>
      </c>
      <c r="B580">
        <v>5</v>
      </c>
      <c r="C580">
        <v>1215625</v>
      </c>
      <c r="D580">
        <v>-391930.80483131873</v>
      </c>
      <c r="E580">
        <v>1.8837421284594315E-6</v>
      </c>
      <c r="F580">
        <v>1.1385607960680792E-5</v>
      </c>
      <c r="G580">
        <v>-9.5018658322213604E-6</v>
      </c>
      <c r="H580" t="b">
        <v>1</v>
      </c>
    </row>
    <row r="581" spans="1:8" x14ac:dyDescent="0.15">
      <c r="A581">
        <v>27</v>
      </c>
      <c r="B581">
        <v>6</v>
      </c>
      <c r="C581">
        <v>1401562.5</v>
      </c>
      <c r="D581">
        <v>-11154680.038224708</v>
      </c>
      <c r="E581">
        <v>6.2874579725559771E-6</v>
      </c>
      <c r="F581">
        <v>1.1385607960680792E-5</v>
      </c>
      <c r="G581">
        <v>-5.0981499881248146E-6</v>
      </c>
      <c r="H581" t="b">
        <v>1</v>
      </c>
    </row>
    <row r="582" spans="1:8" x14ac:dyDescent="0.15">
      <c r="A582">
        <v>27</v>
      </c>
      <c r="B582">
        <v>7</v>
      </c>
      <c r="C582">
        <v>1494531.25</v>
      </c>
      <c r="D582">
        <v>-7764598.4814359481</v>
      </c>
      <c r="E582">
        <v>1.120318530288243E-5</v>
      </c>
      <c r="F582">
        <v>1.1385607960680792E-5</v>
      </c>
      <c r="G582">
        <v>-1.8242265779836208E-7</v>
      </c>
      <c r="H582" t="b">
        <v>1</v>
      </c>
    </row>
    <row r="583" spans="1:8" x14ac:dyDescent="0.15">
      <c r="A583">
        <v>27</v>
      </c>
      <c r="B583">
        <v>8</v>
      </c>
      <c r="C583">
        <v>1541015.625</v>
      </c>
      <c r="D583">
        <v>482500307.23571366</v>
      </c>
      <c r="E583">
        <v>1.6533203446762186E-5</v>
      </c>
      <c r="F583">
        <v>1.1385607960680792E-5</v>
      </c>
      <c r="G583">
        <v>5.1475954860813944E-6</v>
      </c>
      <c r="H583" t="b">
        <v>0</v>
      </c>
    </row>
    <row r="584" spans="1:8" x14ac:dyDescent="0.15">
      <c r="A584">
        <v>27</v>
      </c>
      <c r="B584">
        <v>9</v>
      </c>
      <c r="C584">
        <v>1517773.4375</v>
      </c>
      <c r="D584">
        <v>87891919.373433232</v>
      </c>
      <c r="E584">
        <v>1.2870004038967759E-5</v>
      </c>
      <c r="F584">
        <v>1.1385607960680792E-5</v>
      </c>
      <c r="G584">
        <v>1.4843960782869672E-6</v>
      </c>
      <c r="H584" t="b">
        <v>0</v>
      </c>
    </row>
    <row r="585" spans="1:8" x14ac:dyDescent="0.15">
      <c r="A585">
        <v>27</v>
      </c>
      <c r="B585">
        <v>10</v>
      </c>
      <c r="C585">
        <v>1506152.34375</v>
      </c>
      <c r="D585">
        <v>31746086.595482796</v>
      </c>
      <c r="E585">
        <v>1.2011792590722328E-5</v>
      </c>
      <c r="F585">
        <v>1.1385607960680792E-5</v>
      </c>
      <c r="G585">
        <v>6.2618463004153635E-7</v>
      </c>
      <c r="H585" t="b">
        <v>0</v>
      </c>
    </row>
    <row r="586" spans="1:8" x14ac:dyDescent="0.15">
      <c r="A586">
        <v>27</v>
      </c>
      <c r="B586">
        <v>11</v>
      </c>
      <c r="C586">
        <v>1500341.796875</v>
      </c>
      <c r="D586">
        <v>10044669.042434856</v>
      </c>
      <c r="E586">
        <v>1.160125422284264E-5</v>
      </c>
      <c r="F586">
        <v>1.1385607960680792E-5</v>
      </c>
      <c r="G586">
        <v>2.1564626216184809E-7</v>
      </c>
      <c r="H586" t="b">
        <v>0</v>
      </c>
    </row>
    <row r="587" spans="1:8" x14ac:dyDescent="0.15">
      <c r="A587">
        <v>27</v>
      </c>
      <c r="B587">
        <v>12</v>
      </c>
      <c r="C587">
        <v>1497436.5234375</v>
      </c>
      <c r="D587">
        <v>671585.08450053481</v>
      </c>
      <c r="E587">
        <v>1.1400679962931825E-5</v>
      </c>
      <c r="F587">
        <v>1.1385607960680792E-5</v>
      </c>
      <c r="G587">
        <v>1.5072002251033406E-8</v>
      </c>
      <c r="H587" t="b">
        <v>0</v>
      </c>
    </row>
    <row r="588" spans="1:8" x14ac:dyDescent="0.15">
      <c r="A588">
        <v>27</v>
      </c>
      <c r="B588">
        <v>13</v>
      </c>
      <c r="C588">
        <v>1498889.16015625</v>
      </c>
      <c r="D588">
        <v>5238803.4569052691</v>
      </c>
      <c r="E588">
        <v>1.1500580535544048E-5</v>
      </c>
      <c r="F588">
        <v>1.1385607960680792E-5</v>
      </c>
      <c r="G588">
        <v>1.1497257486325659E-7</v>
      </c>
      <c r="H588" t="b">
        <v>0</v>
      </c>
    </row>
    <row r="589" spans="1:8" x14ac:dyDescent="0.15">
      <c r="A589">
        <v>27</v>
      </c>
      <c r="B589">
        <v>14</v>
      </c>
      <c r="C589">
        <v>1498389.16015625</v>
      </c>
      <c r="D589">
        <v>3640055.6693382626</v>
      </c>
      <c r="E589">
        <v>1.1466107652013197E-5</v>
      </c>
      <c r="F589">
        <v>1.1385607960680792E-5</v>
      </c>
      <c r="G589">
        <v>8.0499691332405537E-8</v>
      </c>
      <c r="H589" t="b">
        <v>0</v>
      </c>
    </row>
    <row r="590" spans="1:8" x14ac:dyDescent="0.15">
      <c r="A590">
        <v>27</v>
      </c>
      <c r="B590">
        <v>15</v>
      </c>
      <c r="C590">
        <v>1497789.16015625</v>
      </c>
      <c r="D590">
        <v>1758630.6925326716</v>
      </c>
      <c r="E590">
        <v>1.1424861035780808E-5</v>
      </c>
      <c r="F590">
        <v>1.1385607960680792E-5</v>
      </c>
      <c r="G590">
        <v>3.9253075100015872E-8</v>
      </c>
      <c r="H590" t="b">
        <v>0</v>
      </c>
    </row>
    <row r="591" spans="1:8" x14ac:dyDescent="0.15">
      <c r="A591">
        <v>27</v>
      </c>
      <c r="B591">
        <v>16</v>
      </c>
      <c r="C591">
        <v>1497069.16015625</v>
      </c>
      <c r="D591">
        <v>-446147.36648725584</v>
      </c>
      <c r="E591">
        <v>1.1375537997891444E-5</v>
      </c>
      <c r="F591">
        <v>1.1385607960680792E-5</v>
      </c>
      <c r="G591">
        <v>-1.0069962789347679E-8</v>
      </c>
      <c r="H591" t="b">
        <v>1</v>
      </c>
    </row>
    <row r="592" spans="1:8" x14ac:dyDescent="0.15">
      <c r="A592">
        <v>27</v>
      </c>
      <c r="B592">
        <v>17</v>
      </c>
      <c r="C592">
        <v>1497429.16015625</v>
      </c>
      <c r="D592">
        <v>649034.84002142772</v>
      </c>
      <c r="E592">
        <v>1.1400175544325161E-5</v>
      </c>
      <c r="F592">
        <v>1.1385607960680792E-5</v>
      </c>
      <c r="G592">
        <v>1.4567583644368957E-8</v>
      </c>
      <c r="H592" t="b">
        <v>0</v>
      </c>
    </row>
    <row r="593" spans="1:8" x14ac:dyDescent="0.15">
      <c r="A593">
        <v>27</v>
      </c>
      <c r="B593">
        <v>18</v>
      </c>
      <c r="C593">
        <v>1497861.16015625</v>
      </c>
      <c r="D593">
        <v>1982275.8785906206</v>
      </c>
      <c r="E593">
        <v>1.1429803679184497E-5</v>
      </c>
      <c r="F593">
        <v>1.1385607960680792E-5</v>
      </c>
      <c r="G593">
        <v>4.4195718503705364E-8</v>
      </c>
      <c r="H593" t="b">
        <v>0</v>
      </c>
    </row>
    <row r="594" spans="1:8" x14ac:dyDescent="0.15">
      <c r="A594">
        <v>27</v>
      </c>
      <c r="B594">
        <v>19</v>
      </c>
      <c r="C594">
        <v>1497645.16015625</v>
      </c>
      <c r="D594">
        <v>1313073.9665439033</v>
      </c>
      <c r="E594">
        <v>1.14149814298247E-5</v>
      </c>
      <c r="F594">
        <v>1.1385607960680792E-5</v>
      </c>
      <c r="G594">
        <v>2.9373469143908663E-8</v>
      </c>
      <c r="H594" t="b">
        <v>0</v>
      </c>
    </row>
    <row r="595" spans="1:8" x14ac:dyDescent="0.15">
      <c r="A595">
        <v>27</v>
      </c>
      <c r="B595">
        <v>20</v>
      </c>
      <c r="C595">
        <v>1497753.16015625</v>
      </c>
      <c r="D595">
        <v>1646994.5854766986</v>
      </c>
      <c r="E595">
        <v>1.1422389752678987E-5</v>
      </c>
      <c r="F595">
        <v>1.1385607960680792E-5</v>
      </c>
      <c r="G595">
        <v>3.6781791998195216E-8</v>
      </c>
      <c r="H595" t="b">
        <v>0</v>
      </c>
    </row>
    <row r="596" spans="1:8" x14ac:dyDescent="0.15">
      <c r="A596">
        <v>27</v>
      </c>
      <c r="B596">
        <v>21</v>
      </c>
      <c r="C596">
        <v>1497699.16015625</v>
      </c>
      <c r="D596">
        <v>1479856.7884497652</v>
      </c>
      <c r="E596">
        <v>1.1418684723274275E-5</v>
      </c>
      <c r="F596">
        <v>1.1385607960680792E-5</v>
      </c>
      <c r="G596">
        <v>3.3076762593483729E-8</v>
      </c>
      <c r="H596" t="b">
        <v>0</v>
      </c>
    </row>
    <row r="597" spans="1:8" x14ac:dyDescent="0.15">
      <c r="A597">
        <v>27</v>
      </c>
      <c r="B597">
        <v>22</v>
      </c>
      <c r="C597">
        <v>1497726.16015625</v>
      </c>
      <c r="D597">
        <v>1563415.3668231249</v>
      </c>
      <c r="E597">
        <v>1.1420537776337605E-5</v>
      </c>
      <c r="F597">
        <v>1.1385607960680792E-5</v>
      </c>
      <c r="G597">
        <v>3.492981565681362E-8</v>
      </c>
      <c r="H597" t="b">
        <v>0</v>
      </c>
    </row>
    <row r="598" spans="1:8" x14ac:dyDescent="0.15">
      <c r="A598">
        <v>27</v>
      </c>
      <c r="B598">
        <v>23</v>
      </c>
      <c r="C598">
        <v>1497712.66015625</v>
      </c>
      <c r="D598">
        <v>1521610.7808954907</v>
      </c>
      <c r="E598">
        <v>1.141961088078529E-5</v>
      </c>
      <c r="F598">
        <v>1.1385607960680792E-5</v>
      </c>
      <c r="G598">
        <v>3.4002920104498049E-8</v>
      </c>
      <c r="H598" t="b">
        <v>0</v>
      </c>
    </row>
    <row r="599" spans="1:8" x14ac:dyDescent="0.15">
      <c r="A599">
        <v>27</v>
      </c>
      <c r="B599">
        <v>24</v>
      </c>
      <c r="C599">
        <v>1497696.46015625</v>
      </c>
      <c r="D599">
        <v>1471538.6832087555</v>
      </c>
      <c r="E599">
        <v>1.1418500171099462E-5</v>
      </c>
      <c r="F599">
        <v>1.1385607960680792E-5</v>
      </c>
      <c r="G599">
        <v>3.2892210418670223E-8</v>
      </c>
      <c r="H599" t="b">
        <v>0</v>
      </c>
    </row>
    <row r="600" spans="1:8" x14ac:dyDescent="0.15">
      <c r="A600">
        <v>27</v>
      </c>
      <c r="B600">
        <v>25</v>
      </c>
      <c r="C600">
        <v>1497704.5601562501</v>
      </c>
      <c r="D600">
        <v>1496586.2159831477</v>
      </c>
      <c r="E600">
        <v>1.1419055849671611E-5</v>
      </c>
      <c r="F600">
        <v>1.1385607960680792E-5</v>
      </c>
      <c r="G600">
        <v>3.3447888990819795E-8</v>
      </c>
      <c r="H600" t="b">
        <v>0</v>
      </c>
    </row>
    <row r="601" spans="1:8" x14ac:dyDescent="0.15">
      <c r="A601">
        <v>28</v>
      </c>
      <c r="B601">
        <v>1</v>
      </c>
      <c r="C601">
        <v>6050000</v>
      </c>
      <c r="D601">
        <v>2.3172942357250068E+18</v>
      </c>
      <c r="E601">
        <v>536.87092200000006</v>
      </c>
      <c r="F601">
        <v>1.7797705027078337E-5</v>
      </c>
      <c r="G601">
        <v>536.87090420229504</v>
      </c>
      <c r="H601" t="b">
        <v>0</v>
      </c>
    </row>
    <row r="602" spans="1:8" x14ac:dyDescent="0.15">
      <c r="A602">
        <v>28</v>
      </c>
      <c r="B602">
        <v>2</v>
      </c>
      <c r="C602">
        <v>3075000</v>
      </c>
      <c r="D602">
        <v>2.3172942357250068E+18</v>
      </c>
      <c r="E602">
        <v>536.87092200000006</v>
      </c>
      <c r="F602">
        <v>1.7797705027078337E-5</v>
      </c>
      <c r="G602">
        <v>536.87090420229504</v>
      </c>
      <c r="H602" t="b">
        <v>0</v>
      </c>
    </row>
    <row r="603" spans="1:8" x14ac:dyDescent="0.15">
      <c r="A603">
        <v>28</v>
      </c>
      <c r="B603">
        <v>3</v>
      </c>
      <c r="C603">
        <v>1587500</v>
      </c>
      <c r="D603">
        <v>18037385980349.859</v>
      </c>
      <c r="E603">
        <v>2.2774857812016783E-2</v>
      </c>
      <c r="F603">
        <v>1.7797704991568547E-5</v>
      </c>
      <c r="G603">
        <v>2.2757060107025214E-2</v>
      </c>
      <c r="H603" t="b">
        <v>0</v>
      </c>
    </row>
    <row r="604" spans="1:8" x14ac:dyDescent="0.15">
      <c r="A604">
        <v>28</v>
      </c>
      <c r="B604">
        <v>4</v>
      </c>
      <c r="C604">
        <v>843750</v>
      </c>
      <c r="D604">
        <v>-79162.902046800402</v>
      </c>
      <c r="E604">
        <v>-1.2951019183497705E-6</v>
      </c>
      <c r="F604">
        <v>1.7797704991570021E-5</v>
      </c>
      <c r="G604">
        <v>-1.9092806909919791E-5</v>
      </c>
      <c r="H604" t="b">
        <v>1</v>
      </c>
    </row>
    <row r="605" spans="1:8" x14ac:dyDescent="0.15">
      <c r="A605">
        <v>28</v>
      </c>
      <c r="B605">
        <v>5</v>
      </c>
      <c r="C605">
        <v>1215625</v>
      </c>
      <c r="D605">
        <v>8616785432.1979561</v>
      </c>
      <c r="E605">
        <v>7.7138258122660323E-5</v>
      </c>
      <c r="F605">
        <v>1.7797704991570024E-5</v>
      </c>
      <c r="G605">
        <v>5.9340553131090299E-5</v>
      </c>
      <c r="H605" t="b">
        <v>0</v>
      </c>
    </row>
    <row r="606" spans="1:8" x14ac:dyDescent="0.15">
      <c r="A606">
        <v>28</v>
      </c>
      <c r="B606">
        <v>6</v>
      </c>
      <c r="C606">
        <v>1029687.5</v>
      </c>
      <c r="D606">
        <v>-614661.88760141726</v>
      </c>
      <c r="E606">
        <v>4.8513212744620619E-6</v>
      </c>
      <c r="F606">
        <v>1.7797704991570021E-5</v>
      </c>
      <c r="G606">
        <v>-1.2946383717107958E-5</v>
      </c>
      <c r="H606" t="b">
        <v>1</v>
      </c>
    </row>
    <row r="607" spans="1:8" x14ac:dyDescent="0.15">
      <c r="A607">
        <v>28</v>
      </c>
      <c r="B607">
        <v>7</v>
      </c>
      <c r="C607">
        <v>1122656.25</v>
      </c>
      <c r="D607">
        <v>-87081533.99082531</v>
      </c>
      <c r="E607">
        <v>1.3137846666762522E-5</v>
      </c>
      <c r="F607">
        <v>1.7797704991570021E-5</v>
      </c>
      <c r="G607">
        <v>-4.6598583248074986E-6</v>
      </c>
      <c r="H607" t="b">
        <v>1</v>
      </c>
    </row>
    <row r="608" spans="1:8" x14ac:dyDescent="0.15">
      <c r="A608">
        <v>28</v>
      </c>
      <c r="B608">
        <v>8</v>
      </c>
      <c r="C608">
        <v>1169140.625</v>
      </c>
      <c r="D608">
        <v>1313616868.05705</v>
      </c>
      <c r="E608">
        <v>3.1969912537072299E-5</v>
      </c>
      <c r="F608">
        <v>1.7797704991570021E-5</v>
      </c>
      <c r="G608">
        <v>1.4172207545502278E-5</v>
      </c>
      <c r="H608" t="b">
        <v>0</v>
      </c>
    </row>
    <row r="609" spans="1:8" x14ac:dyDescent="0.15">
      <c r="A609">
        <v>28</v>
      </c>
      <c r="B609">
        <v>9</v>
      </c>
      <c r="C609">
        <v>1145898.4375</v>
      </c>
      <c r="D609">
        <v>139416980.46503961</v>
      </c>
      <c r="E609">
        <v>2.0145797218896242E-5</v>
      </c>
      <c r="F609">
        <v>1.7797704991570021E-5</v>
      </c>
      <c r="G609">
        <v>2.3480922273262215E-6</v>
      </c>
      <c r="H609" t="b">
        <v>0</v>
      </c>
    </row>
    <row r="610" spans="1:8" x14ac:dyDescent="0.15">
      <c r="A610">
        <v>28</v>
      </c>
      <c r="B610">
        <v>10</v>
      </c>
      <c r="C610">
        <v>1134277.34375</v>
      </c>
      <c r="D610">
        <v>-67271459.678960323</v>
      </c>
      <c r="E610">
        <v>1.5898703479790875E-5</v>
      </c>
      <c r="F610">
        <v>1.7797704991570021E-5</v>
      </c>
      <c r="G610">
        <v>-1.8990015117791458E-6</v>
      </c>
      <c r="H610" t="b">
        <v>1</v>
      </c>
    </row>
    <row r="611" spans="1:8" x14ac:dyDescent="0.15">
      <c r="A611">
        <v>28</v>
      </c>
      <c r="B611">
        <v>11</v>
      </c>
      <c r="C611">
        <v>1140087.890625</v>
      </c>
      <c r="D611">
        <v>5181462.5374042066</v>
      </c>
      <c r="E611">
        <v>1.7907787723455556E-5</v>
      </c>
      <c r="F611">
        <v>1.7797704991570021E-5</v>
      </c>
      <c r="G611">
        <v>1.1008273188553499E-7</v>
      </c>
      <c r="H611" t="b">
        <v>0</v>
      </c>
    </row>
    <row r="612" spans="1:8" x14ac:dyDescent="0.15">
      <c r="A612">
        <v>28</v>
      </c>
      <c r="B612">
        <v>12</v>
      </c>
      <c r="C612">
        <v>1137182.6171875</v>
      </c>
      <c r="D612">
        <v>-37957121.981697328</v>
      </c>
      <c r="E612">
        <v>1.6875410792156141E-5</v>
      </c>
      <c r="F612">
        <v>1.7797704991570021E-5</v>
      </c>
      <c r="G612">
        <v>-9.2229419941388006E-7</v>
      </c>
      <c r="H612" t="b">
        <v>1</v>
      </c>
    </row>
    <row r="613" spans="1:8" x14ac:dyDescent="0.15">
      <c r="A613">
        <v>28</v>
      </c>
      <c r="B613">
        <v>13</v>
      </c>
      <c r="C613">
        <v>1138635.25390625</v>
      </c>
      <c r="D613">
        <v>-18219894.070913624</v>
      </c>
      <c r="E613">
        <v>1.7384460244540573E-5</v>
      </c>
      <c r="F613">
        <v>1.7797704991570021E-5</v>
      </c>
      <c r="G613">
        <v>-4.1324474702944745E-7</v>
      </c>
      <c r="H613" t="b">
        <v>1</v>
      </c>
    </row>
    <row r="614" spans="1:8" x14ac:dyDescent="0.15">
      <c r="A614">
        <v>28</v>
      </c>
      <c r="B614">
        <v>14</v>
      </c>
      <c r="C614">
        <v>1139135.25390625</v>
      </c>
      <c r="D614">
        <v>-10589409.065785261</v>
      </c>
      <c r="E614">
        <v>1.7562960050686721E-5</v>
      </c>
      <c r="F614">
        <v>1.7797704991570021E-5</v>
      </c>
      <c r="G614">
        <v>-2.3474494088329996E-7</v>
      </c>
      <c r="H614" t="b">
        <v>1</v>
      </c>
    </row>
    <row r="615" spans="1:8" x14ac:dyDescent="0.15">
      <c r="A615">
        <v>28</v>
      </c>
      <c r="B615">
        <v>15</v>
      </c>
      <c r="C615">
        <v>1139635.25390625</v>
      </c>
      <c r="D615">
        <v>-2516205.7494189427</v>
      </c>
      <c r="E615">
        <v>1.7743165990577514E-5</v>
      </c>
      <c r="F615">
        <v>1.7797704991570021E-5</v>
      </c>
      <c r="G615">
        <v>-5.453900099250671E-8</v>
      </c>
      <c r="H615" t="b">
        <v>1</v>
      </c>
    </row>
    <row r="616" spans="1:8" x14ac:dyDescent="0.15">
      <c r="A616">
        <v>28</v>
      </c>
      <c r="B616">
        <v>16</v>
      </c>
      <c r="C616">
        <v>1140135.25390625</v>
      </c>
      <c r="D616">
        <v>6008575.781980562</v>
      </c>
      <c r="E616">
        <v>1.7925095301750258E-5</v>
      </c>
      <c r="F616">
        <v>1.7797704991570021E-5</v>
      </c>
      <c r="G616">
        <v>1.2739031018023722E-7</v>
      </c>
      <c r="H616" t="b">
        <v>0</v>
      </c>
    </row>
    <row r="617" spans="1:8" x14ac:dyDescent="0.15">
      <c r="A617">
        <v>28</v>
      </c>
      <c r="B617">
        <v>17</v>
      </c>
      <c r="C617">
        <v>1139885.25390625</v>
      </c>
      <c r="D617">
        <v>1689153.1786642524</v>
      </c>
      <c r="E617">
        <v>1.7833913569228063E-5</v>
      </c>
      <c r="F617">
        <v>1.7797704991570021E-5</v>
      </c>
      <c r="G617">
        <v>3.6208577658041955E-8</v>
      </c>
      <c r="H617" t="b">
        <v>0</v>
      </c>
    </row>
    <row r="618" spans="1:8" x14ac:dyDescent="0.15">
      <c r="A618">
        <v>28</v>
      </c>
      <c r="B618">
        <v>18</v>
      </c>
      <c r="C618">
        <v>1139585.25390625</v>
      </c>
      <c r="D618">
        <v>-3343611.6048725252</v>
      </c>
      <c r="E618">
        <v>1.7725070070597223E-5</v>
      </c>
      <c r="F618">
        <v>1.7797704991570021E-5</v>
      </c>
      <c r="G618">
        <v>-7.2634920972797424E-8</v>
      </c>
      <c r="H618" t="b">
        <v>1</v>
      </c>
    </row>
    <row r="619" spans="1:8" x14ac:dyDescent="0.15">
      <c r="A619">
        <v>28</v>
      </c>
      <c r="B619">
        <v>19</v>
      </c>
      <c r="C619">
        <v>1139735.25390625</v>
      </c>
      <c r="D619">
        <v>-847668.11311157164</v>
      </c>
      <c r="E619">
        <v>1.7779413275352081E-5</v>
      </c>
      <c r="F619">
        <v>1.7797704991570021E-5</v>
      </c>
      <c r="G619">
        <v>-1.8291716217939372E-8</v>
      </c>
      <c r="H619" t="b">
        <v>1</v>
      </c>
    </row>
    <row r="620" spans="1:8" x14ac:dyDescent="0.15">
      <c r="A620">
        <v>28</v>
      </c>
      <c r="B620">
        <v>20</v>
      </c>
      <c r="C620">
        <v>1139885.25390625</v>
      </c>
      <c r="D620">
        <v>1689153.1786642524</v>
      </c>
      <c r="E620">
        <v>1.7833913569228063E-5</v>
      </c>
      <c r="F620">
        <v>1.7797704991570021E-5</v>
      </c>
      <c r="G620">
        <v>3.6208577658041955E-8</v>
      </c>
      <c r="H620" t="b">
        <v>0</v>
      </c>
    </row>
    <row r="621" spans="1:8" x14ac:dyDescent="0.15">
      <c r="A621">
        <v>28</v>
      </c>
      <c r="B621">
        <v>21</v>
      </c>
      <c r="C621">
        <v>1139810.25390625</v>
      </c>
      <c r="D621">
        <v>415628.7286143651</v>
      </c>
      <c r="E621">
        <v>1.7806643997350627E-5</v>
      </c>
      <c r="F621">
        <v>1.7797704991570021E-5</v>
      </c>
      <c r="G621">
        <v>8.9390057806060458E-9</v>
      </c>
      <c r="H621" t="b">
        <v>0</v>
      </c>
    </row>
    <row r="622" spans="1:8" x14ac:dyDescent="0.15">
      <c r="A622">
        <v>28</v>
      </c>
      <c r="B622">
        <v>22</v>
      </c>
      <c r="C622">
        <v>1139847.75390625</v>
      </c>
      <c r="D622">
        <v>1051110.6397966889</v>
      </c>
      <c r="E622">
        <v>1.7820273923847477E-5</v>
      </c>
      <c r="F622">
        <v>1.7797704991570021E-5</v>
      </c>
      <c r="G622">
        <v>2.2568932277456614E-8</v>
      </c>
      <c r="H622" t="b">
        <v>0</v>
      </c>
    </row>
    <row r="623" spans="1:8" x14ac:dyDescent="0.15">
      <c r="A623">
        <v>28</v>
      </c>
      <c r="B623">
        <v>23</v>
      </c>
      <c r="C623">
        <v>1139892.75390625</v>
      </c>
      <c r="D623">
        <v>1817158.7251665038</v>
      </c>
      <c r="E623">
        <v>1.7836644572611774E-5</v>
      </c>
      <c r="F623">
        <v>1.7797704991570021E-5</v>
      </c>
      <c r="G623">
        <v>3.8939581041752867E-8</v>
      </c>
      <c r="H623" t="b">
        <v>0</v>
      </c>
    </row>
    <row r="624" spans="1:8" x14ac:dyDescent="0.15">
      <c r="A624">
        <v>28</v>
      </c>
      <c r="B624">
        <v>24</v>
      </c>
      <c r="C624">
        <v>1139870.25390625</v>
      </c>
      <c r="D624">
        <v>1433717.8634393967</v>
      </c>
      <c r="E624">
        <v>1.7828458450931412E-5</v>
      </c>
      <c r="F624">
        <v>1.7797704991570021E-5</v>
      </c>
      <c r="G624">
        <v>3.07534593613913E-8</v>
      </c>
      <c r="H624" t="b">
        <v>0</v>
      </c>
    </row>
    <row r="625" spans="1:8" x14ac:dyDescent="0.15">
      <c r="A625">
        <v>28</v>
      </c>
      <c r="B625">
        <v>25</v>
      </c>
      <c r="C625">
        <v>1139843.25390625</v>
      </c>
      <c r="D625">
        <v>974717.68280426285</v>
      </c>
      <c r="E625">
        <v>1.7818637819637571E-5</v>
      </c>
      <c r="F625">
        <v>1.7797704991570021E-5</v>
      </c>
      <c r="G625">
        <v>2.0932828067550194E-8</v>
      </c>
      <c r="H625" t="b">
        <v>0</v>
      </c>
    </row>
    <row r="626" spans="1:8" x14ac:dyDescent="0.15">
      <c r="A626">
        <v>28</v>
      </c>
      <c r="B626">
        <v>26</v>
      </c>
      <c r="C626">
        <v>1139856.75390625</v>
      </c>
      <c r="D626">
        <v>1204007.1793122392</v>
      </c>
      <c r="E626">
        <v>1.7823546552133774E-5</v>
      </c>
      <c r="F626">
        <v>1.7797704991570021E-5</v>
      </c>
      <c r="G626">
        <v>2.584156056375275E-8</v>
      </c>
      <c r="H626" t="b">
        <v>0</v>
      </c>
    </row>
    <row r="627" spans="1:8" x14ac:dyDescent="0.15">
      <c r="A627">
        <v>28</v>
      </c>
      <c r="B627">
        <v>27</v>
      </c>
      <c r="C627">
        <v>1139850.00390625</v>
      </c>
      <c r="D627">
        <v>1089320.9453046175</v>
      </c>
      <c r="E627">
        <v>1.7821092028434265E-5</v>
      </c>
      <c r="F627">
        <v>1.7797704991570021E-5</v>
      </c>
      <c r="G627">
        <v>2.3387036864244281E-8</v>
      </c>
      <c r="H627" t="b">
        <v>0</v>
      </c>
    </row>
    <row r="628" spans="1:8" x14ac:dyDescent="0.15">
      <c r="A628">
        <v>28</v>
      </c>
      <c r="B628">
        <v>28</v>
      </c>
      <c r="C628">
        <v>1139853.37890625</v>
      </c>
      <c r="D628">
        <v>1146653.6895582648</v>
      </c>
      <c r="E628">
        <v>1.7822319250919835E-5</v>
      </c>
      <c r="F628">
        <v>1.7797704991570021E-5</v>
      </c>
      <c r="G628">
        <v>2.4614259349814335E-8</v>
      </c>
      <c r="H628" t="b">
        <v>0</v>
      </c>
    </row>
    <row r="629" spans="1:8" x14ac:dyDescent="0.15">
      <c r="A629">
        <v>29</v>
      </c>
      <c r="B629">
        <v>1</v>
      </c>
      <c r="C629">
        <v>6050000</v>
      </c>
      <c r="D629">
        <v>1.3416122969941366E+18</v>
      </c>
      <c r="E629">
        <v>212.16268336299265</v>
      </c>
      <c r="F629">
        <v>1.1324400702505955E-5</v>
      </c>
      <c r="G629">
        <v>212.16267203859195</v>
      </c>
      <c r="H629" t="b">
        <v>0</v>
      </c>
    </row>
    <row r="630" spans="1:8" x14ac:dyDescent="0.15">
      <c r="A630">
        <v>29</v>
      </c>
      <c r="B630">
        <v>2</v>
      </c>
      <c r="C630">
        <v>3075000</v>
      </c>
      <c r="D630">
        <v>52666766156171.656</v>
      </c>
      <c r="E630">
        <v>3.6295369148270577E-2</v>
      </c>
      <c r="F630">
        <v>1.1324400695233994E-5</v>
      </c>
      <c r="G630">
        <v>3.6284044747575343E-2</v>
      </c>
      <c r="H630" t="b">
        <v>0</v>
      </c>
    </row>
    <row r="631" spans="1:8" x14ac:dyDescent="0.15">
      <c r="A631">
        <v>29</v>
      </c>
      <c r="B631">
        <v>3</v>
      </c>
      <c r="C631">
        <v>1587500</v>
      </c>
      <c r="D631">
        <v>-1786634.612708142</v>
      </c>
      <c r="E631">
        <v>4.158194277676098E-6</v>
      </c>
      <c r="F631">
        <v>1.1324400695231637E-5</v>
      </c>
      <c r="G631">
        <v>-7.1662064175555392E-6</v>
      </c>
      <c r="H631" t="b">
        <v>1</v>
      </c>
    </row>
    <row r="632" spans="1:8" x14ac:dyDescent="0.15">
      <c r="A632">
        <v>29</v>
      </c>
      <c r="B632">
        <v>4</v>
      </c>
      <c r="C632">
        <v>2331250</v>
      </c>
      <c r="D632">
        <v>368460615075.10071</v>
      </c>
      <c r="E632">
        <v>7.0870614549771351E-4</v>
      </c>
      <c r="F632">
        <v>1.1324400695231608E-5</v>
      </c>
      <c r="G632">
        <v>6.9738174480248191E-4</v>
      </c>
      <c r="H632" t="b">
        <v>0</v>
      </c>
    </row>
    <row r="633" spans="1:8" x14ac:dyDescent="0.15">
      <c r="A633">
        <v>29</v>
      </c>
      <c r="B633">
        <v>5</v>
      </c>
      <c r="C633">
        <v>1959375</v>
      </c>
      <c r="D633">
        <v>6678775897.5081673</v>
      </c>
      <c r="E633">
        <v>4.6144895742430923E-5</v>
      </c>
      <c r="F633">
        <v>1.1324400695231636E-5</v>
      </c>
      <c r="G633">
        <v>3.4820495047199287E-5</v>
      </c>
      <c r="H633" t="b">
        <v>0</v>
      </c>
    </row>
    <row r="634" spans="1:8" x14ac:dyDescent="0.15">
      <c r="A634">
        <v>29</v>
      </c>
      <c r="B634">
        <v>6</v>
      </c>
      <c r="C634">
        <v>1773437.5</v>
      </c>
      <c r="D634">
        <v>-26775151.580603272</v>
      </c>
      <c r="E634">
        <v>1.0588759759171467E-5</v>
      </c>
      <c r="F634">
        <v>1.1324400695231637E-5</v>
      </c>
      <c r="G634">
        <v>-7.356409360601703E-7</v>
      </c>
      <c r="H634" t="b">
        <v>1</v>
      </c>
    </row>
    <row r="635" spans="1:8" x14ac:dyDescent="0.15">
      <c r="A635">
        <v>29</v>
      </c>
      <c r="B635">
        <v>7</v>
      </c>
      <c r="C635">
        <v>1866406.25</v>
      </c>
      <c r="D635">
        <v>1069635402.6206148</v>
      </c>
      <c r="E635">
        <v>2.0165706942118967E-5</v>
      </c>
      <c r="F635">
        <v>1.1324400695231637E-5</v>
      </c>
      <c r="G635">
        <v>8.8413062468873301E-6</v>
      </c>
      <c r="H635" t="b">
        <v>0</v>
      </c>
    </row>
    <row r="636" spans="1:8" x14ac:dyDescent="0.15">
      <c r="A636">
        <v>29</v>
      </c>
      <c r="B636">
        <v>8</v>
      </c>
      <c r="C636">
        <v>1819921.875</v>
      </c>
      <c r="D636">
        <v>114285148.80211353</v>
      </c>
      <c r="E636">
        <v>1.3166031917115944E-5</v>
      </c>
      <c r="F636">
        <v>1.1324400695231637E-5</v>
      </c>
      <c r="G636">
        <v>1.8416312218843066E-6</v>
      </c>
      <c r="H636" t="b">
        <v>0</v>
      </c>
    </row>
    <row r="637" spans="1:8" x14ac:dyDescent="0.15">
      <c r="A637">
        <v>29</v>
      </c>
      <c r="B637">
        <v>9</v>
      </c>
      <c r="C637">
        <v>1796679.6875</v>
      </c>
      <c r="D637">
        <v>24062917.791565884</v>
      </c>
      <c r="E637">
        <v>1.1817909419489229E-5</v>
      </c>
      <c r="F637">
        <v>1.1324400695231637E-5</v>
      </c>
      <c r="G637">
        <v>4.9350872425759151E-7</v>
      </c>
      <c r="H637" t="b">
        <v>0</v>
      </c>
    </row>
    <row r="638" spans="1:8" x14ac:dyDescent="0.15">
      <c r="A638">
        <v>29</v>
      </c>
      <c r="B638">
        <v>10</v>
      </c>
      <c r="C638">
        <v>1785058.59375</v>
      </c>
      <c r="D638">
        <v>-5740745.3120856434</v>
      </c>
      <c r="E638">
        <v>1.1189177120466937E-5</v>
      </c>
      <c r="F638">
        <v>1.1324400695231637E-5</v>
      </c>
      <c r="G638">
        <v>-1.3522357476470067E-7</v>
      </c>
      <c r="H638" t="b">
        <v>1</v>
      </c>
    </row>
    <row r="639" spans="1:8" x14ac:dyDescent="0.15">
      <c r="A639">
        <v>29</v>
      </c>
      <c r="B639">
        <v>11</v>
      </c>
      <c r="C639">
        <v>1790869.140625</v>
      </c>
      <c r="D639">
        <v>7997247.9400298921</v>
      </c>
      <c r="E639">
        <v>1.1499871859169349E-5</v>
      </c>
      <c r="F639">
        <v>1.1324400695231637E-5</v>
      </c>
      <c r="G639">
        <v>1.7547116393771201E-7</v>
      </c>
      <c r="H639" t="b">
        <v>0</v>
      </c>
    </row>
    <row r="640" spans="1:8" x14ac:dyDescent="0.15">
      <c r="A640">
        <v>29</v>
      </c>
      <c r="B640">
        <v>12</v>
      </c>
      <c r="C640">
        <v>1787963.8671875</v>
      </c>
      <c r="D640">
        <v>845545.80442937871</v>
      </c>
      <c r="E640">
        <v>1.1343614575800776E-5</v>
      </c>
      <c r="F640">
        <v>1.1324400695231637E-5</v>
      </c>
      <c r="G640">
        <v>1.9213880569138501E-8</v>
      </c>
      <c r="H640" t="b">
        <v>0</v>
      </c>
    </row>
    <row r="641" spans="1:8" x14ac:dyDescent="0.15">
      <c r="A641">
        <v>29</v>
      </c>
      <c r="B641">
        <v>13</v>
      </c>
      <c r="C641">
        <v>1789416.50390625</v>
      </c>
      <c r="D641">
        <v>4349692.3255171096</v>
      </c>
      <c r="E641">
        <v>1.1421514758977695E-5</v>
      </c>
      <c r="F641">
        <v>1.1324400695231637E-5</v>
      </c>
      <c r="G641">
        <v>9.7114063746057483E-8</v>
      </c>
      <c r="H641" t="b">
        <v>0</v>
      </c>
    </row>
    <row r="642" spans="1:8" x14ac:dyDescent="0.15">
      <c r="A642">
        <v>29</v>
      </c>
      <c r="B642">
        <v>14</v>
      </c>
      <c r="C642">
        <v>1788916.50390625</v>
      </c>
      <c r="D642">
        <v>3127477.7041738811</v>
      </c>
      <c r="E642">
        <v>1.1394649915059283E-5</v>
      </c>
      <c r="F642">
        <v>1.1324400695231637E-5</v>
      </c>
      <c r="G642">
        <v>7.0249219827645749E-8</v>
      </c>
      <c r="H642" t="b">
        <v>0</v>
      </c>
    </row>
    <row r="643" spans="1:8" x14ac:dyDescent="0.15">
      <c r="A643">
        <v>29</v>
      </c>
      <c r="B643">
        <v>15</v>
      </c>
      <c r="C643">
        <v>1788316.50390625</v>
      </c>
      <c r="D643">
        <v>1683129.1669764938</v>
      </c>
      <c r="E643">
        <v>1.1362483445364272E-5</v>
      </c>
      <c r="F643">
        <v>1.1324400695231637E-5</v>
      </c>
      <c r="G643">
        <v>3.8082750132635199E-8</v>
      </c>
      <c r="H643" t="b">
        <v>0</v>
      </c>
    </row>
    <row r="644" spans="1:8" x14ac:dyDescent="0.15">
      <c r="A644">
        <v>29</v>
      </c>
      <c r="B644">
        <v>16</v>
      </c>
      <c r="C644">
        <v>1788616.50390625</v>
      </c>
      <c r="D644">
        <v>2402269.3540416392</v>
      </c>
      <c r="E644">
        <v>1.1378556959299298E-5</v>
      </c>
      <c r="F644">
        <v>1.1324400695231637E-5</v>
      </c>
      <c r="G644">
        <v>5.4156264067660995E-8</v>
      </c>
      <c r="H644" t="b">
        <v>0</v>
      </c>
    </row>
    <row r="645" spans="1:8" x14ac:dyDescent="0.15">
      <c r="A645">
        <v>29</v>
      </c>
      <c r="B645">
        <v>17</v>
      </c>
      <c r="C645">
        <v>1788466.50390625</v>
      </c>
      <c r="D645">
        <v>2041941.8725742742</v>
      </c>
      <c r="E645">
        <v>1.137051777318312E-5</v>
      </c>
      <c r="F645">
        <v>1.1324400695231637E-5</v>
      </c>
      <c r="G645">
        <v>4.6117077951482569E-8</v>
      </c>
      <c r="H645" t="b">
        <v>0</v>
      </c>
    </row>
    <row r="646" spans="1:8" x14ac:dyDescent="0.15">
      <c r="A646">
        <v>29</v>
      </c>
      <c r="B646">
        <v>18</v>
      </c>
      <c r="C646">
        <v>1788286.50390625</v>
      </c>
      <c r="D646">
        <v>1611548.1996941869</v>
      </c>
      <c r="E646">
        <v>1.1360877162606138E-5</v>
      </c>
      <c r="F646">
        <v>1.1324400695231637E-5</v>
      </c>
      <c r="G646">
        <v>3.6476467374501074E-8</v>
      </c>
      <c r="H646" t="b">
        <v>0</v>
      </c>
    </row>
    <row r="647" spans="1:8" x14ac:dyDescent="0.15">
      <c r="A647">
        <v>29</v>
      </c>
      <c r="B647">
        <v>19</v>
      </c>
      <c r="C647">
        <v>1788376.50390625</v>
      </c>
      <c r="D647">
        <v>1826498.7910355967</v>
      </c>
      <c r="E647">
        <v>1.1365697179829808E-5</v>
      </c>
      <c r="F647">
        <v>1.1324400695231637E-5</v>
      </c>
      <c r="G647">
        <v>4.1296484598170733E-8</v>
      </c>
      <c r="H647" t="b">
        <v>0</v>
      </c>
    </row>
    <row r="648" spans="1:8" x14ac:dyDescent="0.15">
      <c r="A648">
        <v>29</v>
      </c>
      <c r="B648">
        <v>20</v>
      </c>
      <c r="C648">
        <v>1788331.50390625</v>
      </c>
      <c r="D648">
        <v>1718942.3371548876</v>
      </c>
      <c r="E648">
        <v>1.1363286659584243E-5</v>
      </c>
      <c r="F648">
        <v>1.1324400695231637E-5</v>
      </c>
      <c r="G648">
        <v>3.8885964352605493E-8</v>
      </c>
      <c r="H648" t="b">
        <v>0</v>
      </c>
    </row>
    <row r="649" spans="1:8" x14ac:dyDescent="0.15">
      <c r="A649">
        <v>29</v>
      </c>
      <c r="B649">
        <v>21</v>
      </c>
      <c r="C649">
        <v>1788354.00390625</v>
      </c>
      <c r="D649">
        <v>1772690.4569745613</v>
      </c>
      <c r="E649">
        <v>1.1364491571971689E-5</v>
      </c>
      <c r="F649">
        <v>1.1324400695231637E-5</v>
      </c>
      <c r="G649">
        <v>4.0090876740052036E-8</v>
      </c>
      <c r="H649" t="b">
        <v>0</v>
      </c>
    </row>
    <row r="650" spans="1:8" x14ac:dyDescent="0.15">
      <c r="A650">
        <v>30</v>
      </c>
      <c r="B650">
        <v>1</v>
      </c>
      <c r="C650">
        <v>6050000</v>
      </c>
      <c r="D650">
        <v>1.6137163503017925E+18</v>
      </c>
      <c r="E650">
        <v>164.5430975001656</v>
      </c>
      <c r="F650">
        <v>8.3666154466754961E-6</v>
      </c>
      <c r="G650">
        <v>164.54308913355015</v>
      </c>
      <c r="H650" t="b">
        <v>0</v>
      </c>
    </row>
    <row r="651" spans="1:8" x14ac:dyDescent="0.15">
      <c r="A651">
        <v>30</v>
      </c>
      <c r="B651">
        <v>2</v>
      </c>
      <c r="C651">
        <v>3075000</v>
      </c>
      <c r="D651">
        <v>310059262763067.31</v>
      </c>
      <c r="E651">
        <v>0.10545425642782739</v>
      </c>
      <c r="F651">
        <v>8.3666154533923454E-6</v>
      </c>
      <c r="G651">
        <v>0.105445889812374</v>
      </c>
      <c r="H651" t="b">
        <v>0</v>
      </c>
    </row>
    <row r="652" spans="1:8" x14ac:dyDescent="0.15">
      <c r="A652">
        <v>30</v>
      </c>
      <c r="B652">
        <v>3</v>
      </c>
      <c r="C652">
        <v>1587500</v>
      </c>
      <c r="D652">
        <v>-5049901.2081892341</v>
      </c>
      <c r="E652">
        <v>4.0149789430770267E-6</v>
      </c>
      <c r="F652">
        <v>8.3666154533925182E-6</v>
      </c>
      <c r="G652">
        <v>-4.3516365103154915E-6</v>
      </c>
      <c r="H652" t="b">
        <v>1</v>
      </c>
    </row>
    <row r="653" spans="1:8" x14ac:dyDescent="0.15">
      <c r="A653">
        <v>30</v>
      </c>
      <c r="B653">
        <v>4</v>
      </c>
      <c r="C653">
        <v>2331250</v>
      </c>
      <c r="D653">
        <v>1039142767058.8353</v>
      </c>
      <c r="E653">
        <v>1.0711064912528943E-3</v>
      </c>
      <c r="F653">
        <v>8.3666154533925622E-6</v>
      </c>
      <c r="G653">
        <v>1.0627398757995018E-3</v>
      </c>
      <c r="H653" t="b">
        <v>0</v>
      </c>
    </row>
    <row r="654" spans="1:8" x14ac:dyDescent="0.15">
      <c r="A654">
        <v>30</v>
      </c>
      <c r="B654">
        <v>5</v>
      </c>
      <c r="C654">
        <v>1959375</v>
      </c>
      <c r="D654">
        <v>17749479497.37561</v>
      </c>
      <c r="E654">
        <v>5.8130759227693498E-5</v>
      </c>
      <c r="F654">
        <v>8.3666154533925148E-6</v>
      </c>
      <c r="G654">
        <v>4.9764143774300984E-5</v>
      </c>
      <c r="H654" t="b">
        <v>0</v>
      </c>
    </row>
    <row r="655" spans="1:8" x14ac:dyDescent="0.15">
      <c r="A655">
        <v>30</v>
      </c>
      <c r="B655">
        <v>6</v>
      </c>
      <c r="C655">
        <v>1773437.5</v>
      </c>
      <c r="D655">
        <v>209154435.85478917</v>
      </c>
      <c r="E655">
        <v>1.0586948909987949E-5</v>
      </c>
      <c r="F655">
        <v>8.3666154533925182E-6</v>
      </c>
      <c r="G655">
        <v>2.2203334565954311E-6</v>
      </c>
      <c r="H655" t="b">
        <v>0</v>
      </c>
    </row>
    <row r="656" spans="1:8" x14ac:dyDescent="0.15">
      <c r="A656">
        <v>30</v>
      </c>
      <c r="B656">
        <v>7</v>
      </c>
      <c r="C656">
        <v>1680468.75</v>
      </c>
      <c r="D656">
        <v>-40267594.967568375</v>
      </c>
      <c r="E656">
        <v>6.5938441297883952E-6</v>
      </c>
      <c r="F656">
        <v>8.3666154533925182E-6</v>
      </c>
      <c r="G656">
        <v>-1.772771323604123E-6</v>
      </c>
      <c r="H656" t="b">
        <v>1</v>
      </c>
    </row>
    <row r="657" spans="1:8" x14ac:dyDescent="0.15">
      <c r="A657">
        <v>30</v>
      </c>
      <c r="B657">
        <v>8</v>
      </c>
      <c r="C657">
        <v>1726953.125</v>
      </c>
      <c r="D657">
        <v>894251.14246179943</v>
      </c>
      <c r="E657">
        <v>8.3830303999972024E-6</v>
      </c>
      <c r="F657">
        <v>8.3666154533925182E-6</v>
      </c>
      <c r="G657">
        <v>1.6414946604684295E-8</v>
      </c>
      <c r="H657" t="b">
        <v>0</v>
      </c>
    </row>
    <row r="658" spans="1:8" x14ac:dyDescent="0.15">
      <c r="A658">
        <v>30</v>
      </c>
      <c r="B658">
        <v>9</v>
      </c>
      <c r="C658">
        <v>1750195.3125</v>
      </c>
      <c r="D658">
        <v>78063162.158125132</v>
      </c>
      <c r="E658">
        <v>9.4288447390337009E-6</v>
      </c>
      <c r="F658">
        <v>8.3666154533925182E-6</v>
      </c>
      <c r="G658">
        <v>1.0622292856411828E-6</v>
      </c>
      <c r="H658" t="b">
        <v>0</v>
      </c>
    </row>
    <row r="659" spans="1:8" x14ac:dyDescent="0.15">
      <c r="A659">
        <v>30</v>
      </c>
      <c r="B659">
        <v>10</v>
      </c>
      <c r="C659">
        <v>1738574.21875</v>
      </c>
      <c r="D659">
        <v>33514429.806304421</v>
      </c>
      <c r="E659">
        <v>8.89229019254402E-6</v>
      </c>
      <c r="F659">
        <v>8.3666154533925182E-6</v>
      </c>
      <c r="G659">
        <v>5.2567473915150185E-7</v>
      </c>
      <c r="H659" t="b">
        <v>0</v>
      </c>
    </row>
    <row r="660" spans="1:8" x14ac:dyDescent="0.15">
      <c r="A660">
        <v>30</v>
      </c>
      <c r="B660">
        <v>11</v>
      </c>
      <c r="C660">
        <v>1732763.671875</v>
      </c>
      <c r="D660">
        <v>15809805.966158766</v>
      </c>
      <c r="E660">
        <v>8.6343183542295501E-6</v>
      </c>
      <c r="F660">
        <v>8.3666154533925182E-6</v>
      </c>
      <c r="G660">
        <v>2.6770290083703196E-7</v>
      </c>
      <c r="H660" t="b">
        <v>0</v>
      </c>
    </row>
    <row r="661" spans="1:8" x14ac:dyDescent="0.15">
      <c r="A661">
        <v>30</v>
      </c>
      <c r="B661">
        <v>12</v>
      </c>
      <c r="C661">
        <v>1729858.3984375</v>
      </c>
      <c r="D661">
        <v>8015253.2988210805</v>
      </c>
      <c r="E661">
        <v>8.5078471764865384E-6</v>
      </c>
      <c r="F661">
        <v>8.3666154533925182E-6</v>
      </c>
      <c r="G661">
        <v>1.4123172309402024E-7</v>
      </c>
      <c r="H661" t="b">
        <v>0</v>
      </c>
    </row>
    <row r="662" spans="1:8" x14ac:dyDescent="0.15">
      <c r="A662">
        <v>30</v>
      </c>
      <c r="B662">
        <v>13</v>
      </c>
      <c r="C662">
        <v>1728405.76171875</v>
      </c>
      <c r="D662">
        <v>4372036.6840955187</v>
      </c>
      <c r="E662">
        <v>8.4452331196194382E-6</v>
      </c>
      <c r="F662">
        <v>8.3666154533925182E-6</v>
      </c>
      <c r="G662">
        <v>7.8617666226920023E-8</v>
      </c>
      <c r="H662" t="b">
        <v>0</v>
      </c>
    </row>
    <row r="663" spans="1:8" x14ac:dyDescent="0.15">
      <c r="A663">
        <v>30</v>
      </c>
      <c r="B663">
        <v>14</v>
      </c>
      <c r="C663">
        <v>1727205.76171875</v>
      </c>
      <c r="D663">
        <v>1487364.7389349437</v>
      </c>
      <c r="E663">
        <v>8.393819469216379E-6</v>
      </c>
      <c r="F663">
        <v>8.3666154533925182E-6</v>
      </c>
      <c r="G663">
        <v>2.7204015823860864E-8</v>
      </c>
      <c r="H663" t="b">
        <v>0</v>
      </c>
    </row>
    <row r="664" spans="1:8" x14ac:dyDescent="0.15">
      <c r="A664">
        <v>30</v>
      </c>
      <c r="B664">
        <v>15</v>
      </c>
      <c r="C664">
        <v>1727805.76171875</v>
      </c>
      <c r="D664">
        <v>2915706.4433777821</v>
      </c>
      <c r="E664">
        <v>8.419491522557656E-6</v>
      </c>
      <c r="F664">
        <v>8.3666154533925182E-6</v>
      </c>
      <c r="G664">
        <v>5.2876069165137823E-8</v>
      </c>
      <c r="H664" t="b">
        <v>0</v>
      </c>
    </row>
    <row r="665" spans="1:8" x14ac:dyDescent="0.15">
      <c r="A665">
        <v>30</v>
      </c>
      <c r="B665">
        <v>16</v>
      </c>
      <c r="C665">
        <v>1727505.76171875</v>
      </c>
      <c r="D665">
        <v>2198019.8533014576</v>
      </c>
      <c r="E665">
        <v>8.4066462728765269E-6</v>
      </c>
      <c r="F665">
        <v>8.3666154533925182E-6</v>
      </c>
      <c r="G665">
        <v>4.0030819484008736E-8</v>
      </c>
      <c r="H665" t="b">
        <v>0</v>
      </c>
    </row>
    <row r="666" spans="1:8" x14ac:dyDescent="0.15">
      <c r="A666">
        <v>30</v>
      </c>
      <c r="B666">
        <v>17</v>
      </c>
      <c r="C666">
        <v>1727145.76171875</v>
      </c>
      <c r="D666">
        <v>1346063.4894722367</v>
      </c>
      <c r="E666">
        <v>8.3912561095206317E-6</v>
      </c>
      <c r="F666">
        <v>8.3666154533925182E-6</v>
      </c>
      <c r="G666">
        <v>2.464065612811356E-8</v>
      </c>
      <c r="H666" t="b">
        <v>0</v>
      </c>
    </row>
    <row r="667" spans="1:8" x14ac:dyDescent="0.15">
      <c r="A667">
        <v>30</v>
      </c>
      <c r="B667">
        <v>18</v>
      </c>
      <c r="C667">
        <v>1727325.76171875</v>
      </c>
      <c r="D667">
        <v>1770801.7236417271</v>
      </c>
      <c r="E667">
        <v>8.3989482850314875E-6</v>
      </c>
      <c r="F667">
        <v>8.3666154533925182E-6</v>
      </c>
      <c r="G667">
        <v>3.2332831638969334E-8</v>
      </c>
      <c r="H667" t="b">
        <v>0</v>
      </c>
    </row>
    <row r="668" spans="1:8" x14ac:dyDescent="0.15">
      <c r="A668">
        <v>30</v>
      </c>
      <c r="B668">
        <v>19</v>
      </c>
      <c r="C668">
        <v>1727235.76171875</v>
      </c>
      <c r="D668">
        <v>1558119.635675739</v>
      </c>
      <c r="E668">
        <v>8.3951014110893989E-6</v>
      </c>
      <c r="F668">
        <v>8.3666154533925182E-6</v>
      </c>
      <c r="G668">
        <v>2.8485957696880698E-8</v>
      </c>
      <c r="H668" t="b">
        <v>0</v>
      </c>
    </row>
    <row r="669" spans="1:8" x14ac:dyDescent="0.15">
      <c r="A669">
        <v>30</v>
      </c>
      <c r="B669">
        <v>20</v>
      </c>
      <c r="C669">
        <v>1727280.76171875</v>
      </c>
      <c r="D669">
        <v>1664355.9376888014</v>
      </c>
      <c r="E669">
        <v>8.3970241729666283E-6</v>
      </c>
      <c r="F669">
        <v>8.3666154533925182E-6</v>
      </c>
      <c r="G669">
        <v>3.0408719574110174E-8</v>
      </c>
      <c r="H669" t="b">
        <v>0</v>
      </c>
    </row>
    <row r="670" spans="1:8" x14ac:dyDescent="0.15">
      <c r="A670">
        <v>30</v>
      </c>
      <c r="B670">
        <v>21</v>
      </c>
      <c r="C670">
        <v>1727334.76171875</v>
      </c>
      <c r="D670">
        <v>1792077.8813054732</v>
      </c>
      <c r="E670">
        <v>8.3993325802505932E-6</v>
      </c>
      <c r="F670">
        <v>8.3666154533925182E-6</v>
      </c>
      <c r="G670">
        <v>3.2717126858075075E-8</v>
      </c>
      <c r="H670" t="b">
        <v>0</v>
      </c>
    </row>
    <row r="671" spans="1:8" x14ac:dyDescent="0.15">
      <c r="A671">
        <v>30</v>
      </c>
      <c r="B671">
        <v>22</v>
      </c>
      <c r="C671">
        <v>1727307.76171875</v>
      </c>
      <c r="D671">
        <v>1728188.717025348</v>
      </c>
      <c r="E671">
        <v>8.3981783058336328E-6</v>
      </c>
      <c r="F671">
        <v>8.3666154533925182E-6</v>
      </c>
      <c r="G671">
        <v>3.1562852441114611E-8</v>
      </c>
      <c r="H671" t="b">
        <v>0</v>
      </c>
    </row>
    <row r="672" spans="1:8" x14ac:dyDescent="0.15">
      <c r="A672">
        <v>31</v>
      </c>
      <c r="B672">
        <v>1</v>
      </c>
      <c r="C672">
        <v>6050000</v>
      </c>
      <c r="D672">
        <v>3.5224417470647813E+18</v>
      </c>
      <c r="E672">
        <v>536.87092200000018</v>
      </c>
      <c r="F672">
        <v>1.3605242315861688E-5</v>
      </c>
      <c r="G672">
        <v>536.87090839475786</v>
      </c>
      <c r="H672" t="b">
        <v>0</v>
      </c>
    </row>
    <row r="673" spans="1:8" x14ac:dyDescent="0.15">
      <c r="A673">
        <v>31</v>
      </c>
      <c r="B673">
        <v>2</v>
      </c>
      <c r="C673">
        <v>3075000</v>
      </c>
      <c r="D673">
        <v>3.5224417470647808E+18</v>
      </c>
      <c r="E673">
        <v>536.87092200000006</v>
      </c>
      <c r="F673">
        <v>1.3605242315861688E-5</v>
      </c>
      <c r="G673">
        <v>536.87090839475775</v>
      </c>
      <c r="H673" t="b">
        <v>0</v>
      </c>
    </row>
    <row r="674" spans="1:8" x14ac:dyDescent="0.15">
      <c r="A674">
        <v>31</v>
      </c>
      <c r="B674">
        <v>3</v>
      </c>
      <c r="C674">
        <v>1587500</v>
      </c>
      <c r="D674">
        <v>12844368468692.605</v>
      </c>
      <c r="E674">
        <v>1.2192750201627063E-2</v>
      </c>
      <c r="F674">
        <v>1.3605242318012745E-5</v>
      </c>
      <c r="G674">
        <v>1.217914495930905E-2</v>
      </c>
      <c r="H674" t="b">
        <v>0</v>
      </c>
    </row>
    <row r="675" spans="1:8" x14ac:dyDescent="0.15">
      <c r="A675">
        <v>31</v>
      </c>
      <c r="B675">
        <v>4</v>
      </c>
      <c r="C675">
        <v>843750</v>
      </c>
      <c r="D675">
        <v>-66170.231430648317</v>
      </c>
      <c r="E675">
        <v>-2.0865298537452361E-6</v>
      </c>
      <c r="F675">
        <v>1.3605242318012633E-5</v>
      </c>
      <c r="G675">
        <v>-1.5691772171757869E-5</v>
      </c>
      <c r="H675" t="b">
        <v>1</v>
      </c>
    </row>
    <row r="676" spans="1:8" x14ac:dyDescent="0.15">
      <c r="A676">
        <v>31</v>
      </c>
      <c r="B676">
        <v>5</v>
      </c>
      <c r="C676">
        <v>1215625</v>
      </c>
      <c r="D676">
        <v>2895976692.4323249</v>
      </c>
      <c r="E676">
        <v>3.2662713398342502E-5</v>
      </c>
      <c r="F676">
        <v>1.3605242318012636E-5</v>
      </c>
      <c r="G676">
        <v>1.9057471080329866E-5</v>
      </c>
      <c r="H676" t="b">
        <v>0</v>
      </c>
    </row>
    <row r="677" spans="1:8" x14ac:dyDescent="0.15">
      <c r="A677">
        <v>31</v>
      </c>
      <c r="B677">
        <v>6</v>
      </c>
      <c r="C677">
        <v>1029687.5</v>
      </c>
      <c r="D677">
        <v>-402898.42678450153</v>
      </c>
      <c r="E677">
        <v>2.827726392745439E-6</v>
      </c>
      <c r="F677">
        <v>1.3605242318012633E-5</v>
      </c>
      <c r="G677">
        <v>-1.0777515925267195E-5</v>
      </c>
      <c r="H677" t="b">
        <v>1</v>
      </c>
    </row>
    <row r="678" spans="1:8" x14ac:dyDescent="0.15">
      <c r="A678">
        <v>31</v>
      </c>
      <c r="B678">
        <v>7</v>
      </c>
      <c r="C678">
        <v>1122656.25</v>
      </c>
      <c r="D678">
        <v>-21709536.621310875</v>
      </c>
      <c r="E678">
        <v>7.794050991423227E-6</v>
      </c>
      <c r="F678">
        <v>1.3605242318012635E-5</v>
      </c>
      <c r="G678">
        <v>-5.8111913265894075E-6</v>
      </c>
      <c r="H678" t="b">
        <v>1</v>
      </c>
    </row>
    <row r="679" spans="1:8" x14ac:dyDescent="0.15">
      <c r="A679">
        <v>31</v>
      </c>
      <c r="B679">
        <v>8</v>
      </c>
      <c r="C679">
        <v>1169140.625</v>
      </c>
      <c r="D679">
        <v>-29627953.227423649</v>
      </c>
      <c r="E679">
        <v>1.3040259917644821E-5</v>
      </c>
      <c r="F679">
        <v>1.3605242318012635E-5</v>
      </c>
      <c r="G679">
        <v>-5.6498240036781325E-7</v>
      </c>
      <c r="H679" t="b">
        <v>1</v>
      </c>
    </row>
    <row r="680" spans="1:8" x14ac:dyDescent="0.15">
      <c r="A680">
        <v>31</v>
      </c>
      <c r="B680">
        <v>9</v>
      </c>
      <c r="C680">
        <v>1192382.8125</v>
      </c>
      <c r="D680">
        <v>825608234.36490023</v>
      </c>
      <c r="E680">
        <v>2.078245818766545E-5</v>
      </c>
      <c r="F680">
        <v>1.3605242318012635E-5</v>
      </c>
      <c r="G680">
        <v>7.1772158696528154E-6</v>
      </c>
      <c r="H680" t="b">
        <v>0</v>
      </c>
    </row>
    <row r="681" spans="1:8" x14ac:dyDescent="0.15">
      <c r="A681">
        <v>31</v>
      </c>
      <c r="B681">
        <v>10</v>
      </c>
      <c r="C681">
        <v>1180761.71875</v>
      </c>
      <c r="D681">
        <v>246865257.62659627</v>
      </c>
      <c r="E681">
        <v>1.6494785000585871E-5</v>
      </c>
      <c r="F681">
        <v>1.3605242318012635E-5</v>
      </c>
      <c r="G681">
        <v>2.8895426825732368E-6</v>
      </c>
      <c r="H681" t="b">
        <v>0</v>
      </c>
    </row>
    <row r="682" spans="1:8" x14ac:dyDescent="0.15">
      <c r="A682">
        <v>31</v>
      </c>
      <c r="B682">
        <v>11</v>
      </c>
      <c r="C682">
        <v>1174951.171875</v>
      </c>
      <c r="D682">
        <v>73238281.451208919</v>
      </c>
      <c r="E682">
        <v>1.4675269842645469E-5</v>
      </c>
      <c r="F682">
        <v>1.3605242318012635E-5</v>
      </c>
      <c r="G682">
        <v>1.0700275246328346E-6</v>
      </c>
      <c r="H682" t="b">
        <v>0</v>
      </c>
    </row>
    <row r="683" spans="1:8" x14ac:dyDescent="0.15">
      <c r="A683">
        <v>31</v>
      </c>
      <c r="B683">
        <v>12</v>
      </c>
      <c r="C683">
        <v>1172045.8984375</v>
      </c>
      <c r="D683">
        <v>13867946.356843643</v>
      </c>
      <c r="E683">
        <v>1.3835196874753879E-5</v>
      </c>
      <c r="F683">
        <v>1.3605242318012635E-5</v>
      </c>
      <c r="G683">
        <v>2.299545567412447E-7</v>
      </c>
      <c r="H683" t="b">
        <v>0</v>
      </c>
    </row>
    <row r="684" spans="1:8" x14ac:dyDescent="0.15">
      <c r="A684">
        <v>31</v>
      </c>
      <c r="B684">
        <v>13</v>
      </c>
      <c r="C684">
        <v>1170593.26171875</v>
      </c>
      <c r="D684">
        <v>-9747334.6615174543</v>
      </c>
      <c r="E684">
        <v>1.3432230253383132E-5</v>
      </c>
      <c r="F684">
        <v>1.3605242318012635E-5</v>
      </c>
      <c r="G684">
        <v>-1.7301206462950261E-7</v>
      </c>
      <c r="H684" t="b">
        <v>1</v>
      </c>
    </row>
    <row r="685" spans="1:8" x14ac:dyDescent="0.15">
      <c r="A685">
        <v>31</v>
      </c>
      <c r="B685">
        <v>14</v>
      </c>
      <c r="C685">
        <v>1171093.26171875</v>
      </c>
      <c r="D685">
        <v>-2052127.5422317684</v>
      </c>
      <c r="E685">
        <v>1.3569675100024398E-5</v>
      </c>
      <c r="F685">
        <v>1.3605242318012635E-5</v>
      </c>
      <c r="G685">
        <v>-3.5567217988236843E-8</v>
      </c>
      <c r="H685" t="b">
        <v>1</v>
      </c>
    </row>
    <row r="686" spans="1:8" x14ac:dyDescent="0.15">
      <c r="A686">
        <v>31</v>
      </c>
      <c r="B686">
        <v>15</v>
      </c>
      <c r="C686">
        <v>1171593.26171875</v>
      </c>
      <c r="D686">
        <v>6094960.2608684199</v>
      </c>
      <c r="E686">
        <v>1.3708435728060046E-5</v>
      </c>
      <c r="F686">
        <v>1.3605242318012635E-5</v>
      </c>
      <c r="G686">
        <v>1.0319341004741155E-7</v>
      </c>
      <c r="H686" t="b">
        <v>0</v>
      </c>
    </row>
    <row r="687" spans="1:8" x14ac:dyDescent="0.15">
      <c r="A687">
        <v>31</v>
      </c>
      <c r="B687">
        <v>16</v>
      </c>
      <c r="C687">
        <v>1171343.26171875</v>
      </c>
      <c r="D687">
        <v>1964349.7168254221</v>
      </c>
      <c r="E687">
        <v>1.36388903718327E-5</v>
      </c>
      <c r="F687">
        <v>1.3605242318012635E-5</v>
      </c>
      <c r="G687">
        <v>3.364805382006566E-8</v>
      </c>
      <c r="H687" t="b">
        <v>0</v>
      </c>
    </row>
    <row r="688" spans="1:8" x14ac:dyDescent="0.15">
      <c r="A688">
        <v>31</v>
      </c>
      <c r="B688">
        <v>17</v>
      </c>
      <c r="C688">
        <v>1171043.26171875</v>
      </c>
      <c r="D688">
        <v>-2841745.7240450941</v>
      </c>
      <c r="E688">
        <v>1.3555873023170481E-5</v>
      </c>
      <c r="F688">
        <v>1.3605242318012635E-5</v>
      </c>
      <c r="G688">
        <v>-4.9369294842153724E-8</v>
      </c>
      <c r="H688" t="b">
        <v>1</v>
      </c>
    </row>
    <row r="689" spans="1:8" x14ac:dyDescent="0.15">
      <c r="A689">
        <v>31</v>
      </c>
      <c r="B689">
        <v>18</v>
      </c>
      <c r="C689">
        <v>1171193.26171875</v>
      </c>
      <c r="D689">
        <v>-459158.17641092819</v>
      </c>
      <c r="E689">
        <v>1.359732166958694E-5</v>
      </c>
      <c r="F689">
        <v>1.3605242318012635E-5</v>
      </c>
      <c r="G689">
        <v>-7.9206484256949387E-9</v>
      </c>
      <c r="H689" t="b">
        <v>1</v>
      </c>
    </row>
    <row r="690" spans="1:8" x14ac:dyDescent="0.15">
      <c r="A690">
        <v>31</v>
      </c>
      <c r="B690">
        <v>19</v>
      </c>
      <c r="C690">
        <v>1171343.26171875</v>
      </c>
      <c r="D690">
        <v>1964349.7168254221</v>
      </c>
      <c r="E690">
        <v>1.36388903718327E-5</v>
      </c>
      <c r="F690">
        <v>1.3605242318012635E-5</v>
      </c>
      <c r="G690">
        <v>3.364805382006566E-8</v>
      </c>
      <c r="H690" t="b">
        <v>0</v>
      </c>
    </row>
    <row r="691" spans="1:8" x14ac:dyDescent="0.15">
      <c r="A691">
        <v>31</v>
      </c>
      <c r="B691">
        <v>20</v>
      </c>
      <c r="C691">
        <v>1171268.26171875</v>
      </c>
      <c r="D691">
        <v>747565.59610208462</v>
      </c>
      <c r="E691">
        <v>1.3618092727429209E-5</v>
      </c>
      <c r="F691">
        <v>1.3605242318012635E-5</v>
      </c>
      <c r="G691">
        <v>1.2850409416574523E-8</v>
      </c>
      <c r="H691" t="b">
        <v>0</v>
      </c>
    </row>
    <row r="692" spans="1:8" x14ac:dyDescent="0.15">
      <c r="A692">
        <v>31</v>
      </c>
      <c r="B692">
        <v>21</v>
      </c>
      <c r="C692">
        <v>1171305.76171875</v>
      </c>
      <c r="D692">
        <v>1354720.9323047986</v>
      </c>
      <c r="E692">
        <v>1.3628488609779165E-5</v>
      </c>
      <c r="F692">
        <v>1.3605242318012635E-5</v>
      </c>
      <c r="G692">
        <v>2.3246291766530452E-8</v>
      </c>
      <c r="H692" t="b">
        <v>0</v>
      </c>
    </row>
    <row r="693" spans="1:8" x14ac:dyDescent="0.15">
      <c r="A693">
        <v>31</v>
      </c>
      <c r="B693">
        <v>22</v>
      </c>
      <c r="C693">
        <v>1171287.01171875</v>
      </c>
      <c r="D693">
        <v>1050823.0221722238</v>
      </c>
      <c r="E693">
        <v>1.3623289741298951E-5</v>
      </c>
      <c r="F693">
        <v>1.3605242318012635E-5</v>
      </c>
      <c r="G693">
        <v>1.8047423286316885E-8</v>
      </c>
      <c r="H693" t="b">
        <v>0</v>
      </c>
    </row>
    <row r="694" spans="1:8" x14ac:dyDescent="0.15">
      <c r="A694">
        <v>31</v>
      </c>
      <c r="B694">
        <v>23</v>
      </c>
      <c r="C694">
        <v>1171296.38671875</v>
      </c>
      <c r="D694">
        <v>1202691.8855502682</v>
      </c>
      <c r="E694">
        <v>1.3625888943674534E-5</v>
      </c>
      <c r="F694">
        <v>1.3605242318012635E-5</v>
      </c>
      <c r="G694">
        <v>2.0646625661899817E-8</v>
      </c>
      <c r="H694" t="b">
        <v>0</v>
      </c>
    </row>
    <row r="695" spans="1:8" x14ac:dyDescent="0.15">
      <c r="A695">
        <v>31</v>
      </c>
      <c r="B695">
        <v>24</v>
      </c>
      <c r="C695">
        <v>1171291.69921875</v>
      </c>
      <c r="D695">
        <v>1126647.4853464272</v>
      </c>
      <c r="E695">
        <v>1.3624587745059108E-5</v>
      </c>
      <c r="F695">
        <v>1.3605242318012635E-5</v>
      </c>
      <c r="G695">
        <v>1.9345427046472998E-8</v>
      </c>
      <c r="H695" t="b">
        <v>0</v>
      </c>
    </row>
    <row r="696" spans="1:8" x14ac:dyDescent="0.15">
      <c r="A696">
        <v>31</v>
      </c>
      <c r="B696">
        <v>25</v>
      </c>
      <c r="C696">
        <v>1171294.04296875</v>
      </c>
      <c r="D696">
        <v>1164619.6810814335</v>
      </c>
      <c r="E696">
        <v>1.3625237560062736E-5</v>
      </c>
      <c r="F696">
        <v>1.3605242318012635E-5</v>
      </c>
      <c r="G696">
        <v>1.9995242050101277E-8</v>
      </c>
      <c r="H696" t="b">
        <v>0</v>
      </c>
    </row>
    <row r="697" spans="1:8" x14ac:dyDescent="0.15">
      <c r="A697">
        <v>32</v>
      </c>
      <c r="B697">
        <v>1</v>
      </c>
      <c r="C697">
        <v>6050000</v>
      </c>
      <c r="D697">
        <v>3.582001911110912E+18</v>
      </c>
      <c r="E697">
        <v>536.87092200000006</v>
      </c>
      <c r="F697">
        <v>1.3459715091812541E-5</v>
      </c>
      <c r="G697">
        <v>536.87090854028497</v>
      </c>
      <c r="H697" t="b">
        <v>0</v>
      </c>
    </row>
    <row r="698" spans="1:8" x14ac:dyDescent="0.15">
      <c r="A698">
        <v>32</v>
      </c>
      <c r="B698">
        <v>2</v>
      </c>
      <c r="C698">
        <v>3075000</v>
      </c>
      <c r="D698">
        <v>2.6391785765731075E+17</v>
      </c>
      <c r="E698">
        <v>53.948145832687153</v>
      </c>
      <c r="F698">
        <v>1.3459715098917968E-5</v>
      </c>
      <c r="G698">
        <v>53.948132372972054</v>
      </c>
      <c r="H698" t="b">
        <v>0</v>
      </c>
    </row>
    <row r="699" spans="1:8" x14ac:dyDescent="0.15">
      <c r="A699">
        <v>32</v>
      </c>
      <c r="B699">
        <v>3</v>
      </c>
      <c r="C699">
        <v>1587500</v>
      </c>
      <c r="D699">
        <v>45488063200.519897</v>
      </c>
      <c r="E699">
        <v>1.6049507212466781E-4</v>
      </c>
      <c r="F699">
        <v>1.3459715100159325E-5</v>
      </c>
      <c r="G699">
        <v>1.4703535702450849E-4</v>
      </c>
      <c r="H699" t="b">
        <v>0</v>
      </c>
    </row>
    <row r="700" spans="1:8" x14ac:dyDescent="0.15">
      <c r="A700">
        <v>32</v>
      </c>
      <c r="B700">
        <v>4</v>
      </c>
      <c r="C700">
        <v>843750</v>
      </c>
      <c r="D700">
        <v>-24891.292721923579</v>
      </c>
      <c r="E700">
        <v>-6.7706640064177307E-6</v>
      </c>
      <c r="F700">
        <v>1.345971510015932E-5</v>
      </c>
      <c r="G700">
        <v>-2.0230379106577051E-5</v>
      </c>
      <c r="H700" t="b">
        <v>1</v>
      </c>
    </row>
    <row r="701" spans="1:8" x14ac:dyDescent="0.15">
      <c r="A701">
        <v>32</v>
      </c>
      <c r="B701">
        <v>5</v>
      </c>
      <c r="C701">
        <v>1215625</v>
      </c>
      <c r="D701">
        <v>-324017.6249085688</v>
      </c>
      <c r="E701">
        <v>2.3669452687486111E-6</v>
      </c>
      <c r="F701">
        <v>1.3459715100159322E-5</v>
      </c>
      <c r="G701">
        <v>-1.109276983141071E-5</v>
      </c>
      <c r="H701" t="b">
        <v>1</v>
      </c>
    </row>
    <row r="702" spans="1:8" x14ac:dyDescent="0.15">
      <c r="A702">
        <v>32</v>
      </c>
      <c r="B702">
        <v>6</v>
      </c>
      <c r="C702">
        <v>1401562.5</v>
      </c>
      <c r="D702">
        <v>-76089265.158794016</v>
      </c>
      <c r="E702">
        <v>1.1449018353110806E-5</v>
      </c>
      <c r="F702">
        <v>1.3459715100159322E-5</v>
      </c>
      <c r="G702">
        <v>-2.0106967470485157E-6</v>
      </c>
      <c r="H702" t="b">
        <v>1</v>
      </c>
    </row>
    <row r="703" spans="1:8" x14ac:dyDescent="0.15">
      <c r="A703">
        <v>32</v>
      </c>
      <c r="B703">
        <v>7</v>
      </c>
      <c r="C703">
        <v>1494531.25</v>
      </c>
      <c r="D703">
        <v>5717915678.6613455</v>
      </c>
      <c r="E703">
        <v>4.4833632557554069E-5</v>
      </c>
      <c r="F703">
        <v>1.3459715100159319E-5</v>
      </c>
      <c r="G703">
        <v>3.137391745739475E-5</v>
      </c>
      <c r="H703" t="b">
        <v>0</v>
      </c>
    </row>
    <row r="704" spans="1:8" x14ac:dyDescent="0.15">
      <c r="A704">
        <v>32</v>
      </c>
      <c r="B704">
        <v>8</v>
      </c>
      <c r="C704">
        <v>1448046.875</v>
      </c>
      <c r="D704">
        <v>1127333340.1849709</v>
      </c>
      <c r="E704">
        <v>2.2545712498811444E-5</v>
      </c>
      <c r="F704">
        <v>1.3459715100159322E-5</v>
      </c>
      <c r="G704">
        <v>9.0859973986521222E-6</v>
      </c>
      <c r="H704" t="b">
        <v>0</v>
      </c>
    </row>
    <row r="705" spans="1:8" x14ac:dyDescent="0.15">
      <c r="A705">
        <v>32</v>
      </c>
      <c r="B705">
        <v>9</v>
      </c>
      <c r="C705">
        <v>1424804.6875</v>
      </c>
      <c r="D705">
        <v>187150647.53615251</v>
      </c>
      <c r="E705">
        <v>1.5767507629663029E-5</v>
      </c>
      <c r="F705">
        <v>1.3459715100159322E-5</v>
      </c>
      <c r="G705">
        <v>2.3077925295037073E-6</v>
      </c>
      <c r="H705" t="b">
        <v>0</v>
      </c>
    </row>
    <row r="706" spans="1:8" x14ac:dyDescent="0.15">
      <c r="A706">
        <v>32</v>
      </c>
      <c r="B706">
        <v>10</v>
      </c>
      <c r="C706">
        <v>1413183.59375</v>
      </c>
      <c r="D706">
        <v>-18016267.159546316</v>
      </c>
      <c r="E706">
        <v>1.3133684336687269E-5</v>
      </c>
      <c r="F706">
        <v>1.3459715100159322E-5</v>
      </c>
      <c r="G706">
        <v>-3.2603076347205297E-7</v>
      </c>
      <c r="H706" t="b">
        <v>1</v>
      </c>
    </row>
    <row r="707" spans="1:8" x14ac:dyDescent="0.15">
      <c r="A707">
        <v>32</v>
      </c>
      <c r="B707">
        <v>11</v>
      </c>
      <c r="C707">
        <v>1418994.140625</v>
      </c>
      <c r="D707">
        <v>63464597.693014815</v>
      </c>
      <c r="E707">
        <v>1.4394896731561166E-5</v>
      </c>
      <c r="F707">
        <v>1.3459715100159322E-5</v>
      </c>
      <c r="G707">
        <v>9.3518163140184421E-7</v>
      </c>
      <c r="H707" t="b">
        <v>0</v>
      </c>
    </row>
    <row r="708" spans="1:8" x14ac:dyDescent="0.15">
      <c r="A708">
        <v>32</v>
      </c>
      <c r="B708">
        <v>12</v>
      </c>
      <c r="C708">
        <v>1416088.8671875</v>
      </c>
      <c r="D708">
        <v>17902191.738004517</v>
      </c>
      <c r="E708">
        <v>1.3750902941745994E-5</v>
      </c>
      <c r="F708">
        <v>1.3459715100159322E-5</v>
      </c>
      <c r="G708">
        <v>2.9118784158667207E-7</v>
      </c>
      <c r="H708" t="b">
        <v>0</v>
      </c>
    </row>
    <row r="709" spans="1:8" x14ac:dyDescent="0.15">
      <c r="A709">
        <v>32</v>
      </c>
      <c r="B709">
        <v>13</v>
      </c>
      <c r="C709">
        <v>1414636.23046875</v>
      </c>
      <c r="D709">
        <v>-1207985.9503174776</v>
      </c>
      <c r="E709">
        <v>1.3439012258175707E-5</v>
      </c>
      <c r="F709">
        <v>1.3459715100159322E-5</v>
      </c>
      <c r="G709">
        <v>-2.0702841983614577E-8</v>
      </c>
      <c r="H709" t="b">
        <v>1</v>
      </c>
    </row>
    <row r="710" spans="1:8" x14ac:dyDescent="0.15">
      <c r="A710">
        <v>32</v>
      </c>
      <c r="B710">
        <v>14</v>
      </c>
      <c r="C710">
        <v>1415136.23046875</v>
      </c>
      <c r="D710">
        <v>5104523.0476368349</v>
      </c>
      <c r="E710">
        <v>1.3545618211912584E-5</v>
      </c>
      <c r="F710">
        <v>1.3459715100159322E-5</v>
      </c>
      <c r="G710">
        <v>8.5903111753261586E-8</v>
      </c>
      <c r="H710" t="b">
        <v>0</v>
      </c>
    </row>
    <row r="711" spans="1:8" x14ac:dyDescent="0.15">
      <c r="A711">
        <v>32</v>
      </c>
      <c r="B711">
        <v>15</v>
      </c>
      <c r="C711">
        <v>1414886.23046875</v>
      </c>
      <c r="D711">
        <v>1913825.7613421041</v>
      </c>
      <c r="E711">
        <v>1.3492216338556126E-5</v>
      </c>
      <c r="F711">
        <v>1.3459715100159322E-5</v>
      </c>
      <c r="G711">
        <v>3.2501238396804175E-8</v>
      </c>
      <c r="H711" t="b">
        <v>0</v>
      </c>
    </row>
    <row r="712" spans="1:8" x14ac:dyDescent="0.15">
      <c r="A712">
        <v>32</v>
      </c>
      <c r="B712">
        <v>16</v>
      </c>
      <c r="C712">
        <v>1414586.23046875</v>
      </c>
      <c r="D712">
        <v>-1824244.2726311809</v>
      </c>
      <c r="E712">
        <v>1.3428393165209346E-5</v>
      </c>
      <c r="F712">
        <v>1.3459715100159322E-5</v>
      </c>
      <c r="G712">
        <v>-3.1321934949976428E-8</v>
      </c>
      <c r="H712" t="b">
        <v>1</v>
      </c>
    </row>
    <row r="713" spans="1:8" x14ac:dyDescent="0.15">
      <c r="A713">
        <v>32</v>
      </c>
      <c r="B713">
        <v>17</v>
      </c>
      <c r="C713">
        <v>1414736.23046875</v>
      </c>
      <c r="D713">
        <v>32479.637037134758</v>
      </c>
      <c r="E713">
        <v>1.3460269710320004E-5</v>
      </c>
      <c r="F713">
        <v>1.3459715100159322E-5</v>
      </c>
      <c r="G713">
        <v>5.5461016068207938E-10</v>
      </c>
      <c r="H713" t="b">
        <v>0</v>
      </c>
    </row>
    <row r="714" spans="1:8" x14ac:dyDescent="0.15">
      <c r="A714">
        <v>32</v>
      </c>
      <c r="B714">
        <v>18</v>
      </c>
      <c r="C714">
        <v>1414916.23046875</v>
      </c>
      <c r="D714">
        <v>2293140.9402797366</v>
      </c>
      <c r="E714">
        <v>1.3498615449382625E-5</v>
      </c>
      <c r="F714">
        <v>1.3459715100159322E-5</v>
      </c>
      <c r="G714">
        <v>3.8900349223302508E-8</v>
      </c>
      <c r="H714" t="b">
        <v>0</v>
      </c>
    </row>
    <row r="715" spans="1:8" x14ac:dyDescent="0.15">
      <c r="A715">
        <v>32</v>
      </c>
      <c r="B715">
        <v>19</v>
      </c>
      <c r="C715">
        <v>1414826.23046875</v>
      </c>
      <c r="D715">
        <v>1158405.2843172557</v>
      </c>
      <c r="E715">
        <v>1.3479430628869319E-5</v>
      </c>
      <c r="F715">
        <v>1.3459715100159322E-5</v>
      </c>
      <c r="G715">
        <v>1.971552870999699E-8</v>
      </c>
      <c r="H715" t="b">
        <v>0</v>
      </c>
    </row>
    <row r="716" spans="1:8" x14ac:dyDescent="0.15">
      <c r="A716">
        <v>32</v>
      </c>
      <c r="B716">
        <v>20</v>
      </c>
      <c r="C716">
        <v>1414871.23046875</v>
      </c>
      <c r="D716">
        <v>1724579.7744434071</v>
      </c>
      <c r="E716">
        <v>1.3489018517958179E-5</v>
      </c>
      <c r="F716">
        <v>1.3459715100159322E-5</v>
      </c>
      <c r="G716">
        <v>2.9303417798856981E-8</v>
      </c>
      <c r="H716" t="b">
        <v>0</v>
      </c>
    </row>
    <row r="717" spans="1:8" x14ac:dyDescent="0.15">
      <c r="A717">
        <v>32</v>
      </c>
      <c r="B717">
        <v>21</v>
      </c>
      <c r="C717">
        <v>1414848.73046875</v>
      </c>
      <c r="D717">
        <v>1441174.4222651697</v>
      </c>
      <c r="E717">
        <v>1.3484223103462991E-5</v>
      </c>
      <c r="F717">
        <v>1.3459715100159322E-5</v>
      </c>
      <c r="G717">
        <v>2.4508003303668784E-8</v>
      </c>
      <c r="H717" t="b">
        <v>0</v>
      </c>
    </row>
    <row r="718" spans="1:8" x14ac:dyDescent="0.15">
      <c r="A718">
        <v>32</v>
      </c>
      <c r="B718">
        <v>22</v>
      </c>
      <c r="C718">
        <v>1414821.73046875</v>
      </c>
      <c r="D718">
        <v>1101821.8822105788</v>
      </c>
      <c r="E718">
        <v>1.3478470690649836E-5</v>
      </c>
      <c r="F718">
        <v>1.3459715100159322E-5</v>
      </c>
      <c r="G718">
        <v>1.8755590490514008E-8</v>
      </c>
      <c r="H718" t="b">
        <v>0</v>
      </c>
    </row>
    <row r="719" spans="1:8" x14ac:dyDescent="0.15">
      <c r="A719">
        <v>32</v>
      </c>
      <c r="B719">
        <v>23</v>
      </c>
      <c r="C719">
        <v>1414835.23046875</v>
      </c>
      <c r="D719">
        <v>1271478.3965825215</v>
      </c>
      <c r="E719">
        <v>1.3481347973692795E-5</v>
      </c>
      <c r="F719">
        <v>1.3459715100159322E-5</v>
      </c>
      <c r="G719">
        <v>2.163287353347327E-8</v>
      </c>
      <c r="H719" t="b">
        <v>0</v>
      </c>
    </row>
    <row r="720" spans="1:8" x14ac:dyDescent="0.15">
      <c r="A720">
        <v>32</v>
      </c>
      <c r="B720">
        <v>24</v>
      </c>
      <c r="C720">
        <v>1414851.43046875</v>
      </c>
      <c r="D720">
        <v>1475153.6999137599</v>
      </c>
      <c r="E720">
        <v>1.3484798469807794E-5</v>
      </c>
      <c r="F720">
        <v>1.3459715100159322E-5</v>
      </c>
      <c r="G720">
        <v>2.5083369648472439E-8</v>
      </c>
      <c r="H720" t="b">
        <v>0</v>
      </c>
    </row>
    <row r="721" spans="1:8" x14ac:dyDescent="0.15">
      <c r="A721">
        <v>32</v>
      </c>
      <c r="B721">
        <v>25</v>
      </c>
      <c r="C721">
        <v>1414843.3304687499</v>
      </c>
      <c r="D721">
        <v>1373320.224687634</v>
      </c>
      <c r="E721">
        <v>1.3483073800037385E-5</v>
      </c>
      <c r="F721">
        <v>1.3459715100159322E-5</v>
      </c>
      <c r="G721">
        <v>2.3358699878063004E-8</v>
      </c>
      <c r="H721" t="b">
        <v>0</v>
      </c>
    </row>
    <row r="722" spans="1:8" x14ac:dyDescent="0.15">
      <c r="A722">
        <v>32</v>
      </c>
      <c r="B722">
        <v>26</v>
      </c>
      <c r="C722">
        <v>1414847.3804687499</v>
      </c>
      <c r="D722">
        <v>1424268.1544034772</v>
      </c>
      <c r="E722">
        <v>1.3483936789954287E-5</v>
      </c>
      <c r="F722">
        <v>1.3459715100159322E-5</v>
      </c>
      <c r="G722">
        <v>2.4221689794964906E-8</v>
      </c>
      <c r="H722" t="b">
        <v>0</v>
      </c>
    </row>
    <row r="723" spans="1:8" x14ac:dyDescent="0.15">
      <c r="A723">
        <v>33</v>
      </c>
      <c r="B723">
        <v>1</v>
      </c>
      <c r="C723">
        <v>6050000</v>
      </c>
      <c r="D723">
        <v>2.341350357985193E+18</v>
      </c>
      <c r="E723">
        <v>536.87092200000006</v>
      </c>
      <c r="F723">
        <v>1.7680171254141896E-5</v>
      </c>
      <c r="G723">
        <v>536.87090431982881</v>
      </c>
      <c r="H723" t="b">
        <v>0</v>
      </c>
    </row>
    <row r="724" spans="1:8" x14ac:dyDescent="0.15">
      <c r="A724">
        <v>33</v>
      </c>
      <c r="B724">
        <v>2</v>
      </c>
      <c r="C724">
        <v>3075000</v>
      </c>
      <c r="D724">
        <v>1.9084119921770909E+17</v>
      </c>
      <c r="E724">
        <v>59.014349665491196</v>
      </c>
      <c r="F724">
        <v>1.7680171211509332E-5</v>
      </c>
      <c r="G724">
        <v>59.014331985319984</v>
      </c>
      <c r="H724" t="b">
        <v>0</v>
      </c>
    </row>
    <row r="725" spans="1:8" x14ac:dyDescent="0.15">
      <c r="A725">
        <v>33</v>
      </c>
      <c r="B725">
        <v>3</v>
      </c>
      <c r="C725">
        <v>1587500</v>
      </c>
      <c r="D725">
        <v>20304560992.986763</v>
      </c>
      <c r="E725">
        <v>1.294598414620541E-4</v>
      </c>
      <c r="F725">
        <v>1.7680171212762467E-5</v>
      </c>
      <c r="G725">
        <v>1.1177967024929163E-4</v>
      </c>
      <c r="H725" t="b">
        <v>0</v>
      </c>
    </row>
    <row r="726" spans="1:8" x14ac:dyDescent="0.15">
      <c r="A726">
        <v>33</v>
      </c>
      <c r="B726">
        <v>4</v>
      </c>
      <c r="C726">
        <v>843750</v>
      </c>
      <c r="D726">
        <v>-24834.628172841502</v>
      </c>
      <c r="E726">
        <v>-7.9101868056380669E-6</v>
      </c>
      <c r="F726">
        <v>1.7680171212762467E-5</v>
      </c>
      <c r="G726">
        <v>-2.5590358018400534E-5</v>
      </c>
      <c r="H726" t="b">
        <v>1</v>
      </c>
    </row>
    <row r="727" spans="1:8" x14ac:dyDescent="0.15">
      <c r="A727">
        <v>33</v>
      </c>
      <c r="B727">
        <v>5</v>
      </c>
      <c r="C727">
        <v>1215625</v>
      </c>
      <c r="D727">
        <v>-228950.16632614221</v>
      </c>
      <c r="E727">
        <v>2.4579439234228109E-6</v>
      </c>
      <c r="F727">
        <v>1.7680171212762467E-5</v>
      </c>
      <c r="G727">
        <v>-1.5222227289339657E-5</v>
      </c>
      <c r="H727" t="b">
        <v>1</v>
      </c>
    </row>
    <row r="728" spans="1:8" x14ac:dyDescent="0.15">
      <c r="A728">
        <v>33</v>
      </c>
      <c r="B728">
        <v>6</v>
      </c>
      <c r="C728">
        <v>1401562.5</v>
      </c>
      <c r="D728">
        <v>-56466725.320339583</v>
      </c>
      <c r="E728">
        <v>1.1439285078273042E-5</v>
      </c>
      <c r="F728">
        <v>1.7680171212762467E-5</v>
      </c>
      <c r="G728">
        <v>-6.2408861344894247E-6</v>
      </c>
      <c r="H728" t="b">
        <v>1</v>
      </c>
    </row>
    <row r="729" spans="1:8" x14ac:dyDescent="0.15">
      <c r="A729">
        <v>33</v>
      </c>
      <c r="B729">
        <v>7</v>
      </c>
      <c r="C729">
        <v>1494531.25</v>
      </c>
      <c r="D729">
        <v>2042661623.9258742</v>
      </c>
      <c r="E729">
        <v>3.7504602113016257E-5</v>
      </c>
      <c r="F729">
        <v>1.7680171212762467E-5</v>
      </c>
      <c r="G729">
        <v>1.9824430900253791E-5</v>
      </c>
      <c r="H729" t="b">
        <v>0</v>
      </c>
    </row>
    <row r="730" spans="1:8" x14ac:dyDescent="0.15">
      <c r="A730">
        <v>33</v>
      </c>
      <c r="B730">
        <v>8</v>
      </c>
      <c r="C730">
        <v>1448046.875</v>
      </c>
      <c r="D730">
        <v>82455852.166954011</v>
      </c>
      <c r="E730">
        <v>1.9175481054523312E-5</v>
      </c>
      <c r="F730">
        <v>1.7680171212762467E-5</v>
      </c>
      <c r="G730">
        <v>1.4953098417608451E-6</v>
      </c>
      <c r="H730" t="b">
        <v>0</v>
      </c>
    </row>
    <row r="731" spans="1:8" x14ac:dyDescent="0.15">
      <c r="A731">
        <v>33</v>
      </c>
      <c r="B731">
        <v>9</v>
      </c>
      <c r="C731">
        <v>1424804.6875</v>
      </c>
      <c r="D731">
        <v>-90520386.737561211</v>
      </c>
      <c r="E731">
        <v>1.3625369497096058E-5</v>
      </c>
      <c r="F731">
        <v>1.7680171212762467E-5</v>
      </c>
      <c r="G731">
        <v>-4.0548017156664092E-6</v>
      </c>
      <c r="H731" t="b">
        <v>1</v>
      </c>
    </row>
    <row r="732" spans="1:8" x14ac:dyDescent="0.15">
      <c r="A732">
        <v>33</v>
      </c>
      <c r="B732">
        <v>10</v>
      </c>
      <c r="C732">
        <v>1436425.78125</v>
      </c>
      <c r="D732">
        <v>-58672019.64481581</v>
      </c>
      <c r="E732">
        <v>1.6117645310817194E-5</v>
      </c>
      <c r="F732">
        <v>1.7680171212762467E-5</v>
      </c>
      <c r="G732">
        <v>-1.5625259019452724E-6</v>
      </c>
      <c r="H732" t="b">
        <v>1</v>
      </c>
    </row>
    <row r="733" spans="1:8" x14ac:dyDescent="0.15">
      <c r="A733">
        <v>33</v>
      </c>
      <c r="B733">
        <v>11</v>
      </c>
      <c r="C733">
        <v>1442236.328125</v>
      </c>
      <c r="D733">
        <v>-4345587.5152034415</v>
      </c>
      <c r="E733">
        <v>1.7586038719345995E-5</v>
      </c>
      <c r="F733">
        <v>1.7680171212762467E-5</v>
      </c>
      <c r="G733">
        <v>-9.413249341647223E-8</v>
      </c>
      <c r="H733" t="b">
        <v>1</v>
      </c>
    </row>
    <row r="734" spans="1:8" x14ac:dyDescent="0.15">
      <c r="A734">
        <v>33</v>
      </c>
      <c r="B734">
        <v>12</v>
      </c>
      <c r="C734">
        <v>1445141.6015625</v>
      </c>
      <c r="D734">
        <v>34678912.416544065</v>
      </c>
      <c r="E734">
        <v>1.836536345575486E-5</v>
      </c>
      <c r="F734">
        <v>1.7680171212762467E-5</v>
      </c>
      <c r="G734">
        <v>6.8519224299239337E-7</v>
      </c>
      <c r="H734" t="b">
        <v>0</v>
      </c>
    </row>
    <row r="735" spans="1:8" x14ac:dyDescent="0.15">
      <c r="A735">
        <v>33</v>
      </c>
      <c r="B735">
        <v>13</v>
      </c>
      <c r="C735">
        <v>1443688.96484375</v>
      </c>
      <c r="D735">
        <v>14111785.820692699</v>
      </c>
      <c r="E735">
        <v>1.7971873652660007E-5</v>
      </c>
      <c r="F735">
        <v>1.7680171212762467E-5</v>
      </c>
      <c r="G735">
        <v>2.9170243989753999E-7</v>
      </c>
      <c r="H735" t="b">
        <v>0</v>
      </c>
    </row>
    <row r="736" spans="1:8" x14ac:dyDescent="0.15">
      <c r="A736">
        <v>33</v>
      </c>
      <c r="B736">
        <v>14</v>
      </c>
      <c r="C736">
        <v>1442488.96484375</v>
      </c>
      <c r="D736">
        <v>-1283933.1247373389</v>
      </c>
      <c r="E736">
        <v>1.7652588084717035E-5</v>
      </c>
      <c r="F736">
        <v>1.7680171212762467E-5</v>
      </c>
      <c r="G736">
        <v>-2.7583128045431622E-8</v>
      </c>
      <c r="H736" t="b">
        <v>1</v>
      </c>
    </row>
    <row r="737" spans="1:8" x14ac:dyDescent="0.15">
      <c r="A737">
        <v>33</v>
      </c>
      <c r="B737">
        <v>15</v>
      </c>
      <c r="C737">
        <v>1443088.96484375</v>
      </c>
      <c r="D737">
        <v>6236399.9079798879</v>
      </c>
      <c r="E737">
        <v>1.7811572799583948E-5</v>
      </c>
      <c r="F737">
        <v>1.7680171212762467E-5</v>
      </c>
      <c r="G737">
        <v>1.3140158682148109E-7</v>
      </c>
      <c r="H737" t="b">
        <v>0</v>
      </c>
    </row>
    <row r="738" spans="1:8" x14ac:dyDescent="0.15">
      <c r="A738">
        <v>33</v>
      </c>
      <c r="B738">
        <v>16</v>
      </c>
      <c r="C738">
        <v>1442788.96484375</v>
      </c>
      <c r="D738">
        <v>2432299.1220271816</v>
      </c>
      <c r="E738">
        <v>1.7731918167900864E-5</v>
      </c>
      <c r="F738">
        <v>1.7680171212762467E-5</v>
      </c>
      <c r="G738">
        <v>5.1746955138397602E-8</v>
      </c>
      <c r="H738" t="b">
        <v>0</v>
      </c>
    </row>
    <row r="739" spans="1:8" x14ac:dyDescent="0.15">
      <c r="A739">
        <v>33</v>
      </c>
      <c r="B739">
        <v>17</v>
      </c>
      <c r="C739">
        <v>1442428.96484375</v>
      </c>
      <c r="D739">
        <v>-2016590.7498359631</v>
      </c>
      <c r="E739">
        <v>1.7636763258888552E-5</v>
      </c>
      <c r="F739">
        <v>1.7680171212762467E-5</v>
      </c>
      <c r="G739">
        <v>-4.3407953873915049E-8</v>
      </c>
      <c r="H739" t="b">
        <v>1</v>
      </c>
    </row>
    <row r="740" spans="1:8" x14ac:dyDescent="0.15">
      <c r="A740">
        <v>33</v>
      </c>
      <c r="B740">
        <v>18</v>
      </c>
      <c r="C740">
        <v>1442608.96484375</v>
      </c>
      <c r="D740">
        <v>192087.43347548225</v>
      </c>
      <c r="E740">
        <v>1.7684281790174398E-5</v>
      </c>
      <c r="F740">
        <v>1.7680171212762467E-5</v>
      </c>
      <c r="G740">
        <v>4.1105774119309989E-9</v>
      </c>
      <c r="H740" t="b">
        <v>0</v>
      </c>
    </row>
    <row r="741" spans="1:8" x14ac:dyDescent="0.15">
      <c r="A741">
        <v>33</v>
      </c>
      <c r="B741">
        <v>19</v>
      </c>
      <c r="C741">
        <v>1442824.96484375</v>
      </c>
      <c r="D741">
        <v>2884138.8580753133</v>
      </c>
      <c r="E741">
        <v>1.7741459594619047E-5</v>
      </c>
      <c r="F741">
        <v>1.7680171212762467E-5</v>
      </c>
      <c r="G741">
        <v>6.1288381856580536E-8</v>
      </c>
      <c r="H741" t="b">
        <v>0</v>
      </c>
    </row>
    <row r="742" spans="1:8" x14ac:dyDescent="0.15">
      <c r="A742">
        <v>33</v>
      </c>
      <c r="B742">
        <v>20</v>
      </c>
      <c r="C742">
        <v>1442716.96484375</v>
      </c>
      <c r="D742">
        <v>1532420.8738960132</v>
      </c>
      <c r="E742">
        <v>1.7712849472014712E-5</v>
      </c>
      <c r="F742">
        <v>1.7680171212762467E-5</v>
      </c>
      <c r="G742">
        <v>3.2678259252245283E-8</v>
      </c>
      <c r="H742" t="b">
        <v>0</v>
      </c>
    </row>
    <row r="743" spans="1:8" x14ac:dyDescent="0.15">
      <c r="A743">
        <v>33</v>
      </c>
      <c r="B743">
        <v>21</v>
      </c>
      <c r="C743">
        <v>1442587.3648437499</v>
      </c>
      <c r="D743">
        <v>-74616.137242987228</v>
      </c>
      <c r="E743">
        <v>1.7678573341649086E-5</v>
      </c>
      <c r="F743">
        <v>1.7680171212762467E-5</v>
      </c>
      <c r="G743">
        <v>-1.5978711133809922E-9</v>
      </c>
      <c r="H743" t="b">
        <v>1</v>
      </c>
    </row>
    <row r="744" spans="1:8" x14ac:dyDescent="0.15">
      <c r="A744">
        <v>33</v>
      </c>
      <c r="B744">
        <v>22</v>
      </c>
      <c r="C744">
        <v>1442652.16484375</v>
      </c>
      <c r="D744">
        <v>726856.86693124194</v>
      </c>
      <c r="E744">
        <v>1.769570377369061E-5</v>
      </c>
      <c r="F744">
        <v>1.7680171212762467E-5</v>
      </c>
      <c r="G744">
        <v>1.5532560928142761E-8</v>
      </c>
      <c r="H744" t="b">
        <v>0</v>
      </c>
    </row>
    <row r="745" spans="1:8" x14ac:dyDescent="0.15">
      <c r="A745">
        <v>33</v>
      </c>
      <c r="B745">
        <v>23</v>
      </c>
      <c r="C745">
        <v>1442729.92484375</v>
      </c>
      <c r="D745">
        <v>1693946.5985566922</v>
      </c>
      <c r="E745">
        <v>1.7716278775606946E-5</v>
      </c>
      <c r="F745">
        <v>1.7680171212762467E-5</v>
      </c>
      <c r="G745">
        <v>3.610756284447964E-8</v>
      </c>
      <c r="H745" t="b">
        <v>0</v>
      </c>
    </row>
    <row r="746" spans="1:8" x14ac:dyDescent="0.15">
      <c r="A746">
        <v>33</v>
      </c>
      <c r="B746">
        <v>24</v>
      </c>
      <c r="C746">
        <v>1442691.0448437501</v>
      </c>
      <c r="D746">
        <v>1209703.875265094</v>
      </c>
      <c r="E746">
        <v>1.7705989359938177E-5</v>
      </c>
      <c r="F746">
        <v>1.7680171212762467E-5</v>
      </c>
      <c r="G746">
        <v>2.5818147175709895E-8</v>
      </c>
      <c r="H746" t="b">
        <v>0</v>
      </c>
    </row>
    <row r="747" spans="1:8" x14ac:dyDescent="0.15">
      <c r="A747">
        <v>33</v>
      </c>
      <c r="B747">
        <v>25</v>
      </c>
      <c r="C747">
        <v>1442710.48484375</v>
      </c>
      <c r="D747">
        <v>1451601.6389527679</v>
      </c>
      <c r="E747">
        <v>1.7711132546260257E-5</v>
      </c>
      <c r="F747">
        <v>1.7680171212762467E-5</v>
      </c>
      <c r="G747">
        <v>3.0961333497789853E-8</v>
      </c>
      <c r="H747" t="b">
        <v>0</v>
      </c>
    </row>
    <row r="748" spans="1:8" x14ac:dyDescent="0.15">
      <c r="A748">
        <v>34</v>
      </c>
      <c r="B748">
        <v>1</v>
      </c>
      <c r="C748">
        <v>6050000</v>
      </c>
      <c r="D748">
        <v>1.3478401753834017E+18</v>
      </c>
      <c r="E748">
        <v>536.87092200000006</v>
      </c>
      <c r="F748">
        <v>2.5199273295584135E-5</v>
      </c>
      <c r="G748">
        <v>536.87089680072677</v>
      </c>
      <c r="H748" t="b">
        <v>0</v>
      </c>
    </row>
    <row r="749" spans="1:8" x14ac:dyDescent="0.15">
      <c r="A749">
        <v>34</v>
      </c>
      <c r="B749">
        <v>2</v>
      </c>
      <c r="C749">
        <v>3075000</v>
      </c>
      <c r="D749">
        <v>4.3603582642034291E+17</v>
      </c>
      <c r="E749">
        <v>198.21468431578447</v>
      </c>
      <c r="F749">
        <v>2.5199273324005844E-5</v>
      </c>
      <c r="G749">
        <v>198.21465911651114</v>
      </c>
      <c r="H749" t="b">
        <v>0</v>
      </c>
    </row>
    <row r="750" spans="1:8" x14ac:dyDescent="0.15">
      <c r="A750">
        <v>34</v>
      </c>
      <c r="B750">
        <v>3</v>
      </c>
      <c r="C750">
        <v>1587500</v>
      </c>
      <c r="D750">
        <v>84331698158.283005</v>
      </c>
      <c r="E750">
        <v>5.3083439463356367E-4</v>
      </c>
      <c r="F750">
        <v>2.5199273325269482E-5</v>
      </c>
      <c r="G750">
        <v>5.0563512130829419E-4</v>
      </c>
      <c r="H750" t="b">
        <v>0</v>
      </c>
    </row>
    <row r="751" spans="1:8" x14ac:dyDescent="0.15">
      <c r="A751">
        <v>34</v>
      </c>
      <c r="B751">
        <v>4</v>
      </c>
      <c r="C751">
        <v>843750</v>
      </c>
      <c r="D751">
        <v>-33117.570404445425</v>
      </c>
      <c r="E751">
        <v>-6.9606820049891656E-6</v>
      </c>
      <c r="F751">
        <v>2.5199273325269434E-5</v>
      </c>
      <c r="G751">
        <v>-3.2159955330258601E-5</v>
      </c>
      <c r="H751" t="b">
        <v>1</v>
      </c>
    </row>
    <row r="752" spans="1:8" x14ac:dyDescent="0.15">
      <c r="A752">
        <v>34</v>
      </c>
      <c r="B752">
        <v>5</v>
      </c>
      <c r="C752">
        <v>1215625</v>
      </c>
      <c r="D752">
        <v>-391633.53585737123</v>
      </c>
      <c r="E752">
        <v>5.9027501912689955E-6</v>
      </c>
      <c r="F752">
        <v>2.5199273325269434E-5</v>
      </c>
      <c r="G752">
        <v>-1.929652313400044E-5</v>
      </c>
      <c r="H752" t="b">
        <v>1</v>
      </c>
    </row>
    <row r="753" spans="1:8" x14ac:dyDescent="0.15">
      <c r="A753">
        <v>34</v>
      </c>
      <c r="B753">
        <v>6</v>
      </c>
      <c r="C753">
        <v>1401562.5</v>
      </c>
      <c r="D753">
        <v>1178747745.6704781</v>
      </c>
      <c r="E753">
        <v>4.4695463423374766E-5</v>
      </c>
      <c r="F753">
        <v>2.5199273325269434E-5</v>
      </c>
      <c r="G753">
        <v>1.9496190098105332E-5</v>
      </c>
      <c r="H753" t="b">
        <v>0</v>
      </c>
    </row>
    <row r="754" spans="1:8" x14ac:dyDescent="0.15">
      <c r="A754">
        <v>34</v>
      </c>
      <c r="B754">
        <v>7</v>
      </c>
      <c r="C754">
        <v>1308593.75</v>
      </c>
      <c r="D754">
        <v>-13537558.078014722</v>
      </c>
      <c r="E754">
        <v>1.3072551516239505E-5</v>
      </c>
      <c r="F754">
        <v>2.5199273325269434E-5</v>
      </c>
      <c r="G754">
        <v>-1.2126721809029929E-5</v>
      </c>
      <c r="H754" t="b">
        <v>1</v>
      </c>
    </row>
    <row r="755" spans="1:8" x14ac:dyDescent="0.15">
      <c r="A755">
        <v>34</v>
      </c>
      <c r="B755">
        <v>8</v>
      </c>
      <c r="C755">
        <v>1355078.125</v>
      </c>
      <c r="D755">
        <v>-81868214.714734972</v>
      </c>
      <c r="E755">
        <v>2.1933811767085915E-5</v>
      </c>
      <c r="F755">
        <v>2.5199273325269434E-5</v>
      </c>
      <c r="G755">
        <v>-3.265461558183519E-6</v>
      </c>
      <c r="H755" t="b">
        <v>1</v>
      </c>
    </row>
    <row r="756" spans="1:8" x14ac:dyDescent="0.15">
      <c r="A756">
        <v>34</v>
      </c>
      <c r="B756">
        <v>9</v>
      </c>
      <c r="C756">
        <v>1378320.3125</v>
      </c>
      <c r="D756">
        <v>300299158.96737385</v>
      </c>
      <c r="E756">
        <v>3.1480443980855427E-5</v>
      </c>
      <c r="F756">
        <v>2.5199273325269434E-5</v>
      </c>
      <c r="G756">
        <v>6.2811706555859927E-6</v>
      </c>
      <c r="H756" t="b">
        <v>0</v>
      </c>
    </row>
    <row r="757" spans="1:8" x14ac:dyDescent="0.15">
      <c r="A757">
        <v>34</v>
      </c>
      <c r="B757">
        <v>10</v>
      </c>
      <c r="C757">
        <v>1366699.21875</v>
      </c>
      <c r="D757">
        <v>41657730.747616298</v>
      </c>
      <c r="E757">
        <v>2.6313000238750409E-5</v>
      </c>
      <c r="F757">
        <v>2.5199273325269434E-5</v>
      </c>
      <c r="G757">
        <v>1.1137269134809747E-6</v>
      </c>
      <c r="H757" t="b">
        <v>0</v>
      </c>
    </row>
    <row r="758" spans="1:8" x14ac:dyDescent="0.15">
      <c r="A758">
        <v>34</v>
      </c>
      <c r="B758">
        <v>11</v>
      </c>
      <c r="C758">
        <v>1360888.671875</v>
      </c>
      <c r="D758">
        <v>-36332342.679025233</v>
      </c>
      <c r="E758">
        <v>2.4032133381089925E-5</v>
      </c>
      <c r="F758">
        <v>2.5199273325269434E-5</v>
      </c>
      <c r="G758">
        <v>-1.1671399441795094E-6</v>
      </c>
      <c r="H758" t="b">
        <v>1</v>
      </c>
    </row>
    <row r="759" spans="1:8" x14ac:dyDescent="0.15">
      <c r="A759">
        <v>34</v>
      </c>
      <c r="B759">
        <v>12</v>
      </c>
      <c r="C759">
        <v>1363793.9453125</v>
      </c>
      <c r="D759">
        <v>-1725492.23913786</v>
      </c>
      <c r="E759">
        <v>2.5148880564039871E-5</v>
      </c>
      <c r="F759">
        <v>2.5199273325269434E-5</v>
      </c>
      <c r="G759">
        <v>-5.0392761229563584E-8</v>
      </c>
      <c r="H759" t="b">
        <v>1</v>
      </c>
    </row>
    <row r="760" spans="1:8" x14ac:dyDescent="0.15">
      <c r="A760">
        <v>34</v>
      </c>
      <c r="B760">
        <v>13</v>
      </c>
      <c r="C760">
        <v>1365246.58203125</v>
      </c>
      <c r="D760">
        <v>18826114.183480062</v>
      </c>
      <c r="E760">
        <v>2.5724906592908743E-5</v>
      </c>
      <c r="F760">
        <v>2.5199273325269434E-5</v>
      </c>
      <c r="G760">
        <v>5.2563326763930846E-7</v>
      </c>
      <c r="H760" t="b">
        <v>0</v>
      </c>
    </row>
    <row r="761" spans="1:8" x14ac:dyDescent="0.15">
      <c r="A761">
        <v>34</v>
      </c>
      <c r="B761">
        <v>14</v>
      </c>
      <c r="C761">
        <v>1364046.58203125</v>
      </c>
      <c r="D761">
        <v>1688783.8841892623</v>
      </c>
      <c r="E761">
        <v>2.5248203857816525E-5</v>
      </c>
      <c r="F761">
        <v>2.5199273325269434E-5</v>
      </c>
      <c r="G761">
        <v>4.8930532547090825E-8</v>
      </c>
      <c r="H761" t="b">
        <v>0</v>
      </c>
    </row>
    <row r="762" spans="1:8" x14ac:dyDescent="0.15">
      <c r="A762">
        <v>34</v>
      </c>
      <c r="B762">
        <v>15</v>
      </c>
      <c r="C762">
        <v>1362606.58203125</v>
      </c>
      <c r="D762">
        <v>-16890892.46581272</v>
      </c>
      <c r="E762">
        <v>2.4686851886936719E-5</v>
      </c>
      <c r="F762">
        <v>2.5199273325269434E-5</v>
      </c>
      <c r="G762">
        <v>-5.1242143833271582E-7</v>
      </c>
      <c r="H762" t="b">
        <v>1</v>
      </c>
    </row>
    <row r="763" spans="1:8" x14ac:dyDescent="0.15">
      <c r="A763">
        <v>34</v>
      </c>
      <c r="B763">
        <v>16</v>
      </c>
      <c r="C763">
        <v>1363326.58203125</v>
      </c>
      <c r="D763">
        <v>-7867135.3096036371</v>
      </c>
      <c r="E763">
        <v>2.4966081874223999E-5</v>
      </c>
      <c r="F763">
        <v>2.5199273325269434E-5</v>
      </c>
      <c r="G763">
        <v>-2.3319145104543586E-7</v>
      </c>
      <c r="H763" t="b">
        <v>1</v>
      </c>
    </row>
    <row r="764" spans="1:8" x14ac:dyDescent="0.15">
      <c r="A764">
        <v>34</v>
      </c>
      <c r="B764">
        <v>17</v>
      </c>
      <c r="C764">
        <v>1364046.58203125</v>
      </c>
      <c r="D764">
        <v>1688783.8841892623</v>
      </c>
      <c r="E764">
        <v>2.5248203857816525E-5</v>
      </c>
      <c r="F764">
        <v>2.5199273325269434E-5</v>
      </c>
      <c r="G764">
        <v>4.8930532547090825E-8</v>
      </c>
      <c r="H764" t="b">
        <v>0</v>
      </c>
    </row>
    <row r="765" spans="1:8" x14ac:dyDescent="0.15">
      <c r="A765">
        <v>34</v>
      </c>
      <c r="B765">
        <v>18</v>
      </c>
      <c r="C765">
        <v>1363686.58203125</v>
      </c>
      <c r="D765">
        <v>-3156417.2157591511</v>
      </c>
      <c r="E765">
        <v>2.5106777463572315E-5</v>
      </c>
      <c r="F765">
        <v>2.5199273325269434E-5</v>
      </c>
      <c r="G765">
        <v>-9.2495861697119638E-8</v>
      </c>
      <c r="H765" t="b">
        <v>1</v>
      </c>
    </row>
    <row r="766" spans="1:8" x14ac:dyDescent="0.15">
      <c r="A766">
        <v>34</v>
      </c>
      <c r="B766">
        <v>19</v>
      </c>
      <c r="C766">
        <v>1363866.58203125</v>
      </c>
      <c r="D766">
        <v>-750651.79133335466</v>
      </c>
      <c r="E766">
        <v>2.5177400763777886E-5</v>
      </c>
      <c r="F766">
        <v>2.5199273325269434E-5</v>
      </c>
      <c r="G766">
        <v>-2.1872561491548091E-8</v>
      </c>
      <c r="H766" t="b">
        <v>1</v>
      </c>
    </row>
    <row r="767" spans="1:8" x14ac:dyDescent="0.15">
      <c r="A767">
        <v>34</v>
      </c>
      <c r="B767">
        <v>20</v>
      </c>
      <c r="C767">
        <v>1364046.58203125</v>
      </c>
      <c r="D767">
        <v>1688783.8841892623</v>
      </c>
      <c r="E767">
        <v>2.5248203857816525E-5</v>
      </c>
      <c r="F767">
        <v>2.5199273325269434E-5</v>
      </c>
      <c r="G767">
        <v>4.8930532547090825E-8</v>
      </c>
      <c r="H767" t="b">
        <v>0</v>
      </c>
    </row>
    <row r="768" spans="1:8" x14ac:dyDescent="0.15">
      <c r="A768">
        <v>34</v>
      </c>
      <c r="B768">
        <v>21</v>
      </c>
      <c r="C768">
        <v>1363956.58203125</v>
      </c>
      <c r="D768">
        <v>464837.62725754536</v>
      </c>
      <c r="E768">
        <v>2.5212779530527319E-5</v>
      </c>
      <c r="F768">
        <v>2.5199273325269434E-5</v>
      </c>
      <c r="G768">
        <v>1.3506205257884598E-8</v>
      </c>
      <c r="H768" t="b">
        <v>0</v>
      </c>
    </row>
    <row r="769" spans="1:8" x14ac:dyDescent="0.15">
      <c r="A769">
        <v>34</v>
      </c>
      <c r="B769">
        <v>22</v>
      </c>
      <c r="C769">
        <v>1364001.58203125</v>
      </c>
      <c r="D769">
        <v>1075748.9848242525</v>
      </c>
      <c r="E769">
        <v>2.5230485897575553E-5</v>
      </c>
      <c r="F769">
        <v>2.5199273325269434E-5</v>
      </c>
      <c r="G769">
        <v>3.1212572306118646E-8</v>
      </c>
      <c r="H769" t="b">
        <v>0</v>
      </c>
    </row>
    <row r="770" spans="1:8" x14ac:dyDescent="0.15">
      <c r="A770">
        <v>34</v>
      </c>
      <c r="B770">
        <v>23</v>
      </c>
      <c r="C770">
        <v>1364055.58203125</v>
      </c>
      <c r="D770">
        <v>1811645.1051784107</v>
      </c>
      <c r="E770">
        <v>2.525174881817738E-5</v>
      </c>
      <c r="F770">
        <v>2.5199273325269434E-5</v>
      </c>
      <c r="G770">
        <v>5.2475492907945161E-8</v>
      </c>
      <c r="H770" t="b">
        <v>0</v>
      </c>
    </row>
    <row r="771" spans="1:8" x14ac:dyDescent="0.15">
      <c r="A771">
        <v>34</v>
      </c>
      <c r="B771">
        <v>24</v>
      </c>
      <c r="C771">
        <v>1364028.58203125</v>
      </c>
      <c r="D771">
        <v>1443315.7445129447</v>
      </c>
      <c r="E771">
        <v>2.5241115305567511E-5</v>
      </c>
      <c r="F771">
        <v>2.5199273325269434E-5</v>
      </c>
      <c r="G771">
        <v>4.1841980298076392E-8</v>
      </c>
      <c r="H771" t="b">
        <v>0</v>
      </c>
    </row>
    <row r="772" spans="1:8" x14ac:dyDescent="0.15">
      <c r="A772">
        <v>34</v>
      </c>
      <c r="B772">
        <v>25</v>
      </c>
      <c r="C772">
        <v>1363996.1820312501</v>
      </c>
      <c r="D772">
        <v>1002327.0965469291</v>
      </c>
      <c r="E772">
        <v>2.5228360508404379E-5</v>
      </c>
      <c r="F772">
        <v>2.5199273325269434E-5</v>
      </c>
      <c r="G772">
        <v>2.9087183134944263E-8</v>
      </c>
      <c r="H772" t="b">
        <v>0</v>
      </c>
    </row>
    <row r="773" spans="1:8" x14ac:dyDescent="0.15">
      <c r="A773">
        <v>34</v>
      </c>
      <c r="B773">
        <v>26</v>
      </c>
      <c r="C773">
        <v>1364012.38203125</v>
      </c>
      <c r="D773">
        <v>1222684.2118734263</v>
      </c>
      <c r="E773">
        <v>2.5234737168311876E-5</v>
      </c>
      <c r="F773">
        <v>2.5199273325269434E-5</v>
      </c>
      <c r="G773">
        <v>3.5463843042441584E-8</v>
      </c>
      <c r="H773" t="b">
        <v>0</v>
      </c>
    </row>
    <row r="774" spans="1:8" x14ac:dyDescent="0.15">
      <c r="A774">
        <v>34</v>
      </c>
      <c r="B774">
        <v>27</v>
      </c>
      <c r="C774">
        <v>1364031.82203125</v>
      </c>
      <c r="D774">
        <v>1487474.991621101</v>
      </c>
      <c r="E774">
        <v>2.5242391110328887E-5</v>
      </c>
      <c r="F774">
        <v>2.5199273325269434E-5</v>
      </c>
      <c r="G774">
        <v>4.3117785059452492E-8</v>
      </c>
      <c r="H774" t="b">
        <v>0</v>
      </c>
    </row>
    <row r="775" spans="1:8" x14ac:dyDescent="0.15">
      <c r="A775">
        <v>34</v>
      </c>
      <c r="B775">
        <v>28</v>
      </c>
      <c r="C775">
        <v>1364022.10203125</v>
      </c>
      <c r="D775">
        <v>1355030.1937619823</v>
      </c>
      <c r="E775">
        <v>2.5238563873363364E-5</v>
      </c>
      <c r="F775">
        <v>2.5199273325269434E-5</v>
      </c>
      <c r="G775">
        <v>3.9290548093929819E-8</v>
      </c>
      <c r="H775" t="b">
        <v>0</v>
      </c>
    </row>
    <row r="776" spans="1:8" x14ac:dyDescent="0.15">
      <c r="A776">
        <v>35</v>
      </c>
      <c r="B776">
        <v>1</v>
      </c>
      <c r="C776">
        <v>6050000</v>
      </c>
      <c r="D776">
        <v>2.2767553324628488E+18</v>
      </c>
      <c r="E776">
        <v>536.87092200000006</v>
      </c>
      <c r="F776">
        <v>1.800037262000842E-5</v>
      </c>
      <c r="G776">
        <v>536.87090399962744</v>
      </c>
      <c r="H776" t="b">
        <v>0</v>
      </c>
    </row>
    <row r="777" spans="1:8" x14ac:dyDescent="0.15">
      <c r="A777">
        <v>35</v>
      </c>
      <c r="B777">
        <v>2</v>
      </c>
      <c r="C777">
        <v>3075000</v>
      </c>
      <c r="D777">
        <v>4451435499190753</v>
      </c>
      <c r="E777">
        <v>2.331940625003873</v>
      </c>
      <c r="F777">
        <v>1.8000372639104256E-5</v>
      </c>
      <c r="G777">
        <v>2.3319226246312339</v>
      </c>
      <c r="H777" t="b">
        <v>0</v>
      </c>
    </row>
    <row r="778" spans="1:8" x14ac:dyDescent="0.15">
      <c r="A778">
        <v>35</v>
      </c>
      <c r="B778">
        <v>3</v>
      </c>
      <c r="C778">
        <v>1587500</v>
      </c>
      <c r="D778">
        <v>-29096171.074564375</v>
      </c>
      <c r="E778">
        <v>1.7309988637675028E-5</v>
      </c>
      <c r="F778">
        <v>1.8000372639109338E-5</v>
      </c>
      <c r="G778">
        <v>-6.9038400143431029E-7</v>
      </c>
      <c r="H778" t="b">
        <v>1</v>
      </c>
    </row>
    <row r="779" spans="1:8" x14ac:dyDescent="0.15">
      <c r="A779">
        <v>35</v>
      </c>
      <c r="B779">
        <v>4</v>
      </c>
      <c r="C779">
        <v>2331250</v>
      </c>
      <c r="D779">
        <v>15869593470574.795</v>
      </c>
      <c r="E779">
        <v>2.0822113721271868E-2</v>
      </c>
      <c r="F779">
        <v>1.8000372639107726E-5</v>
      </c>
      <c r="G779">
        <v>2.0804113348632761E-2</v>
      </c>
      <c r="H779" t="b">
        <v>0</v>
      </c>
    </row>
    <row r="780" spans="1:8" x14ac:dyDescent="0.15">
      <c r="A780">
        <v>35</v>
      </c>
      <c r="B780">
        <v>5</v>
      </c>
      <c r="C780">
        <v>1959375</v>
      </c>
      <c r="D780">
        <v>360912279861.87317</v>
      </c>
      <c r="E780">
        <v>1.0394658630711827E-3</v>
      </c>
      <c r="F780">
        <v>1.8000372639109244E-5</v>
      </c>
      <c r="G780">
        <v>1.0214654904320735E-3</v>
      </c>
      <c r="H780" t="b">
        <v>0</v>
      </c>
    </row>
    <row r="781" spans="1:8" x14ac:dyDescent="0.15">
      <c r="A781">
        <v>35</v>
      </c>
      <c r="B781">
        <v>6</v>
      </c>
      <c r="C781">
        <v>1773437.5</v>
      </c>
      <c r="D781">
        <v>27565284460.137245</v>
      </c>
      <c r="E781">
        <v>1.6165562689742299E-4</v>
      </c>
      <c r="F781">
        <v>1.8000372639109352E-5</v>
      </c>
      <c r="G781">
        <v>1.4365525425831364E-4</v>
      </c>
      <c r="H781" t="b">
        <v>0</v>
      </c>
    </row>
    <row r="782" spans="1:8" x14ac:dyDescent="0.15">
      <c r="A782">
        <v>35</v>
      </c>
      <c r="B782">
        <v>7</v>
      </c>
      <c r="C782">
        <v>1680468.75</v>
      </c>
      <c r="D782">
        <v>4655393046.5567732</v>
      </c>
      <c r="E782">
        <v>5.5889521663841647E-5</v>
      </c>
      <c r="F782">
        <v>1.8000372639109338E-5</v>
      </c>
      <c r="G782">
        <v>3.7889149024732309E-5</v>
      </c>
      <c r="H782" t="b">
        <v>0</v>
      </c>
    </row>
    <row r="783" spans="1:8" x14ac:dyDescent="0.15">
      <c r="A783">
        <v>35</v>
      </c>
      <c r="B783">
        <v>8</v>
      </c>
      <c r="C783">
        <v>1633984.375</v>
      </c>
      <c r="D783">
        <v>1222915967.9484301</v>
      </c>
      <c r="E783">
        <v>3.1573685193178438E-5</v>
      </c>
      <c r="F783">
        <v>1.8000372639109338E-5</v>
      </c>
      <c r="G783">
        <v>1.35733125540691E-5</v>
      </c>
      <c r="H783" t="b">
        <v>0</v>
      </c>
    </row>
    <row r="784" spans="1:8" x14ac:dyDescent="0.15">
      <c r="A784">
        <v>35</v>
      </c>
      <c r="B784">
        <v>9</v>
      </c>
      <c r="C784">
        <v>1610742.1875</v>
      </c>
      <c r="D784">
        <v>401849214.66700262</v>
      </c>
      <c r="E784">
        <v>2.3469876763920419E-5</v>
      </c>
      <c r="F784">
        <v>1.8000372639109338E-5</v>
      </c>
      <c r="G784">
        <v>5.4695041248110807E-6</v>
      </c>
      <c r="H784" t="b">
        <v>0</v>
      </c>
    </row>
    <row r="785" spans="1:8" x14ac:dyDescent="0.15">
      <c r="A785">
        <v>35</v>
      </c>
      <c r="B785">
        <v>10</v>
      </c>
      <c r="C785">
        <v>1599121.09375</v>
      </c>
      <c r="D785">
        <v>125587659.51018006</v>
      </c>
      <c r="E785">
        <v>2.0175811482793392E-5</v>
      </c>
      <c r="F785">
        <v>1.8000372639109338E-5</v>
      </c>
      <c r="G785">
        <v>2.1754388436840536E-6</v>
      </c>
      <c r="H785" t="b">
        <v>0</v>
      </c>
    </row>
    <row r="786" spans="1:8" x14ac:dyDescent="0.15">
      <c r="A786">
        <v>35</v>
      </c>
      <c r="B786">
        <v>11</v>
      </c>
      <c r="C786">
        <v>1593310.546875</v>
      </c>
      <c r="D786">
        <v>34480626.185189225</v>
      </c>
      <c r="E786">
        <v>1.8692694598249503E-5</v>
      </c>
      <c r="F786">
        <v>1.8000372639109338E-5</v>
      </c>
      <c r="G786">
        <v>6.9232195914016432E-7</v>
      </c>
      <c r="H786" t="b">
        <v>0</v>
      </c>
    </row>
    <row r="787" spans="1:8" x14ac:dyDescent="0.15">
      <c r="A787">
        <v>35</v>
      </c>
      <c r="B787">
        <v>12</v>
      </c>
      <c r="C787">
        <v>1590405.2734375</v>
      </c>
      <c r="D787">
        <v>-513922.15787984827</v>
      </c>
      <c r="E787">
        <v>1.7989185876112679E-5</v>
      </c>
      <c r="F787">
        <v>1.8000372639109338E-5</v>
      </c>
      <c r="G787">
        <v>-1.1186762996659666E-8</v>
      </c>
      <c r="H787" t="b">
        <v>1</v>
      </c>
    </row>
    <row r="788" spans="1:8" x14ac:dyDescent="0.15">
      <c r="A788">
        <v>35</v>
      </c>
      <c r="B788">
        <v>13</v>
      </c>
      <c r="C788">
        <v>1591857.91015625</v>
      </c>
      <c r="D788">
        <v>16152996.933972364</v>
      </c>
      <c r="E788">
        <v>1.8337850911489511E-5</v>
      </c>
      <c r="F788">
        <v>1.8000372639109338E-5</v>
      </c>
      <c r="G788">
        <v>3.3747827238017264E-7</v>
      </c>
      <c r="H788" t="b">
        <v>0</v>
      </c>
    </row>
    <row r="789" spans="1:8" x14ac:dyDescent="0.15">
      <c r="A789">
        <v>35</v>
      </c>
      <c r="B789">
        <v>14</v>
      </c>
      <c r="C789">
        <v>1590657.91015625</v>
      </c>
      <c r="D789">
        <v>2267983.8161140569</v>
      </c>
      <c r="E789">
        <v>1.8049385197645793E-5</v>
      </c>
      <c r="F789">
        <v>1.8000372639109338E-5</v>
      </c>
      <c r="G789">
        <v>4.901255853645466E-8</v>
      </c>
      <c r="H789" t="b">
        <v>0</v>
      </c>
    </row>
    <row r="790" spans="1:8" x14ac:dyDescent="0.15">
      <c r="A790">
        <v>35</v>
      </c>
      <c r="B790">
        <v>15</v>
      </c>
      <c r="C790">
        <v>1589217.91015625</v>
      </c>
      <c r="D790">
        <v>-12944184.028947355</v>
      </c>
      <c r="E790">
        <v>1.7708709688881013E-5</v>
      </c>
      <c r="F790">
        <v>1.8000372639109338E-5</v>
      </c>
      <c r="G790">
        <v>-2.916629502283251E-7</v>
      </c>
      <c r="H790" t="b">
        <v>1</v>
      </c>
    </row>
    <row r="791" spans="1:8" x14ac:dyDescent="0.15">
      <c r="A791">
        <v>35</v>
      </c>
      <c r="B791">
        <v>16</v>
      </c>
      <c r="C791">
        <v>1589937.91015625</v>
      </c>
      <c r="D791">
        <v>-5532722.204145371</v>
      </c>
      <c r="E791">
        <v>1.7878304718720014E-5</v>
      </c>
      <c r="F791">
        <v>1.8000372639109338E-5</v>
      </c>
      <c r="G791">
        <v>-1.2206792038932404E-7</v>
      </c>
      <c r="H791" t="b">
        <v>1</v>
      </c>
    </row>
    <row r="792" spans="1:8" x14ac:dyDescent="0.15">
      <c r="A792">
        <v>35</v>
      </c>
      <c r="B792">
        <v>17</v>
      </c>
      <c r="C792">
        <v>1590657.91015625</v>
      </c>
      <c r="D792">
        <v>2267983.8161140569</v>
      </c>
      <c r="E792">
        <v>1.8049385197645793E-5</v>
      </c>
      <c r="F792">
        <v>1.8000372639109338E-5</v>
      </c>
      <c r="G792">
        <v>4.901255853645466E-8</v>
      </c>
      <c r="H792" t="b">
        <v>0</v>
      </c>
    </row>
    <row r="793" spans="1:8" x14ac:dyDescent="0.15">
      <c r="A793">
        <v>35</v>
      </c>
      <c r="B793">
        <v>18</v>
      </c>
      <c r="C793">
        <v>1590297.91015625</v>
      </c>
      <c r="D793">
        <v>-1681456.8734713644</v>
      </c>
      <c r="E793">
        <v>1.7963658571010464E-5</v>
      </c>
      <c r="F793">
        <v>1.8000372639109338E-5</v>
      </c>
      <c r="G793">
        <v>-3.6714068098874793E-8</v>
      </c>
      <c r="H793" t="b">
        <v>1</v>
      </c>
    </row>
    <row r="794" spans="1:8" x14ac:dyDescent="0.15">
      <c r="A794">
        <v>35</v>
      </c>
      <c r="B794">
        <v>19</v>
      </c>
      <c r="C794">
        <v>1590477.91015625</v>
      </c>
      <c r="D794">
        <v>280863.142750684</v>
      </c>
      <c r="E794">
        <v>1.8006473588233405E-5</v>
      </c>
      <c r="F794">
        <v>1.8000372639109338E-5</v>
      </c>
      <c r="G794">
        <v>6.1009491240663813E-9</v>
      </c>
      <c r="H794" t="b">
        <v>0</v>
      </c>
    </row>
    <row r="795" spans="1:8" x14ac:dyDescent="0.15">
      <c r="A795">
        <v>35</v>
      </c>
      <c r="B795">
        <v>20</v>
      </c>
      <c r="C795">
        <v>1590693.91015625</v>
      </c>
      <c r="D795">
        <v>2668361.7359304344</v>
      </c>
      <c r="E795">
        <v>1.8057978434584652E-5</v>
      </c>
      <c r="F795">
        <v>1.8000372639109338E-5</v>
      </c>
      <c r="G795">
        <v>5.7605795475313429E-8</v>
      </c>
      <c r="H795" t="b">
        <v>0</v>
      </c>
    </row>
    <row r="796" spans="1:8" x14ac:dyDescent="0.15">
      <c r="A796">
        <v>35</v>
      </c>
      <c r="B796">
        <v>21</v>
      </c>
      <c r="C796">
        <v>1590585.91015625</v>
      </c>
      <c r="D796">
        <v>1470123.651187852</v>
      </c>
      <c r="E796">
        <v>1.8032208335069614E-5</v>
      </c>
      <c r="F796">
        <v>1.8000372639109338E-5</v>
      </c>
      <c r="G796">
        <v>3.1835695960275164E-8</v>
      </c>
      <c r="H796" t="b">
        <v>0</v>
      </c>
    </row>
    <row r="797" spans="1:8" x14ac:dyDescent="0.15">
      <c r="A797">
        <v>35</v>
      </c>
      <c r="B797">
        <v>22</v>
      </c>
      <c r="C797">
        <v>1590639.91015625</v>
      </c>
      <c r="D797">
        <v>2068166.3738707895</v>
      </c>
      <c r="E797">
        <v>1.8045089983532535E-5</v>
      </c>
      <c r="F797">
        <v>1.8000372639109338E-5</v>
      </c>
      <c r="G797">
        <v>4.4717344423196288E-8</v>
      </c>
      <c r="H797" t="b">
        <v>0</v>
      </c>
    </row>
    <row r="798" spans="1:8" x14ac:dyDescent="0.15">
      <c r="A798">
        <v>35</v>
      </c>
      <c r="B798">
        <v>23</v>
      </c>
      <c r="C798">
        <v>1590612.91015625</v>
      </c>
      <c r="D798">
        <v>1768829.011274979</v>
      </c>
      <c r="E798">
        <v>1.8038647295583086E-5</v>
      </c>
      <c r="F798">
        <v>1.8000372639109338E-5</v>
      </c>
      <c r="G798">
        <v>3.8274656473747737E-8</v>
      </c>
      <c r="H798" t="b">
        <v>0</v>
      </c>
    </row>
    <row r="799" spans="1:8" x14ac:dyDescent="0.15">
      <c r="A799">
        <v>35</v>
      </c>
      <c r="B799">
        <v>24</v>
      </c>
      <c r="C799">
        <v>1590580.5101562501</v>
      </c>
      <c r="D799">
        <v>1410449.3349562436</v>
      </c>
      <c r="E799">
        <v>1.8030920795523697E-5</v>
      </c>
      <c r="F799">
        <v>1.8000372639109338E-5</v>
      </c>
      <c r="G799">
        <v>3.0548156414358089E-8</v>
      </c>
      <c r="H799" t="b">
        <v>0</v>
      </c>
    </row>
    <row r="800" spans="1:8" x14ac:dyDescent="0.15">
      <c r="A800">
        <v>35</v>
      </c>
      <c r="B800">
        <v>25</v>
      </c>
      <c r="C800">
        <v>1590596.71015625</v>
      </c>
      <c r="D800">
        <v>1589539.0304738276</v>
      </c>
      <c r="E800">
        <v>1.8034783666700574E-5</v>
      </c>
      <c r="F800">
        <v>1.8000372639109338E-5</v>
      </c>
      <c r="G800">
        <v>3.4411027591235265E-8</v>
      </c>
      <c r="H800" t="b">
        <v>0</v>
      </c>
    </row>
    <row r="801" spans="1:8" x14ac:dyDescent="0.15">
      <c r="A801">
        <v>36</v>
      </c>
      <c r="B801">
        <v>1</v>
      </c>
      <c r="C801">
        <v>6050000</v>
      </c>
      <c r="D801">
        <v>1.3962147919208794E+18</v>
      </c>
      <c r="E801">
        <v>536.87092200000006</v>
      </c>
      <c r="F801">
        <v>2.4635328941258194E-5</v>
      </c>
      <c r="G801">
        <v>536.87089736467112</v>
      </c>
      <c r="H801" t="b">
        <v>0</v>
      </c>
    </row>
    <row r="802" spans="1:8" x14ac:dyDescent="0.15">
      <c r="A802">
        <v>36</v>
      </c>
      <c r="B802">
        <v>2</v>
      </c>
      <c r="C802">
        <v>3075000</v>
      </c>
      <c r="D802">
        <v>1.6460228703682504E+16</v>
      </c>
      <c r="E802">
        <v>10.988804973206381</v>
      </c>
      <c r="F802">
        <v>2.4635328916389199E-5</v>
      </c>
      <c r="G802">
        <v>10.988780337877465</v>
      </c>
      <c r="H802" t="b">
        <v>0</v>
      </c>
    </row>
    <row r="803" spans="1:8" x14ac:dyDescent="0.15">
      <c r="A803">
        <v>36</v>
      </c>
      <c r="B803">
        <v>3</v>
      </c>
      <c r="C803">
        <v>1587500</v>
      </c>
      <c r="D803">
        <v>8444879888.0369253</v>
      </c>
      <c r="E803">
        <v>1.1070811772033082E-4</v>
      </c>
      <c r="F803">
        <v>2.4635328916945327E-5</v>
      </c>
      <c r="G803">
        <v>8.6072788803385496E-5</v>
      </c>
      <c r="H803" t="b">
        <v>0</v>
      </c>
    </row>
    <row r="804" spans="1:8" x14ac:dyDescent="0.15">
      <c r="A804">
        <v>36</v>
      </c>
      <c r="B804">
        <v>4</v>
      </c>
      <c r="C804">
        <v>843750</v>
      </c>
      <c r="D804">
        <v>-23956.438494349386</v>
      </c>
      <c r="E804">
        <v>-9.7826412803588345E-6</v>
      </c>
      <c r="F804">
        <v>2.4635328916945327E-5</v>
      </c>
      <c r="G804">
        <v>-3.4417970197304161E-5</v>
      </c>
      <c r="H804" t="b">
        <v>1</v>
      </c>
    </row>
    <row r="805" spans="1:8" x14ac:dyDescent="0.15">
      <c r="A805">
        <v>36</v>
      </c>
      <c r="B805">
        <v>5</v>
      </c>
      <c r="C805">
        <v>1215625</v>
      </c>
      <c r="D805">
        <v>-160469.97640771378</v>
      </c>
      <c r="E805">
        <v>2.552082672456754E-6</v>
      </c>
      <c r="F805">
        <v>2.4635328916945323E-5</v>
      </c>
      <c r="G805">
        <v>-2.2083246244488571E-5</v>
      </c>
      <c r="H805" t="b">
        <v>1</v>
      </c>
    </row>
    <row r="806" spans="1:8" x14ac:dyDescent="0.15">
      <c r="A806">
        <v>36</v>
      </c>
      <c r="B806">
        <v>6</v>
      </c>
      <c r="C806">
        <v>1401562.5</v>
      </c>
      <c r="D806">
        <v>-6757904.3214782337</v>
      </c>
      <c r="E806">
        <v>1.1683410377186273E-5</v>
      </c>
      <c r="F806">
        <v>2.4635328916945323E-5</v>
      </c>
      <c r="G806">
        <v>-1.295191853975905E-5</v>
      </c>
      <c r="H806" t="b">
        <v>1</v>
      </c>
    </row>
    <row r="807" spans="1:8" x14ac:dyDescent="0.15">
      <c r="A807">
        <v>36</v>
      </c>
      <c r="B807">
        <v>7</v>
      </c>
      <c r="C807">
        <v>1494531.25</v>
      </c>
      <c r="D807">
        <v>403880733.11032724</v>
      </c>
      <c r="E807">
        <v>3.2527191192340635E-5</v>
      </c>
      <c r="F807">
        <v>2.4635328916945323E-5</v>
      </c>
      <c r="G807">
        <v>7.8918622753953114E-6</v>
      </c>
      <c r="H807" t="b">
        <v>0</v>
      </c>
    </row>
    <row r="808" spans="1:8" x14ac:dyDescent="0.15">
      <c r="A808">
        <v>36</v>
      </c>
      <c r="B808">
        <v>8</v>
      </c>
      <c r="C808">
        <v>1448046.875</v>
      </c>
      <c r="D808">
        <v>-81716045.636265963</v>
      </c>
      <c r="E808">
        <v>1.6713112535711189E-5</v>
      </c>
      <c r="F808">
        <v>2.4635328916945323E-5</v>
      </c>
      <c r="G808">
        <v>-7.9222163812341345E-6</v>
      </c>
      <c r="H808" t="b">
        <v>1</v>
      </c>
    </row>
    <row r="809" spans="1:8" x14ac:dyDescent="0.15">
      <c r="A809">
        <v>36</v>
      </c>
      <c r="B809">
        <v>9</v>
      </c>
      <c r="C809">
        <v>1471289.0625</v>
      </c>
      <c r="D809">
        <v>-38073661.284062289</v>
      </c>
      <c r="E809">
        <v>2.3428424996039975E-5</v>
      </c>
      <c r="F809">
        <v>2.4635328916945323E-5</v>
      </c>
      <c r="G809">
        <v>-1.2069039209053487E-6</v>
      </c>
      <c r="H809" t="b">
        <v>1</v>
      </c>
    </row>
    <row r="810" spans="1:8" x14ac:dyDescent="0.15">
      <c r="A810">
        <v>36</v>
      </c>
      <c r="B810">
        <v>10</v>
      </c>
      <c r="C810">
        <v>1482910.15625</v>
      </c>
      <c r="D810">
        <v>130462932.92912976</v>
      </c>
      <c r="E810">
        <v>2.7638037821143063E-5</v>
      </c>
      <c r="F810">
        <v>2.4635328916945323E-5</v>
      </c>
      <c r="G810">
        <v>3.00270890419774E-6</v>
      </c>
      <c r="H810" t="b">
        <v>0</v>
      </c>
    </row>
    <row r="811" spans="1:8" x14ac:dyDescent="0.15">
      <c r="A811">
        <v>36</v>
      </c>
      <c r="B811">
        <v>11</v>
      </c>
      <c r="C811">
        <v>1477099.609375</v>
      </c>
      <c r="D811">
        <v>30618920.892266639</v>
      </c>
      <c r="E811">
        <v>2.545379010589904E-5</v>
      </c>
      <c r="F811">
        <v>2.4635328916945323E-5</v>
      </c>
      <c r="G811">
        <v>8.1846118895371686E-7</v>
      </c>
      <c r="H811" t="b">
        <v>0</v>
      </c>
    </row>
    <row r="812" spans="1:8" x14ac:dyDescent="0.15">
      <c r="A812">
        <v>36</v>
      </c>
      <c r="B812">
        <v>12</v>
      </c>
      <c r="C812">
        <v>1474194.3359375</v>
      </c>
      <c r="D812">
        <v>-7353231.4052014183</v>
      </c>
      <c r="E812">
        <v>2.4421919500552842E-5</v>
      </c>
      <c r="F812">
        <v>2.4635328916945323E-5</v>
      </c>
      <c r="G812">
        <v>-2.1340941639248098E-7</v>
      </c>
      <c r="H812" t="b">
        <v>1</v>
      </c>
    </row>
    <row r="813" spans="1:8" x14ac:dyDescent="0.15">
      <c r="A813">
        <v>36</v>
      </c>
      <c r="B813">
        <v>13</v>
      </c>
      <c r="C813">
        <v>1475646.97265625</v>
      </c>
      <c r="D813">
        <v>10693737.735598521</v>
      </c>
      <c r="E813">
        <v>2.4932975365309408E-5</v>
      </c>
      <c r="F813">
        <v>2.4635328916945323E-5</v>
      </c>
      <c r="G813">
        <v>2.9764644836408467E-7</v>
      </c>
      <c r="H813" t="b">
        <v>0</v>
      </c>
    </row>
    <row r="814" spans="1:8" x14ac:dyDescent="0.15">
      <c r="A814">
        <v>36</v>
      </c>
      <c r="B814">
        <v>14</v>
      </c>
      <c r="C814">
        <v>1474446.97265625</v>
      </c>
      <c r="D814">
        <v>-4346610.609179114</v>
      </c>
      <c r="E814">
        <v>2.45101065268217E-5</v>
      </c>
      <c r="F814">
        <v>2.4635328916945323E-5</v>
      </c>
      <c r="G814">
        <v>-1.2522239012362297E-7</v>
      </c>
      <c r="H814" t="b">
        <v>1</v>
      </c>
    </row>
    <row r="815" spans="1:8" x14ac:dyDescent="0.15">
      <c r="A815">
        <v>36</v>
      </c>
      <c r="B815">
        <v>15</v>
      </c>
      <c r="C815">
        <v>1475046.97265625</v>
      </c>
      <c r="D815">
        <v>3015681.653015478</v>
      </c>
      <c r="E815">
        <v>2.472071438176641E-5</v>
      </c>
      <c r="F815">
        <v>2.4635328916945323E-5</v>
      </c>
      <c r="G815">
        <v>8.5385464821086484E-8</v>
      </c>
      <c r="H815" t="b">
        <v>0</v>
      </c>
    </row>
    <row r="816" spans="1:8" x14ac:dyDescent="0.15">
      <c r="A816">
        <v>36</v>
      </c>
      <c r="B816">
        <v>16</v>
      </c>
      <c r="C816">
        <v>1474746.97265625</v>
      </c>
      <c r="D816">
        <v>-704569.63723460631</v>
      </c>
      <c r="E816">
        <v>2.4615206723683694E-5</v>
      </c>
      <c r="F816">
        <v>2.4635328916945323E-5</v>
      </c>
      <c r="G816">
        <v>-2.0122193261629378E-8</v>
      </c>
      <c r="H816" t="b">
        <v>1</v>
      </c>
    </row>
    <row r="817" spans="1:8" x14ac:dyDescent="0.15">
      <c r="A817">
        <v>36</v>
      </c>
      <c r="B817">
        <v>17</v>
      </c>
      <c r="C817">
        <v>1474896.97265625</v>
      </c>
      <c r="D817">
        <v>1145686.4635177318</v>
      </c>
      <c r="E817">
        <v>2.466790789237617E-5</v>
      </c>
      <c r="F817">
        <v>2.4635328916945323E-5</v>
      </c>
      <c r="G817">
        <v>3.2578975430846676E-8</v>
      </c>
      <c r="H817" t="b">
        <v>0</v>
      </c>
    </row>
    <row r="818" spans="1:8" x14ac:dyDescent="0.15">
      <c r="A818">
        <v>36</v>
      </c>
      <c r="B818">
        <v>18</v>
      </c>
      <c r="C818">
        <v>1475076.97265625</v>
      </c>
      <c r="D818">
        <v>3392046.5824175342</v>
      </c>
      <c r="E818">
        <v>2.4731288072241033E-5</v>
      </c>
      <c r="F818">
        <v>2.4635328916945323E-5</v>
      </c>
      <c r="G818">
        <v>9.5959155295709974E-8</v>
      </c>
      <c r="H818" t="b">
        <v>0</v>
      </c>
    </row>
    <row r="819" spans="1:8" x14ac:dyDescent="0.15">
      <c r="A819">
        <v>36</v>
      </c>
      <c r="B819">
        <v>19</v>
      </c>
      <c r="C819">
        <v>1474986.97265625</v>
      </c>
      <c r="D819">
        <v>2265397.0659302878</v>
      </c>
      <c r="E819">
        <v>2.469958158852098E-5</v>
      </c>
      <c r="F819">
        <v>2.4635328916945323E-5</v>
      </c>
      <c r="G819">
        <v>6.4252671575656625E-8</v>
      </c>
      <c r="H819" t="b">
        <v>0</v>
      </c>
    </row>
    <row r="820" spans="1:8" x14ac:dyDescent="0.15">
      <c r="A820">
        <v>36</v>
      </c>
      <c r="B820">
        <v>20</v>
      </c>
      <c r="C820">
        <v>1474878.97265625</v>
      </c>
      <c r="D820">
        <v>922609.80344160821</v>
      </c>
      <c r="E820">
        <v>2.4661578048121152E-5</v>
      </c>
      <c r="F820">
        <v>2.4635328916945323E-5</v>
      </c>
      <c r="G820">
        <v>2.6249131175829095E-8</v>
      </c>
      <c r="H820" t="b">
        <v>0</v>
      </c>
    </row>
    <row r="821" spans="1:8" x14ac:dyDescent="0.15">
      <c r="A821">
        <v>36</v>
      </c>
      <c r="B821">
        <v>21</v>
      </c>
      <c r="C821">
        <v>1474932.97265625</v>
      </c>
      <c r="D821">
        <v>1592766.6807502944</v>
      </c>
      <c r="E821">
        <v>2.4680574225648538E-5</v>
      </c>
      <c r="F821">
        <v>2.4635328916945323E-5</v>
      </c>
      <c r="G821">
        <v>4.5245308703214837E-8</v>
      </c>
      <c r="H821" t="b">
        <v>0</v>
      </c>
    </row>
    <row r="822" spans="1:8" x14ac:dyDescent="0.15">
      <c r="A822">
        <v>36</v>
      </c>
      <c r="B822">
        <v>22</v>
      </c>
      <c r="C822">
        <v>1474905.97265625</v>
      </c>
      <c r="D822">
        <v>1257408.1523803056</v>
      </c>
      <c r="E822">
        <v>2.4671075559379657E-5</v>
      </c>
      <c r="F822">
        <v>2.4635328916945323E-5</v>
      </c>
      <c r="G822">
        <v>3.5746642434333859E-8</v>
      </c>
      <c r="H822" t="b">
        <v>0</v>
      </c>
    </row>
    <row r="823" spans="1:8" x14ac:dyDescent="0.15">
      <c r="A823">
        <v>36</v>
      </c>
      <c r="B823">
        <v>23</v>
      </c>
      <c r="C823">
        <v>1474919.47265625</v>
      </c>
      <c r="D823">
        <v>1424930.4745757473</v>
      </c>
      <c r="E823">
        <v>2.4675822286278974E-5</v>
      </c>
      <c r="F823">
        <v>2.4635328916945323E-5</v>
      </c>
      <c r="G823">
        <v>4.0493369333651207E-8</v>
      </c>
      <c r="H823" t="b">
        <v>0</v>
      </c>
    </row>
    <row r="824" spans="1:8" x14ac:dyDescent="0.15">
      <c r="A824">
        <v>36</v>
      </c>
      <c r="B824">
        <v>24</v>
      </c>
      <c r="C824">
        <v>1474935.67265625</v>
      </c>
      <c r="D824">
        <v>1626337.5965675872</v>
      </c>
      <c r="E824">
        <v>2.468152427612693E-5</v>
      </c>
      <c r="F824">
        <v>2.4635328916945323E-5</v>
      </c>
      <c r="G824">
        <v>4.6195359181606699E-8</v>
      </c>
      <c r="H824" t="b">
        <v>0</v>
      </c>
    </row>
    <row r="825" spans="1:8" x14ac:dyDescent="0.15">
      <c r="A825">
        <v>36</v>
      </c>
      <c r="B825">
        <v>25</v>
      </c>
      <c r="C825">
        <v>1474927.5726562499</v>
      </c>
      <c r="D825">
        <v>1525643.977699291</v>
      </c>
      <c r="E825">
        <v>2.4678674224981539E-5</v>
      </c>
      <c r="F825">
        <v>2.4635328916945323E-5</v>
      </c>
      <c r="G825">
        <v>4.3345308036216271E-8</v>
      </c>
      <c r="H825" t="b">
        <v>0</v>
      </c>
    </row>
    <row r="826" spans="1:8" x14ac:dyDescent="0.15">
      <c r="A826">
        <v>36</v>
      </c>
      <c r="B826">
        <v>26</v>
      </c>
      <c r="C826">
        <v>1474917.8526562499</v>
      </c>
      <c r="D826">
        <v>1404810.1203983915</v>
      </c>
      <c r="E826">
        <v>2.4675252372377072E-5</v>
      </c>
      <c r="F826">
        <v>2.4635328916945323E-5</v>
      </c>
      <c r="G826">
        <v>3.9923455431749094E-8</v>
      </c>
      <c r="H826" t="b">
        <v>0</v>
      </c>
    </row>
    <row r="827" spans="1:8" x14ac:dyDescent="0.15">
      <c r="A827">
        <v>36</v>
      </c>
      <c r="B827">
        <v>27</v>
      </c>
      <c r="C827">
        <v>1474922.71265625</v>
      </c>
      <c r="D827">
        <v>1465178.0671304977</v>
      </c>
      <c r="E827">
        <v>2.4676962150180358E-5</v>
      </c>
      <c r="F827">
        <v>2.4635328916945323E-5</v>
      </c>
      <c r="G827">
        <v>4.1633233235035031E-8</v>
      </c>
      <c r="H827" t="b">
        <v>0</v>
      </c>
    </row>
    <row r="828" spans="1:8" x14ac:dyDescent="0.15">
      <c r="A828">
        <v>37</v>
      </c>
      <c r="B828">
        <v>1</v>
      </c>
      <c r="C828">
        <v>6050000</v>
      </c>
      <c r="D828">
        <v>2.9812614719222917E+18</v>
      </c>
      <c r="E828">
        <v>425.69427030918541</v>
      </c>
      <c r="F828">
        <v>1.1283359583558195E-5</v>
      </c>
      <c r="G828">
        <v>425.69425902582583</v>
      </c>
      <c r="H828" t="b">
        <v>0</v>
      </c>
    </row>
    <row r="829" spans="1:8" x14ac:dyDescent="0.15">
      <c r="A829">
        <v>37</v>
      </c>
      <c r="B829">
        <v>2</v>
      </c>
      <c r="C829">
        <v>3075000</v>
      </c>
      <c r="D829">
        <v>642868075574759.75</v>
      </c>
      <c r="E829">
        <v>0.28764348513541388</v>
      </c>
      <c r="F829">
        <v>1.1283359577174412E-5</v>
      </c>
      <c r="G829">
        <v>0.2876322017758367</v>
      </c>
      <c r="H829" t="b">
        <v>0</v>
      </c>
    </row>
    <row r="830" spans="1:8" x14ac:dyDescent="0.15">
      <c r="A830">
        <v>37</v>
      </c>
      <c r="B830">
        <v>3</v>
      </c>
      <c r="C830">
        <v>1587500</v>
      </c>
      <c r="D830">
        <v>-41672380.284583911</v>
      </c>
      <c r="E830">
        <v>8.2281648695319466E-6</v>
      </c>
      <c r="F830">
        <v>1.1283359577166686E-5</v>
      </c>
      <c r="G830">
        <v>-3.0551947076347389E-6</v>
      </c>
      <c r="H830" t="b">
        <v>1</v>
      </c>
    </row>
    <row r="831" spans="1:8" x14ac:dyDescent="0.15">
      <c r="A831">
        <v>37</v>
      </c>
      <c r="B831">
        <v>4</v>
      </c>
      <c r="C831">
        <v>2331250</v>
      </c>
      <c r="D831">
        <v>2363890416733.1978</v>
      </c>
      <c r="E831">
        <v>2.9575744888363903E-3</v>
      </c>
      <c r="F831">
        <v>1.1283359577166606E-5</v>
      </c>
      <c r="G831">
        <v>2.9462911292592237E-3</v>
      </c>
      <c r="H831" t="b">
        <v>0</v>
      </c>
    </row>
    <row r="832" spans="1:8" x14ac:dyDescent="0.15">
      <c r="A832">
        <v>37</v>
      </c>
      <c r="B832">
        <v>5</v>
      </c>
      <c r="C832">
        <v>1959375</v>
      </c>
      <c r="D832">
        <v>62866878358.905342</v>
      </c>
      <c r="E832">
        <v>1.9229263419528878E-4</v>
      </c>
      <c r="F832">
        <v>1.1283359577166687E-5</v>
      </c>
      <c r="G832">
        <v>1.8100927461812209E-4</v>
      </c>
      <c r="H832" t="b">
        <v>0</v>
      </c>
    </row>
    <row r="833" spans="1:8" x14ac:dyDescent="0.15">
      <c r="A833">
        <v>37</v>
      </c>
      <c r="B833">
        <v>6</v>
      </c>
      <c r="C833">
        <v>1773437.5</v>
      </c>
      <c r="D833">
        <v>4175599049.1206551</v>
      </c>
      <c r="E833">
        <v>3.5714573875170533E-5</v>
      </c>
      <c r="F833">
        <v>1.1283359577166687E-5</v>
      </c>
      <c r="G833">
        <v>2.4431214298003845E-5</v>
      </c>
      <c r="H833" t="b">
        <v>0</v>
      </c>
    </row>
    <row r="834" spans="1:8" x14ac:dyDescent="0.15">
      <c r="A834">
        <v>37</v>
      </c>
      <c r="B834">
        <v>7</v>
      </c>
      <c r="C834">
        <v>1680468.75</v>
      </c>
      <c r="D834">
        <v>164796474.51803145</v>
      </c>
      <c r="E834">
        <v>1.3692969772768987E-5</v>
      </c>
      <c r="F834">
        <v>1.1283359577166686E-5</v>
      </c>
      <c r="G834">
        <v>2.4096101956023018E-6</v>
      </c>
      <c r="H834" t="b">
        <v>0</v>
      </c>
    </row>
    <row r="835" spans="1:8" x14ac:dyDescent="0.15">
      <c r="A835">
        <v>37</v>
      </c>
      <c r="B835">
        <v>8</v>
      </c>
      <c r="C835">
        <v>1633984.375</v>
      </c>
      <c r="D835">
        <v>-26308365.713290412</v>
      </c>
      <c r="E835">
        <v>1.0573311174142787E-5</v>
      </c>
      <c r="F835">
        <v>1.1283359577166686E-5</v>
      </c>
      <c r="G835">
        <v>-7.1004840302389852E-7</v>
      </c>
      <c r="H835" t="b">
        <v>1</v>
      </c>
    </row>
    <row r="836" spans="1:8" x14ac:dyDescent="0.15">
      <c r="A836">
        <v>37</v>
      </c>
      <c r="B836">
        <v>9</v>
      </c>
      <c r="C836">
        <v>1657226.5625</v>
      </c>
      <c r="D836">
        <v>33989012.676810198</v>
      </c>
      <c r="E836">
        <v>1.1948871068132161E-5</v>
      </c>
      <c r="F836">
        <v>1.1283359577166686E-5</v>
      </c>
      <c r="G836">
        <v>6.6551149096547588E-7</v>
      </c>
      <c r="H836" t="b">
        <v>0</v>
      </c>
    </row>
    <row r="837" spans="1:8" x14ac:dyDescent="0.15">
      <c r="A837">
        <v>37</v>
      </c>
      <c r="B837">
        <v>10</v>
      </c>
      <c r="C837">
        <v>1645605.46875</v>
      </c>
      <c r="D837">
        <v>-1779537.6433642399</v>
      </c>
      <c r="E837">
        <v>1.1242824767808779E-5</v>
      </c>
      <c r="F837">
        <v>1.1283359577166686E-5</v>
      </c>
      <c r="G837">
        <v>-4.0534809357906394E-8</v>
      </c>
      <c r="H837" t="b">
        <v>1</v>
      </c>
    </row>
    <row r="838" spans="1:8" x14ac:dyDescent="0.15">
      <c r="A838">
        <v>37</v>
      </c>
      <c r="B838">
        <v>11</v>
      </c>
      <c r="C838">
        <v>1651416.015625</v>
      </c>
      <c r="D838">
        <v>14606007.764594158</v>
      </c>
      <c r="E838">
        <v>1.1591188853628104E-5</v>
      </c>
      <c r="F838">
        <v>1.1283359577166686E-5</v>
      </c>
      <c r="G838">
        <v>3.0782927646141838E-7</v>
      </c>
      <c r="H838" t="b">
        <v>0</v>
      </c>
    </row>
    <row r="839" spans="1:8" x14ac:dyDescent="0.15">
      <c r="A839">
        <v>37</v>
      </c>
      <c r="B839">
        <v>12</v>
      </c>
      <c r="C839">
        <v>1648510.7421875</v>
      </c>
      <c r="D839">
        <v>6050331.7739946041</v>
      </c>
      <c r="E839">
        <v>1.1415853013408181E-5</v>
      </c>
      <c r="F839">
        <v>1.1283359577166686E-5</v>
      </c>
      <c r="G839">
        <v>1.3249343624149535E-7</v>
      </c>
      <c r="H839" t="b">
        <v>0</v>
      </c>
    </row>
    <row r="840" spans="1:8" x14ac:dyDescent="0.15">
      <c r="A840">
        <v>37</v>
      </c>
      <c r="B840">
        <v>13</v>
      </c>
      <c r="C840">
        <v>1647058.10546875</v>
      </c>
      <c r="D840">
        <v>2046161.077583944</v>
      </c>
      <c r="E840">
        <v>1.1329052361333417E-5</v>
      </c>
      <c r="F840">
        <v>1.1283359577166686E-5</v>
      </c>
      <c r="G840">
        <v>4.5692784166731151E-8</v>
      </c>
      <c r="H840" t="b">
        <v>0</v>
      </c>
    </row>
    <row r="841" spans="1:8" x14ac:dyDescent="0.15">
      <c r="A841">
        <v>37</v>
      </c>
      <c r="B841">
        <v>14</v>
      </c>
      <c r="C841">
        <v>1645858.10546875</v>
      </c>
      <c r="D841">
        <v>-1126882.1554543925</v>
      </c>
      <c r="E841">
        <v>1.1257780039272677E-5</v>
      </c>
      <c r="F841">
        <v>1.1283359577166686E-5</v>
      </c>
      <c r="G841">
        <v>-2.5579537894008557E-8</v>
      </c>
      <c r="H841" t="b">
        <v>1</v>
      </c>
    </row>
    <row r="842" spans="1:8" x14ac:dyDescent="0.15">
      <c r="A842">
        <v>37</v>
      </c>
      <c r="B842">
        <v>15</v>
      </c>
      <c r="C842">
        <v>1646458.10546875</v>
      </c>
      <c r="D842">
        <v>444516.13475009636</v>
      </c>
      <c r="E842">
        <v>1.129336736605342E-5</v>
      </c>
      <c r="F842">
        <v>1.1283359577166686E-5</v>
      </c>
      <c r="G842">
        <v>1.0007788886734855E-8</v>
      </c>
      <c r="H842" t="b">
        <v>0</v>
      </c>
    </row>
    <row r="843" spans="1:8" x14ac:dyDescent="0.15">
      <c r="A843">
        <v>37</v>
      </c>
      <c r="B843">
        <v>16</v>
      </c>
      <c r="C843">
        <v>1647178.10546875</v>
      </c>
      <c r="D843">
        <v>2370137.8084060946</v>
      </c>
      <c r="E843">
        <v>1.1336201098548439E-5</v>
      </c>
      <c r="F843">
        <v>1.1283359577166686E-5</v>
      </c>
      <c r="G843">
        <v>5.2841521381753409E-8</v>
      </c>
      <c r="H843" t="b">
        <v>0</v>
      </c>
    </row>
    <row r="844" spans="1:8" x14ac:dyDescent="0.15">
      <c r="A844">
        <v>37</v>
      </c>
      <c r="B844">
        <v>17</v>
      </c>
      <c r="C844">
        <v>1646818.10546875</v>
      </c>
      <c r="D844">
        <v>1401832.5178174165</v>
      </c>
      <c r="E844">
        <v>1.1314766011762193E-5</v>
      </c>
      <c r="F844">
        <v>1.1283359577166686E-5</v>
      </c>
      <c r="G844">
        <v>3.140643459550786E-8</v>
      </c>
      <c r="H844" t="b">
        <v>0</v>
      </c>
    </row>
    <row r="845" spans="1:8" x14ac:dyDescent="0.15">
      <c r="A845">
        <v>37</v>
      </c>
      <c r="B845">
        <v>18</v>
      </c>
      <c r="C845">
        <v>1646998.10546875</v>
      </c>
      <c r="D845">
        <v>1884629.6083308107</v>
      </c>
      <c r="E845">
        <v>1.1325479460913848E-5</v>
      </c>
      <c r="F845">
        <v>1.1283359577166686E-5</v>
      </c>
      <c r="G845">
        <v>4.2119883747162901E-8</v>
      </c>
      <c r="H845" t="b">
        <v>0</v>
      </c>
    </row>
    <row r="846" spans="1:8" x14ac:dyDescent="0.15">
      <c r="A846">
        <v>37</v>
      </c>
      <c r="B846">
        <v>19</v>
      </c>
      <c r="C846">
        <v>1646908.10546875</v>
      </c>
      <c r="D846">
        <v>1642902.9442623714</v>
      </c>
      <c r="E846">
        <v>1.1320121944945197E-5</v>
      </c>
      <c r="F846">
        <v>1.1283359577166686E-5</v>
      </c>
      <c r="G846">
        <v>3.6762367778511135E-8</v>
      </c>
      <c r="H846" t="b">
        <v>0</v>
      </c>
    </row>
    <row r="847" spans="1:8" x14ac:dyDescent="0.15">
      <c r="A847">
        <v>38</v>
      </c>
      <c r="B847">
        <v>1</v>
      </c>
      <c r="C847">
        <v>6050000</v>
      </c>
      <c r="D847">
        <v>1.3058969240072911E+18</v>
      </c>
      <c r="E847">
        <v>536.87092200000006</v>
      </c>
      <c r="F847">
        <v>2.5754696025614976E-5</v>
      </c>
      <c r="G847">
        <v>536.87089624530404</v>
      </c>
      <c r="H847" t="b">
        <v>0</v>
      </c>
    </row>
    <row r="848" spans="1:8" x14ac:dyDescent="0.15">
      <c r="A848">
        <v>38</v>
      </c>
      <c r="B848">
        <v>2</v>
      </c>
      <c r="C848">
        <v>3075000</v>
      </c>
      <c r="D848">
        <v>1.3058969240072911E+18</v>
      </c>
      <c r="E848">
        <v>536.87092200000006</v>
      </c>
      <c r="F848">
        <v>2.5754696025614976E-5</v>
      </c>
      <c r="G848">
        <v>536.87089624530404</v>
      </c>
      <c r="H848" t="b">
        <v>0</v>
      </c>
    </row>
    <row r="849" spans="1:8" x14ac:dyDescent="0.15">
      <c r="A849">
        <v>38</v>
      </c>
      <c r="B849">
        <v>3</v>
      </c>
      <c r="C849">
        <v>1587500</v>
      </c>
      <c r="D849">
        <v>641539136048737.13</v>
      </c>
      <c r="E849">
        <v>0.7228893532299504</v>
      </c>
      <c r="F849">
        <v>2.5754696008517541E-5</v>
      </c>
      <c r="G849">
        <v>0.72286359853394189</v>
      </c>
      <c r="H849" t="b">
        <v>0</v>
      </c>
    </row>
    <row r="850" spans="1:8" x14ac:dyDescent="0.15">
      <c r="A850">
        <v>38</v>
      </c>
      <c r="B850">
        <v>4</v>
      </c>
      <c r="C850">
        <v>843750</v>
      </c>
      <c r="D850">
        <v>-173122.10451791942</v>
      </c>
      <c r="E850">
        <v>3.0935743084637826E-6</v>
      </c>
      <c r="F850">
        <v>2.575469600855332E-5</v>
      </c>
      <c r="G850">
        <v>-2.2661121700089539E-5</v>
      </c>
      <c r="H850" t="b">
        <v>1</v>
      </c>
    </row>
    <row r="851" spans="1:8" x14ac:dyDescent="0.15">
      <c r="A851">
        <v>38</v>
      </c>
      <c r="B851">
        <v>5</v>
      </c>
      <c r="C851">
        <v>1215625</v>
      </c>
      <c r="D851">
        <v>539661655439.23041</v>
      </c>
      <c r="E851">
        <v>2.2146286225919755E-3</v>
      </c>
      <c r="F851">
        <v>2.5754696008553537E-5</v>
      </c>
      <c r="G851">
        <v>2.188873926583422E-3</v>
      </c>
      <c r="H851" t="b">
        <v>0</v>
      </c>
    </row>
    <row r="852" spans="1:8" x14ac:dyDescent="0.15">
      <c r="A852">
        <v>38</v>
      </c>
      <c r="B852">
        <v>6</v>
      </c>
      <c r="C852">
        <v>1029687.5</v>
      </c>
      <c r="D852">
        <v>2256220943.639225</v>
      </c>
      <c r="E852">
        <v>5.8908006357420848E-5</v>
      </c>
      <c r="F852">
        <v>2.575469600855332E-5</v>
      </c>
      <c r="G852">
        <v>3.3153310348867528E-5</v>
      </c>
      <c r="H852" t="b">
        <v>0</v>
      </c>
    </row>
    <row r="853" spans="1:8" x14ac:dyDescent="0.15">
      <c r="A853">
        <v>38</v>
      </c>
      <c r="B853">
        <v>7</v>
      </c>
      <c r="C853">
        <v>936718.75</v>
      </c>
      <c r="D853">
        <v>-2424765.2958433395</v>
      </c>
      <c r="E853">
        <v>1.0419052056956861E-5</v>
      </c>
      <c r="F853">
        <v>2.575469600855332E-5</v>
      </c>
      <c r="G853">
        <v>-1.5335643951596461E-5</v>
      </c>
      <c r="H853" t="b">
        <v>1</v>
      </c>
    </row>
    <row r="854" spans="1:8" x14ac:dyDescent="0.15">
      <c r="A854">
        <v>38</v>
      </c>
      <c r="B854">
        <v>8</v>
      </c>
      <c r="C854">
        <v>983203.125</v>
      </c>
      <c r="D854">
        <v>-101698584.52180572</v>
      </c>
      <c r="E854">
        <v>2.0237473767109107E-5</v>
      </c>
      <c r="F854">
        <v>2.575469600855332E-5</v>
      </c>
      <c r="G854">
        <v>-5.5172222414442129E-6</v>
      </c>
      <c r="H854" t="b">
        <v>1</v>
      </c>
    </row>
    <row r="855" spans="1:8" x14ac:dyDescent="0.15">
      <c r="A855">
        <v>38</v>
      </c>
      <c r="B855">
        <v>9</v>
      </c>
      <c r="C855">
        <v>1006445.3125</v>
      </c>
      <c r="D855">
        <v>452631223.73017591</v>
      </c>
      <c r="E855">
        <v>3.4877966444473526E-5</v>
      </c>
      <c r="F855">
        <v>2.575469600855332E-5</v>
      </c>
      <c r="G855">
        <v>9.1232704359202064E-6</v>
      </c>
      <c r="H855" t="b">
        <v>0</v>
      </c>
    </row>
    <row r="856" spans="1:8" x14ac:dyDescent="0.15">
      <c r="A856">
        <v>38</v>
      </c>
      <c r="B856">
        <v>10</v>
      </c>
      <c r="C856">
        <v>994824.21875</v>
      </c>
      <c r="D856">
        <v>31860783.12545998</v>
      </c>
      <c r="E856">
        <v>2.6635154006913269E-5</v>
      </c>
      <c r="F856">
        <v>2.575469600855332E-5</v>
      </c>
      <c r="G856">
        <v>8.8045799835994895E-7</v>
      </c>
      <c r="H856" t="b">
        <v>0</v>
      </c>
    </row>
    <row r="857" spans="1:8" x14ac:dyDescent="0.15">
      <c r="A857">
        <v>38</v>
      </c>
      <c r="B857">
        <v>11</v>
      </c>
      <c r="C857">
        <v>989013.671875</v>
      </c>
      <c r="D857">
        <v>-68230913.959194556</v>
      </c>
      <c r="E857">
        <v>2.3232138405298063E-5</v>
      </c>
      <c r="F857">
        <v>2.575469600855332E-5</v>
      </c>
      <c r="G857">
        <v>-2.5225576032552566E-6</v>
      </c>
      <c r="H857" t="b">
        <v>1</v>
      </c>
    </row>
    <row r="858" spans="1:8" x14ac:dyDescent="0.15">
      <c r="A858">
        <v>38</v>
      </c>
      <c r="B858">
        <v>12</v>
      </c>
      <c r="C858">
        <v>991918.9453125</v>
      </c>
      <c r="D858">
        <v>-27619438.178181332</v>
      </c>
      <c r="E858">
        <v>2.4879485182655286E-5</v>
      </c>
      <c r="F858">
        <v>2.575469600855332E-5</v>
      </c>
      <c r="G858">
        <v>-8.7521082589803395E-7</v>
      </c>
      <c r="H858" t="b">
        <v>1</v>
      </c>
    </row>
    <row r="859" spans="1:8" x14ac:dyDescent="0.15">
      <c r="A859">
        <v>38</v>
      </c>
      <c r="B859">
        <v>13</v>
      </c>
      <c r="C859">
        <v>993371.58203125</v>
      </c>
      <c r="D859">
        <v>-383236.55771499081</v>
      </c>
      <c r="E859">
        <v>2.5743376895780458E-5</v>
      </c>
      <c r="F859">
        <v>2.575469600855332E-5</v>
      </c>
      <c r="G859">
        <v>-1.1319112772861746E-8</v>
      </c>
      <c r="H859" t="b">
        <v>1</v>
      </c>
    </row>
    <row r="860" spans="1:8" x14ac:dyDescent="0.15">
      <c r="A860">
        <v>38</v>
      </c>
      <c r="B860">
        <v>14</v>
      </c>
      <c r="C860">
        <v>993871.58203125</v>
      </c>
      <c r="D860">
        <v>10134884.905519787</v>
      </c>
      <c r="E860">
        <v>2.6047139184545257E-5</v>
      </c>
      <c r="F860">
        <v>2.575469600855332E-5</v>
      </c>
      <c r="G860">
        <v>2.9244317599193696E-7</v>
      </c>
      <c r="H860" t="b">
        <v>0</v>
      </c>
    </row>
    <row r="861" spans="1:8" x14ac:dyDescent="0.15">
      <c r="A861">
        <v>38</v>
      </c>
      <c r="B861">
        <v>15</v>
      </c>
      <c r="C861">
        <v>993621.58203125</v>
      </c>
      <c r="D861">
        <v>4800916.327517096</v>
      </c>
      <c r="E861">
        <v>2.5894843118510147E-5</v>
      </c>
      <c r="F861">
        <v>2.575469600855332E-5</v>
      </c>
      <c r="G861">
        <v>1.4014710995682731E-7</v>
      </c>
      <c r="H861" t="b">
        <v>0</v>
      </c>
    </row>
    <row r="862" spans="1:8" x14ac:dyDescent="0.15">
      <c r="A862">
        <v>38</v>
      </c>
      <c r="B862">
        <v>16</v>
      </c>
      <c r="C862">
        <v>993321.58203125</v>
      </c>
      <c r="D862">
        <v>-1402222.4911987304</v>
      </c>
      <c r="E862">
        <v>2.5713182892778622E-5</v>
      </c>
      <c r="F862">
        <v>2.575469600855332E-5</v>
      </c>
      <c r="G862">
        <v>-4.1513115774697792E-8</v>
      </c>
      <c r="H862" t="b">
        <v>1</v>
      </c>
    </row>
    <row r="863" spans="1:8" x14ac:dyDescent="0.15">
      <c r="A863">
        <v>38</v>
      </c>
      <c r="B863">
        <v>17</v>
      </c>
      <c r="C863">
        <v>993471.58203125</v>
      </c>
      <c r="D863">
        <v>1672450.7403519801</v>
      </c>
      <c r="E863">
        <v>2.5803861328627037E-5</v>
      </c>
      <c r="F863">
        <v>2.575469600855332E-5</v>
      </c>
      <c r="G863">
        <v>4.9165320073717145E-8</v>
      </c>
      <c r="H863" t="b">
        <v>0</v>
      </c>
    </row>
    <row r="864" spans="1:8" x14ac:dyDescent="0.15">
      <c r="A864">
        <v>38</v>
      </c>
      <c r="B864">
        <v>18</v>
      </c>
      <c r="C864">
        <v>993396.58203125</v>
      </c>
      <c r="D864">
        <v>128388.27811464117</v>
      </c>
      <c r="E864">
        <v>2.5758483574346632E-5</v>
      </c>
      <c r="F864">
        <v>2.575469600855332E-5</v>
      </c>
      <c r="G864">
        <v>3.7875657933119646E-9</v>
      </c>
      <c r="H864" t="b">
        <v>0</v>
      </c>
    </row>
    <row r="865" spans="1:8" x14ac:dyDescent="0.15">
      <c r="A865">
        <v>38</v>
      </c>
      <c r="B865">
        <v>19</v>
      </c>
      <c r="C865">
        <v>993434.08203125</v>
      </c>
      <c r="D865">
        <v>898746.86267380405</v>
      </c>
      <c r="E865">
        <v>2.5781163148374763E-5</v>
      </c>
      <c r="F865">
        <v>2.575469600855332E-5</v>
      </c>
      <c r="G865">
        <v>2.6467139821443231E-8</v>
      </c>
      <c r="H865" t="b">
        <v>0</v>
      </c>
    </row>
    <row r="866" spans="1:8" x14ac:dyDescent="0.15">
      <c r="A866">
        <v>38</v>
      </c>
      <c r="B866">
        <v>20</v>
      </c>
      <c r="C866">
        <v>993479.08203125</v>
      </c>
      <c r="D866">
        <v>1827593.4030177856</v>
      </c>
      <c r="E866">
        <v>2.5808403198664612E-5</v>
      </c>
      <c r="F866">
        <v>2.575469600855332E-5</v>
      </c>
      <c r="G866">
        <v>5.3707190111291705E-8</v>
      </c>
      <c r="H866" t="b">
        <v>0</v>
      </c>
    </row>
    <row r="867" spans="1:8" x14ac:dyDescent="0.15">
      <c r="A867">
        <v>38</v>
      </c>
      <c r="B867">
        <v>21</v>
      </c>
      <c r="C867">
        <v>993456.58203125</v>
      </c>
      <c r="D867">
        <v>1362567.4255137178</v>
      </c>
      <c r="E867">
        <v>2.5794779822879012E-5</v>
      </c>
      <c r="F867">
        <v>2.575469600855332E-5</v>
      </c>
      <c r="G867">
        <v>4.008381432569157E-8</v>
      </c>
      <c r="H867" t="b">
        <v>0</v>
      </c>
    </row>
    <row r="868" spans="1:8" x14ac:dyDescent="0.15">
      <c r="A868">
        <v>38</v>
      </c>
      <c r="B868">
        <v>22</v>
      </c>
      <c r="C868">
        <v>993429.58203125</v>
      </c>
      <c r="D868">
        <v>806219.53099973092</v>
      </c>
      <c r="E868">
        <v>2.5778443328974628E-5</v>
      </c>
      <c r="F868">
        <v>2.575469600855332E-5</v>
      </c>
      <c r="G868">
        <v>2.3747320421308262E-8</v>
      </c>
      <c r="H868" t="b">
        <v>0</v>
      </c>
    </row>
    <row r="869" spans="1:8" x14ac:dyDescent="0.15">
      <c r="A869">
        <v>38</v>
      </c>
      <c r="B869">
        <v>23</v>
      </c>
      <c r="C869">
        <v>993443.08203125</v>
      </c>
      <c r="D869">
        <v>1084130.5090572219</v>
      </c>
      <c r="E869">
        <v>2.5786609014217417E-5</v>
      </c>
      <c r="F869">
        <v>2.575469600855332E-5</v>
      </c>
      <c r="G869">
        <v>3.1913005664096827E-8</v>
      </c>
      <c r="H869" t="b">
        <v>0</v>
      </c>
    </row>
    <row r="870" spans="1:8" x14ac:dyDescent="0.15">
      <c r="A870">
        <v>38</v>
      </c>
      <c r="B870">
        <v>24</v>
      </c>
      <c r="C870">
        <v>993436.33203125</v>
      </c>
      <c r="D870">
        <v>945074.70691381884</v>
      </c>
      <c r="E870">
        <v>2.5782524514354142E-5</v>
      </c>
      <c r="F870">
        <v>2.575469600855332E-5</v>
      </c>
      <c r="G870">
        <v>2.7828505800821723E-8</v>
      </c>
      <c r="H870" t="b">
        <v>0</v>
      </c>
    </row>
    <row r="871" spans="1:8" x14ac:dyDescent="0.15">
      <c r="A871">
        <v>38</v>
      </c>
      <c r="B871">
        <v>25</v>
      </c>
      <c r="C871">
        <v>993439.70703125</v>
      </c>
      <c r="D871">
        <v>1014589.0564359856</v>
      </c>
      <c r="E871">
        <v>2.5784566688922173E-5</v>
      </c>
      <c r="F871">
        <v>2.575469600855332E-5</v>
      </c>
      <c r="G871">
        <v>2.9870680368853064E-8</v>
      </c>
      <c r="H871" t="b">
        <v>0</v>
      </c>
    </row>
    <row r="872" spans="1:8" x14ac:dyDescent="0.15">
      <c r="A872">
        <v>38</v>
      </c>
      <c r="B872">
        <v>26</v>
      </c>
      <c r="C872">
        <v>993438.01953125</v>
      </c>
      <c r="D872">
        <v>979828.49406307866</v>
      </c>
      <c r="E872">
        <v>2.578354558279912E-5</v>
      </c>
      <c r="F872">
        <v>2.575469600855332E-5</v>
      </c>
      <c r="G872">
        <v>2.8849574245799737E-8</v>
      </c>
      <c r="H872" t="b">
        <v>0</v>
      </c>
    </row>
    <row r="873" spans="1:8" x14ac:dyDescent="0.15">
      <c r="A873">
        <v>38</v>
      </c>
      <c r="B873">
        <v>27</v>
      </c>
      <c r="C873">
        <v>993438.86328125</v>
      </c>
      <c r="D873">
        <v>997300.25901307084</v>
      </c>
      <c r="E873">
        <v>2.5784058843403216E-5</v>
      </c>
      <c r="F873">
        <v>2.575469600855332E-5</v>
      </c>
      <c r="G873">
        <v>2.9362834849895657E-8</v>
      </c>
      <c r="H873" t="b">
        <v>0</v>
      </c>
    </row>
    <row r="874" spans="1:8" x14ac:dyDescent="0.15">
      <c r="A874">
        <v>39</v>
      </c>
      <c r="B874">
        <v>1</v>
      </c>
      <c r="C874">
        <v>6050000</v>
      </c>
      <c r="D874">
        <v>1.2867799504210033E+18</v>
      </c>
      <c r="E874">
        <v>536.87092200000006</v>
      </c>
      <c r="F874">
        <v>2.59209041360009E-5</v>
      </c>
      <c r="G874">
        <v>536.87089607909593</v>
      </c>
      <c r="H874" t="b">
        <v>0</v>
      </c>
    </row>
    <row r="875" spans="1:8" x14ac:dyDescent="0.15">
      <c r="A875">
        <v>39</v>
      </c>
      <c r="B875">
        <v>2</v>
      </c>
      <c r="C875">
        <v>3075000</v>
      </c>
      <c r="D875">
        <v>5.4658612385509139E+17</v>
      </c>
      <c r="E875">
        <v>251.98747509986555</v>
      </c>
      <c r="F875">
        <v>2.5920904164422609E-5</v>
      </c>
      <c r="G875">
        <v>251.98744917896138</v>
      </c>
      <c r="H875" t="b">
        <v>0</v>
      </c>
    </row>
    <row r="876" spans="1:8" x14ac:dyDescent="0.15">
      <c r="A876">
        <v>39</v>
      </c>
      <c r="B876">
        <v>3</v>
      </c>
      <c r="C876">
        <v>1587500</v>
      </c>
      <c r="D876">
        <v>6411919929311.1006</v>
      </c>
      <c r="E876">
        <v>1.6034771839518559E-2</v>
      </c>
      <c r="F876">
        <v>2.5920904158503733E-5</v>
      </c>
      <c r="G876">
        <v>1.6008850935360055E-2</v>
      </c>
      <c r="H876" t="b">
        <v>0</v>
      </c>
    </row>
    <row r="877" spans="1:8" x14ac:dyDescent="0.15">
      <c r="A877">
        <v>39</v>
      </c>
      <c r="B877">
        <v>4</v>
      </c>
      <c r="C877">
        <v>843750</v>
      </c>
      <c r="D877">
        <v>-143791.66884770687</v>
      </c>
      <c r="E877">
        <v>2.2762701888787573E-6</v>
      </c>
      <c r="F877">
        <v>2.5920904158505433E-5</v>
      </c>
      <c r="G877">
        <v>-2.3644633969626676E-5</v>
      </c>
      <c r="H877" t="b">
        <v>1</v>
      </c>
    </row>
    <row r="878" spans="1:8" x14ac:dyDescent="0.15">
      <c r="A878">
        <v>39</v>
      </c>
      <c r="B878">
        <v>5</v>
      </c>
      <c r="C878">
        <v>1215625</v>
      </c>
      <c r="D878">
        <v>28277668581.75914</v>
      </c>
      <c r="E878">
        <v>2.5420982510261631E-4</v>
      </c>
      <c r="F878">
        <v>2.592090415850544E-5</v>
      </c>
      <c r="G878">
        <v>2.2828892094411087E-4</v>
      </c>
      <c r="H878" t="b">
        <v>0</v>
      </c>
    </row>
    <row r="879" spans="1:8" x14ac:dyDescent="0.15">
      <c r="A879">
        <v>39</v>
      </c>
      <c r="B879">
        <v>6</v>
      </c>
      <c r="C879">
        <v>1029687.5</v>
      </c>
      <c r="D879">
        <v>-33253994.092387132</v>
      </c>
      <c r="E879">
        <v>1.5024286561034408E-5</v>
      </c>
      <c r="F879">
        <v>2.5920904158505433E-5</v>
      </c>
      <c r="G879">
        <v>-1.0896617597471025E-5</v>
      </c>
      <c r="H879" t="b">
        <v>1</v>
      </c>
    </row>
    <row r="880" spans="1:8" x14ac:dyDescent="0.15">
      <c r="A880">
        <v>39</v>
      </c>
      <c r="B880">
        <v>7</v>
      </c>
      <c r="C880">
        <v>1122656.25</v>
      </c>
      <c r="D880">
        <v>2755409898.9505043</v>
      </c>
      <c r="E880">
        <v>6.507679579621179E-5</v>
      </c>
      <c r="F880">
        <v>2.5920904158505433E-5</v>
      </c>
      <c r="G880">
        <v>3.9155891637706357E-5</v>
      </c>
      <c r="H880" t="b">
        <v>0</v>
      </c>
    </row>
    <row r="881" spans="1:8" x14ac:dyDescent="0.15">
      <c r="A881">
        <v>39</v>
      </c>
      <c r="B881">
        <v>8</v>
      </c>
      <c r="C881">
        <v>1076171.875</v>
      </c>
      <c r="D881">
        <v>201668896.72088557</v>
      </c>
      <c r="E881">
        <v>3.0505883182895398E-5</v>
      </c>
      <c r="F881">
        <v>2.5920904158505433E-5</v>
      </c>
      <c r="G881">
        <v>4.5849790243899649E-6</v>
      </c>
      <c r="H881" t="b">
        <v>0</v>
      </c>
    </row>
    <row r="882" spans="1:8" x14ac:dyDescent="0.15">
      <c r="A882">
        <v>39</v>
      </c>
      <c r="B882">
        <v>9</v>
      </c>
      <c r="C882">
        <v>1052929.6875</v>
      </c>
      <c r="D882">
        <v>-100632108.88328859</v>
      </c>
      <c r="E882">
        <v>2.042730849626038E-5</v>
      </c>
      <c r="F882">
        <v>2.5920904158505433E-5</v>
      </c>
      <c r="G882">
        <v>-5.4935956622450534E-6</v>
      </c>
      <c r="H882" t="b">
        <v>1</v>
      </c>
    </row>
    <row r="883" spans="1:8" x14ac:dyDescent="0.15">
      <c r="A883">
        <v>39</v>
      </c>
      <c r="B883">
        <v>10</v>
      </c>
      <c r="C883">
        <v>1064550.78125</v>
      </c>
      <c r="D883">
        <v>-28136425.980321497</v>
      </c>
      <c r="E883">
        <v>2.5013365640882276E-5</v>
      </c>
      <c r="F883">
        <v>2.5920904158505433E-5</v>
      </c>
      <c r="G883">
        <v>-9.0753851762315712E-7</v>
      </c>
      <c r="H883" t="b">
        <v>1</v>
      </c>
    </row>
    <row r="884" spans="1:8" x14ac:dyDescent="0.15">
      <c r="A884">
        <v>39</v>
      </c>
      <c r="B884">
        <v>11</v>
      </c>
      <c r="C884">
        <v>1070361.328125</v>
      </c>
      <c r="D884">
        <v>64699551.65395505</v>
      </c>
      <c r="E884">
        <v>2.7636415179931719E-5</v>
      </c>
      <c r="F884">
        <v>2.5920904158505433E-5</v>
      </c>
      <c r="G884">
        <v>1.7155110214262854E-6</v>
      </c>
      <c r="H884" t="b">
        <v>0</v>
      </c>
    </row>
    <row r="885" spans="1:8" x14ac:dyDescent="0.15">
      <c r="A885">
        <v>39</v>
      </c>
      <c r="B885">
        <v>12</v>
      </c>
      <c r="C885">
        <v>1067456.0546875</v>
      </c>
      <c r="D885">
        <v>12853550.600940343</v>
      </c>
      <c r="E885">
        <v>2.629531059604153E-5</v>
      </c>
      <c r="F885">
        <v>2.5920904158505433E-5</v>
      </c>
      <c r="G885">
        <v>3.7440643753609617E-7</v>
      </c>
      <c r="H885" t="b">
        <v>0</v>
      </c>
    </row>
    <row r="886" spans="1:8" x14ac:dyDescent="0.15">
      <c r="A886">
        <v>39</v>
      </c>
      <c r="B886">
        <v>13</v>
      </c>
      <c r="C886">
        <v>1066003.41796875</v>
      </c>
      <c r="D886">
        <v>-8942649.06222043</v>
      </c>
      <c r="E886">
        <v>2.5647089760062108E-5</v>
      </c>
      <c r="F886">
        <v>2.5920904158505433E-5</v>
      </c>
      <c r="G886">
        <v>-2.7381439844332493E-7</v>
      </c>
      <c r="H886" t="b">
        <v>1</v>
      </c>
    </row>
    <row r="887" spans="1:8" x14ac:dyDescent="0.15">
      <c r="A887">
        <v>39</v>
      </c>
      <c r="B887">
        <v>14</v>
      </c>
      <c r="C887">
        <v>1066503.41796875</v>
      </c>
      <c r="D887">
        <v>-1739575.2068226258</v>
      </c>
      <c r="E887">
        <v>2.5868559444740293E-5</v>
      </c>
      <c r="F887">
        <v>2.5920904158505433E-5</v>
      </c>
      <c r="G887">
        <v>-5.2344713765140321E-8</v>
      </c>
      <c r="H887" t="b">
        <v>1</v>
      </c>
    </row>
    <row r="888" spans="1:8" x14ac:dyDescent="0.15">
      <c r="A888">
        <v>39</v>
      </c>
      <c r="B888">
        <v>15</v>
      </c>
      <c r="C888">
        <v>1067003.41796875</v>
      </c>
      <c r="D888">
        <v>5776114.69971349</v>
      </c>
      <c r="E888">
        <v>2.6091753265931711E-5</v>
      </c>
      <c r="F888">
        <v>2.5920904158505433E-5</v>
      </c>
      <c r="G888">
        <v>1.7084910742627744E-7</v>
      </c>
      <c r="H888" t="b">
        <v>0</v>
      </c>
    </row>
    <row r="889" spans="1:8" x14ac:dyDescent="0.15">
      <c r="A889">
        <v>39</v>
      </c>
      <c r="B889">
        <v>16</v>
      </c>
      <c r="C889">
        <v>1066753.41796875</v>
      </c>
      <c r="D889">
        <v>1978854.5446556057</v>
      </c>
      <c r="E889">
        <v>2.5979938389840777E-5</v>
      </c>
      <c r="F889">
        <v>2.5920904158505433E-5</v>
      </c>
      <c r="G889">
        <v>5.9034231335343694E-8</v>
      </c>
      <c r="H889" t="b">
        <v>0</v>
      </c>
    </row>
    <row r="890" spans="1:8" x14ac:dyDescent="0.15">
      <c r="A890">
        <v>39</v>
      </c>
      <c r="B890">
        <v>17</v>
      </c>
      <c r="C890">
        <v>1066453.41796875</v>
      </c>
      <c r="D890">
        <v>-2473875.8707174319</v>
      </c>
      <c r="E890">
        <v>2.5846335098007081E-5</v>
      </c>
      <c r="F890">
        <v>2.5920904158505433E-5</v>
      </c>
      <c r="G890">
        <v>-7.4569060498351931E-8</v>
      </c>
      <c r="H890" t="b">
        <v>1</v>
      </c>
    </row>
    <row r="891" spans="1:8" x14ac:dyDescent="0.15">
      <c r="A891">
        <v>39</v>
      </c>
      <c r="B891">
        <v>18</v>
      </c>
      <c r="C891">
        <v>1066603.41796875</v>
      </c>
      <c r="D891">
        <v>-261665.66384337199</v>
      </c>
      <c r="E891">
        <v>2.5913057633398322E-5</v>
      </c>
      <c r="F891">
        <v>2.5920904158505433E-5</v>
      </c>
      <c r="G891">
        <v>-7.8465251071109705E-9</v>
      </c>
      <c r="H891" t="b">
        <v>1</v>
      </c>
    </row>
    <row r="892" spans="1:8" x14ac:dyDescent="0.15">
      <c r="A892">
        <v>39</v>
      </c>
      <c r="B892">
        <v>19</v>
      </c>
      <c r="C892">
        <v>1066753.41796875</v>
      </c>
      <c r="D892">
        <v>1978854.5446556057</v>
      </c>
      <c r="E892">
        <v>2.5979938389840777E-5</v>
      </c>
      <c r="F892">
        <v>2.5920904158505433E-5</v>
      </c>
      <c r="G892">
        <v>5.9034231335343694E-8</v>
      </c>
      <c r="H892" t="b">
        <v>0</v>
      </c>
    </row>
    <row r="893" spans="1:8" x14ac:dyDescent="0.15">
      <c r="A893">
        <v>39</v>
      </c>
      <c r="B893">
        <v>20</v>
      </c>
      <c r="C893">
        <v>1066678.41796875</v>
      </c>
      <c r="D893">
        <v>855138.11247664026</v>
      </c>
      <c r="E893">
        <v>2.5946480906262182E-5</v>
      </c>
      <c r="F893">
        <v>2.5920904158505433E-5</v>
      </c>
      <c r="G893">
        <v>2.5576747756748394E-8</v>
      </c>
      <c r="H893" t="b">
        <v>0</v>
      </c>
    </row>
    <row r="894" spans="1:8" x14ac:dyDescent="0.15">
      <c r="A894">
        <v>39</v>
      </c>
      <c r="B894">
        <v>21</v>
      </c>
      <c r="C894">
        <v>1066715.91796875</v>
      </c>
      <c r="D894">
        <v>1416071.1359762605</v>
      </c>
      <c r="E894">
        <v>2.5963203573465931E-5</v>
      </c>
      <c r="F894">
        <v>2.5920904158505433E-5</v>
      </c>
      <c r="G894">
        <v>4.2299414960497451E-8</v>
      </c>
      <c r="H894" t="b">
        <v>0</v>
      </c>
    </row>
    <row r="895" spans="1:8" x14ac:dyDescent="0.15">
      <c r="A895">
        <v>39</v>
      </c>
      <c r="B895">
        <v>22</v>
      </c>
      <c r="C895">
        <v>1066697.16796875</v>
      </c>
      <c r="D895">
        <v>1135423.7081220571</v>
      </c>
      <c r="E895">
        <v>2.5954842218825733E-5</v>
      </c>
      <c r="F895">
        <v>2.5920904158505433E-5</v>
      </c>
      <c r="G895">
        <v>3.3938060320299793E-8</v>
      </c>
      <c r="H895" t="b">
        <v>0</v>
      </c>
    </row>
    <row r="896" spans="1:8" x14ac:dyDescent="0.15">
      <c r="A896">
        <v>39</v>
      </c>
      <c r="B896">
        <v>23</v>
      </c>
      <c r="C896">
        <v>1066674.66796875</v>
      </c>
      <c r="D896">
        <v>799134.04903480411</v>
      </c>
      <c r="E896">
        <v>2.5944808936264522E-5</v>
      </c>
      <c r="F896">
        <v>2.5920904158505433E-5</v>
      </c>
      <c r="G896">
        <v>2.3904777759088653E-8</v>
      </c>
      <c r="H896" t="b">
        <v>0</v>
      </c>
    </row>
    <row r="897" spans="1:8" x14ac:dyDescent="0.15">
      <c r="A897">
        <v>39</v>
      </c>
      <c r="B897">
        <v>24</v>
      </c>
      <c r="C897">
        <v>1066685.91796875</v>
      </c>
      <c r="D897">
        <v>967119.0266533196</v>
      </c>
      <c r="E897">
        <v>2.5949822744100779E-5</v>
      </c>
      <c r="F897">
        <v>2.5920904158505433E-5</v>
      </c>
      <c r="G897">
        <v>2.8918585595345391E-8</v>
      </c>
      <c r="H897" t="b">
        <v>0</v>
      </c>
    </row>
    <row r="898" spans="1:8" x14ac:dyDescent="0.15">
      <c r="A898">
        <v>39</v>
      </c>
      <c r="B898">
        <v>25</v>
      </c>
      <c r="C898">
        <v>1066699.41796875</v>
      </c>
      <c r="D898">
        <v>1169087.697844784</v>
      </c>
      <c r="E898">
        <v>2.595584574016078E-5</v>
      </c>
      <c r="F898">
        <v>2.5920904158505433E-5</v>
      </c>
      <c r="G898">
        <v>3.49415816553471E-8</v>
      </c>
      <c r="H898" t="b">
        <v>0</v>
      </c>
    </row>
    <row r="899" spans="1:8" x14ac:dyDescent="0.15">
      <c r="A899">
        <v>39</v>
      </c>
      <c r="B899">
        <v>26</v>
      </c>
      <c r="C899">
        <v>1066692.66796875</v>
      </c>
      <c r="D899">
        <v>1068034.5258905541</v>
      </c>
      <c r="E899">
        <v>2.5952832886521055E-5</v>
      </c>
      <c r="F899">
        <v>2.5920904158505433E-5</v>
      </c>
      <c r="G899">
        <v>3.1928728015621498E-8</v>
      </c>
      <c r="H899" t="b">
        <v>0</v>
      </c>
    </row>
    <row r="900" spans="1:8" x14ac:dyDescent="0.15">
      <c r="A900">
        <v>40</v>
      </c>
      <c r="B900">
        <v>1</v>
      </c>
      <c r="C900">
        <v>6050000</v>
      </c>
      <c r="D900">
        <v>2.3558588143406408E+18</v>
      </c>
      <c r="E900">
        <v>536.87092200000006</v>
      </c>
      <c r="F900">
        <v>1.7610239751775225E-5</v>
      </c>
      <c r="G900">
        <v>536.87090438976031</v>
      </c>
      <c r="H900" t="b">
        <v>0</v>
      </c>
    </row>
    <row r="901" spans="1:8" x14ac:dyDescent="0.15">
      <c r="A901">
        <v>40</v>
      </c>
      <c r="B901">
        <v>2</v>
      </c>
      <c r="C901">
        <v>3075000</v>
      </c>
      <c r="D901">
        <v>3.249578595879878E+16</v>
      </c>
      <c r="E901">
        <v>12.553582248505235</v>
      </c>
      <c r="F901">
        <v>1.7610239735788014E-5</v>
      </c>
      <c r="G901">
        <v>12.553564638265499</v>
      </c>
      <c r="H901" t="b">
        <v>0</v>
      </c>
    </row>
    <row r="902" spans="1:8" x14ac:dyDescent="0.15">
      <c r="A902">
        <v>40</v>
      </c>
      <c r="B902">
        <v>3</v>
      </c>
      <c r="C902">
        <v>1587500</v>
      </c>
      <c r="D902">
        <v>112531036457.05464</v>
      </c>
      <c r="E902">
        <v>4.2296575584375664E-4</v>
      </c>
      <c r="F902">
        <v>1.7610239736655159E-5</v>
      </c>
      <c r="G902">
        <v>4.0535551610710148E-4</v>
      </c>
      <c r="H902" t="b">
        <v>0</v>
      </c>
    </row>
    <row r="903" spans="1:8" x14ac:dyDescent="0.15">
      <c r="A903">
        <v>40</v>
      </c>
      <c r="B903">
        <v>4</v>
      </c>
      <c r="C903">
        <v>843750</v>
      </c>
      <c r="D903">
        <v>-53506.439932274603</v>
      </c>
      <c r="E903">
        <v>-3.1632460204724234E-6</v>
      </c>
      <c r="F903">
        <v>1.7610239736655148E-5</v>
      </c>
      <c r="G903">
        <v>-2.0773485757127572E-5</v>
      </c>
      <c r="H903" t="b">
        <v>1</v>
      </c>
    </row>
    <row r="904" spans="1:8" x14ac:dyDescent="0.15">
      <c r="A904">
        <v>40</v>
      </c>
      <c r="B904">
        <v>5</v>
      </c>
      <c r="C904">
        <v>1215625</v>
      </c>
      <c r="D904">
        <v>-3803165.425210414</v>
      </c>
      <c r="E904">
        <v>7.6779540057958374E-6</v>
      </c>
      <c r="F904">
        <v>1.7610239736655148E-5</v>
      </c>
      <c r="G904">
        <v>-9.932285730859311E-6</v>
      </c>
      <c r="H904" t="b">
        <v>1</v>
      </c>
    </row>
    <row r="905" spans="1:8" x14ac:dyDescent="0.15">
      <c r="A905">
        <v>40</v>
      </c>
      <c r="B905">
        <v>6</v>
      </c>
      <c r="C905">
        <v>1401562.5</v>
      </c>
      <c r="D905">
        <v>4704522564.0842543</v>
      </c>
      <c r="E905">
        <v>5.4825989219658171E-5</v>
      </c>
      <c r="F905">
        <v>1.7610239736655152E-5</v>
      </c>
      <c r="G905">
        <v>3.7215749483003019E-5</v>
      </c>
      <c r="H905" t="b">
        <v>0</v>
      </c>
    </row>
    <row r="906" spans="1:8" x14ac:dyDescent="0.15">
      <c r="A906">
        <v>40</v>
      </c>
      <c r="B906">
        <v>7</v>
      </c>
      <c r="C906">
        <v>1308593.75</v>
      </c>
      <c r="D906">
        <v>-49920628.616122246</v>
      </c>
      <c r="E906">
        <v>1.634334699723696E-5</v>
      </c>
      <c r="F906">
        <v>1.7610239736655148E-5</v>
      </c>
      <c r="G906">
        <v>-1.2668927394181883E-6</v>
      </c>
      <c r="H906" t="b">
        <v>1</v>
      </c>
    </row>
    <row r="907" spans="1:8" x14ac:dyDescent="0.15">
      <c r="A907">
        <v>40</v>
      </c>
      <c r="B907">
        <v>8</v>
      </c>
      <c r="C907">
        <v>1355078.125</v>
      </c>
      <c r="D907">
        <v>1182537933.4000113</v>
      </c>
      <c r="E907">
        <v>3.0496343424837258E-5</v>
      </c>
      <c r="F907">
        <v>1.7610239736655148E-5</v>
      </c>
      <c r="G907">
        <v>1.288610368818211E-5</v>
      </c>
      <c r="H907" t="b">
        <v>0</v>
      </c>
    </row>
    <row r="908" spans="1:8" x14ac:dyDescent="0.15">
      <c r="A908">
        <v>40</v>
      </c>
      <c r="B908">
        <v>9</v>
      </c>
      <c r="C908">
        <v>1331835.9375</v>
      </c>
      <c r="D908">
        <v>353110852.3554461</v>
      </c>
      <c r="E908">
        <v>2.243456883964069E-5</v>
      </c>
      <c r="F908">
        <v>1.7610239736655148E-5</v>
      </c>
      <c r="G908">
        <v>4.8243291029855419E-6</v>
      </c>
      <c r="H908" t="b">
        <v>0</v>
      </c>
    </row>
    <row r="909" spans="1:8" x14ac:dyDescent="0.15">
      <c r="A909">
        <v>40</v>
      </c>
      <c r="B909">
        <v>10</v>
      </c>
      <c r="C909">
        <v>1320214.84375</v>
      </c>
      <c r="D909">
        <v>87043409.111556232</v>
      </c>
      <c r="E909">
        <v>1.9171871045659314E-5</v>
      </c>
      <c r="F909">
        <v>1.7610239736655148E-5</v>
      </c>
      <c r="G909">
        <v>1.5616313090041653E-6</v>
      </c>
      <c r="H909" t="b">
        <v>0</v>
      </c>
    </row>
    <row r="910" spans="1:8" x14ac:dyDescent="0.15">
      <c r="A910">
        <v>40</v>
      </c>
      <c r="B910">
        <v>11</v>
      </c>
      <c r="C910">
        <v>1314404.296875</v>
      </c>
      <c r="D910">
        <v>4575538.4386428082</v>
      </c>
      <c r="E910">
        <v>1.7706725866500437E-5</v>
      </c>
      <c r="F910">
        <v>1.7610239736655148E-5</v>
      </c>
      <c r="G910">
        <v>9.648612984528872E-8</v>
      </c>
      <c r="H910" t="b">
        <v>0</v>
      </c>
    </row>
    <row r="911" spans="1:8" x14ac:dyDescent="0.15">
      <c r="A911">
        <v>40</v>
      </c>
      <c r="B911">
        <v>12</v>
      </c>
      <c r="C911">
        <v>1311499.0234375</v>
      </c>
      <c r="D911">
        <v>-25916713.765335295</v>
      </c>
      <c r="E911">
        <v>1.7012718943349663E-5</v>
      </c>
      <c r="F911">
        <v>1.7610239736655148E-5</v>
      </c>
      <c r="G911">
        <v>-5.9752079330548512E-7</v>
      </c>
      <c r="H911" t="b">
        <v>1</v>
      </c>
    </row>
    <row r="912" spans="1:8" x14ac:dyDescent="0.15">
      <c r="A912">
        <v>40</v>
      </c>
      <c r="B912">
        <v>13</v>
      </c>
      <c r="C912">
        <v>1312951.66015625</v>
      </c>
      <c r="D912">
        <v>-11512471.017153824</v>
      </c>
      <c r="E912">
        <v>1.7356595187707006E-5</v>
      </c>
      <c r="F912">
        <v>1.7610239736655148E-5</v>
      </c>
      <c r="G912">
        <v>-2.5364454894814223E-7</v>
      </c>
      <c r="H912" t="b">
        <v>1</v>
      </c>
    </row>
    <row r="913" spans="1:8" x14ac:dyDescent="0.15">
      <c r="A913">
        <v>40</v>
      </c>
      <c r="B913">
        <v>14</v>
      </c>
      <c r="C913">
        <v>1313451.66015625</v>
      </c>
      <c r="D913">
        <v>-6168210.4348827461</v>
      </c>
      <c r="E913">
        <v>1.7476398458359068E-5</v>
      </c>
      <c r="F913">
        <v>1.7610239736655148E-5</v>
      </c>
      <c r="G913">
        <v>-1.338412782960807E-7</v>
      </c>
      <c r="H913" t="b">
        <v>1</v>
      </c>
    </row>
    <row r="914" spans="1:8" x14ac:dyDescent="0.15">
      <c r="A914">
        <v>40</v>
      </c>
      <c r="B914">
        <v>15</v>
      </c>
      <c r="C914">
        <v>1313951.66015625</v>
      </c>
      <c r="D914">
        <v>-621760.3921541943</v>
      </c>
      <c r="E914">
        <v>1.7596950303408053E-5</v>
      </c>
      <c r="F914">
        <v>1.7610239736655148E-5</v>
      </c>
      <c r="G914">
        <v>-1.3289433247095224E-8</v>
      </c>
      <c r="H914" t="b">
        <v>1</v>
      </c>
    </row>
    <row r="915" spans="1:8" x14ac:dyDescent="0.15">
      <c r="A915">
        <v>40</v>
      </c>
      <c r="B915">
        <v>16</v>
      </c>
      <c r="C915">
        <v>1314451.66015625</v>
      </c>
      <c r="D915">
        <v>5129153.7678971076</v>
      </c>
      <c r="E915">
        <v>1.7718248431217982E-5</v>
      </c>
      <c r="F915">
        <v>1.7610239736655148E-5</v>
      </c>
      <c r="G915">
        <v>1.0800869456283396E-7</v>
      </c>
      <c r="H915" t="b">
        <v>0</v>
      </c>
    </row>
    <row r="916" spans="1:8" x14ac:dyDescent="0.15">
      <c r="A916">
        <v>40</v>
      </c>
      <c r="B916">
        <v>17</v>
      </c>
      <c r="C916">
        <v>1314201.66015625</v>
      </c>
      <c r="D916">
        <v>2227924.9357159534</v>
      </c>
      <c r="E916">
        <v>1.7657504696949225E-5</v>
      </c>
      <c r="F916">
        <v>1.7610239736655148E-5</v>
      </c>
      <c r="G916">
        <v>4.7264960294076612E-8</v>
      </c>
      <c r="H916" t="b">
        <v>0</v>
      </c>
    </row>
    <row r="917" spans="1:8" x14ac:dyDescent="0.15">
      <c r="A917">
        <v>40</v>
      </c>
      <c r="B917">
        <v>18</v>
      </c>
      <c r="C917">
        <v>1313901.66015625</v>
      </c>
      <c r="D917">
        <v>-1185563.6132386343</v>
      </c>
      <c r="E917">
        <v>1.7584861612478504E-5</v>
      </c>
      <c r="F917">
        <v>1.7610239736655148E-5</v>
      </c>
      <c r="G917">
        <v>-2.5378124176644119E-8</v>
      </c>
      <c r="H917" t="b">
        <v>1</v>
      </c>
    </row>
    <row r="918" spans="1:8" x14ac:dyDescent="0.15">
      <c r="A918">
        <v>40</v>
      </c>
      <c r="B918">
        <v>19</v>
      </c>
      <c r="C918">
        <v>1314051.66015625</v>
      </c>
      <c r="D918">
        <v>511913.10991782969</v>
      </c>
      <c r="E918">
        <v>1.7621148601224062E-5</v>
      </c>
      <c r="F918">
        <v>1.7610239736655148E-5</v>
      </c>
      <c r="G918">
        <v>1.0908864568913218E-8</v>
      </c>
      <c r="H918" t="b">
        <v>0</v>
      </c>
    </row>
    <row r="919" spans="1:8" x14ac:dyDescent="0.15">
      <c r="A919">
        <v>40</v>
      </c>
      <c r="B919">
        <v>20</v>
      </c>
      <c r="C919">
        <v>1314231.66015625</v>
      </c>
      <c r="D919">
        <v>2573348.8633536096</v>
      </c>
      <c r="E919">
        <v>1.7664784030155857E-5</v>
      </c>
      <c r="F919">
        <v>1.7610239736655148E-5</v>
      </c>
      <c r="G919">
        <v>5.4544293500708829E-8</v>
      </c>
      <c r="H919" t="b">
        <v>0</v>
      </c>
    </row>
    <row r="920" spans="1:8" x14ac:dyDescent="0.15">
      <c r="A920">
        <v>40</v>
      </c>
      <c r="B920">
        <v>21</v>
      </c>
      <c r="C920">
        <v>1314141.66015625</v>
      </c>
      <c r="D920">
        <v>1539374.8330753027</v>
      </c>
      <c r="E920">
        <v>1.7642955724606695E-5</v>
      </c>
      <c r="F920">
        <v>1.7610239736655148E-5</v>
      </c>
      <c r="G920">
        <v>3.2715987951546853E-8</v>
      </c>
      <c r="H920" t="b">
        <v>0</v>
      </c>
    </row>
    <row r="921" spans="1:8" x14ac:dyDescent="0.15">
      <c r="A921">
        <v>40</v>
      </c>
      <c r="B921">
        <v>22</v>
      </c>
      <c r="C921">
        <v>1314033.66015625</v>
      </c>
      <c r="D921">
        <v>307233.70438143803</v>
      </c>
      <c r="E921">
        <v>1.7616790410310352E-5</v>
      </c>
      <c r="F921">
        <v>1.7610239736655148E-5</v>
      </c>
      <c r="G921">
        <v>6.5506736552038822E-9</v>
      </c>
      <c r="H921" t="b">
        <v>0</v>
      </c>
    </row>
    <row r="922" spans="1:8" x14ac:dyDescent="0.15">
      <c r="A922">
        <v>40</v>
      </c>
      <c r="B922">
        <v>23</v>
      </c>
      <c r="C922">
        <v>1314087.66015625</v>
      </c>
      <c r="D922">
        <v>922069.59556130157</v>
      </c>
      <c r="E922">
        <v>1.7629867900769366E-5</v>
      </c>
      <c r="F922">
        <v>1.7610239736655148E-5</v>
      </c>
      <c r="G922">
        <v>1.9628164114218033E-8</v>
      </c>
      <c r="H922" t="b">
        <v>0</v>
      </c>
    </row>
    <row r="923" spans="1:8" x14ac:dyDescent="0.15">
      <c r="A923">
        <v>40</v>
      </c>
      <c r="B923">
        <v>24</v>
      </c>
      <c r="C923">
        <v>1314152.46015625</v>
      </c>
      <c r="D923">
        <v>1663034.1266245577</v>
      </c>
      <c r="E923">
        <v>1.7645572447763401E-5</v>
      </c>
      <c r="F923">
        <v>1.7610239736655148E-5</v>
      </c>
      <c r="G923">
        <v>3.5332711108252584E-8</v>
      </c>
      <c r="H923" t="b">
        <v>0</v>
      </c>
    </row>
    <row r="924" spans="1:8" x14ac:dyDescent="0.15">
      <c r="A924">
        <v>40</v>
      </c>
      <c r="B924">
        <v>25</v>
      </c>
      <c r="C924">
        <v>1314120.0601562501</v>
      </c>
      <c r="D924">
        <v>1292120.4405520293</v>
      </c>
      <c r="E924">
        <v>1.7637718597615586E-5</v>
      </c>
      <c r="F924">
        <v>1.7610239736655148E-5</v>
      </c>
      <c r="G924">
        <v>2.7478860960438085E-8</v>
      </c>
      <c r="H924" t="b">
        <v>0</v>
      </c>
    </row>
    <row r="925" spans="1:8" x14ac:dyDescent="0.15">
      <c r="A925">
        <v>40</v>
      </c>
      <c r="B925">
        <v>26</v>
      </c>
      <c r="C925">
        <v>1314136.2601562501</v>
      </c>
      <c r="D925">
        <v>1477543.8709633464</v>
      </c>
      <c r="E925">
        <v>1.7641646705656595E-5</v>
      </c>
      <c r="F925">
        <v>1.7610239736655148E-5</v>
      </c>
      <c r="G925">
        <v>3.140696900144716E-8</v>
      </c>
      <c r="H925" t="b">
        <v>0</v>
      </c>
    </row>
    <row r="926" spans="1:8" x14ac:dyDescent="0.15">
      <c r="A926">
        <v>40</v>
      </c>
      <c r="B926">
        <v>27</v>
      </c>
      <c r="C926">
        <v>1314128.16015625</v>
      </c>
      <c r="D926">
        <v>1384842.3847247837</v>
      </c>
      <c r="E926">
        <v>1.7639683341493632E-5</v>
      </c>
      <c r="F926">
        <v>1.7610239736655148E-5</v>
      </c>
      <c r="G926">
        <v>2.9443604838483289E-8</v>
      </c>
      <c r="H926" t="b">
        <v>0</v>
      </c>
    </row>
    <row r="927" spans="1:8" x14ac:dyDescent="0.15">
      <c r="A927">
        <v>40</v>
      </c>
      <c r="B927">
        <v>28</v>
      </c>
      <c r="C927">
        <v>1314118.44015625</v>
      </c>
      <c r="D927">
        <v>1273597.4116009334</v>
      </c>
      <c r="E927">
        <v>1.7637325987890325E-5</v>
      </c>
      <c r="F927">
        <v>1.7610239736655148E-5</v>
      </c>
      <c r="G927">
        <v>2.7086251235176493E-8</v>
      </c>
      <c r="H927" t="b">
        <v>0</v>
      </c>
    </row>
    <row r="928" spans="1:8" x14ac:dyDescent="0.15">
      <c r="A928">
        <v>40</v>
      </c>
      <c r="B928">
        <v>29</v>
      </c>
      <c r="C928">
        <v>1314123.3001562501</v>
      </c>
      <c r="D928">
        <v>1329172.9696597436</v>
      </c>
      <c r="E928">
        <v>1.763850384071198E-5</v>
      </c>
      <c r="F928">
        <v>1.7610239736655148E-5</v>
      </c>
      <c r="G928">
        <v>2.8264104056831279E-8</v>
      </c>
      <c r="H928" t="b">
        <v>0</v>
      </c>
    </row>
    <row r="929" spans="1:8" x14ac:dyDescent="0.15">
      <c r="A929">
        <v>40</v>
      </c>
      <c r="B929">
        <v>30</v>
      </c>
      <c r="C929">
        <v>1314120.8701562502</v>
      </c>
      <c r="D929">
        <v>1301382.7638677014</v>
      </c>
      <c r="E929">
        <v>1.763791490543299E-5</v>
      </c>
      <c r="F929">
        <v>1.7610239736655148E-5</v>
      </c>
      <c r="G929">
        <v>2.7675168777841673E-8</v>
      </c>
      <c r="H929" t="b">
        <v>0</v>
      </c>
    </row>
    <row r="930" spans="1:8" x14ac:dyDescent="0.15">
      <c r="A930">
        <v>41</v>
      </c>
      <c r="B930">
        <v>1</v>
      </c>
      <c r="C930">
        <v>6050000</v>
      </c>
      <c r="D930">
        <v>6.9829850012967373E+17</v>
      </c>
      <c r="E930">
        <v>211.90931412146875</v>
      </c>
      <c r="F930">
        <v>1.7138645148406795E-5</v>
      </c>
      <c r="G930">
        <v>211.90929698282361</v>
      </c>
      <c r="H930" t="b">
        <v>0</v>
      </c>
    </row>
    <row r="931" spans="1:8" x14ac:dyDescent="0.15">
      <c r="A931">
        <v>41</v>
      </c>
      <c r="B931">
        <v>2</v>
      </c>
      <c r="C931">
        <v>3075000</v>
      </c>
      <c r="D931">
        <v>2621809663571251.5</v>
      </c>
      <c r="E931">
        <v>1.6670610487121669</v>
      </c>
      <c r="F931">
        <v>1.7138645153291776E-5</v>
      </c>
      <c r="G931">
        <v>1.6670439100670136</v>
      </c>
      <c r="H931" t="b">
        <v>0</v>
      </c>
    </row>
    <row r="932" spans="1:8" x14ac:dyDescent="0.15">
      <c r="A932">
        <v>41</v>
      </c>
      <c r="B932">
        <v>3</v>
      </c>
      <c r="C932">
        <v>1587500</v>
      </c>
      <c r="D932">
        <v>85777099499.193741</v>
      </c>
      <c r="E932">
        <v>4.0160990550445336E-4</v>
      </c>
      <c r="F932">
        <v>1.7138645153259304E-5</v>
      </c>
      <c r="G932">
        <v>3.8447126035119405E-4</v>
      </c>
      <c r="H932" t="b">
        <v>0</v>
      </c>
    </row>
    <row r="933" spans="1:8" x14ac:dyDescent="0.15">
      <c r="A933">
        <v>41</v>
      </c>
      <c r="B933">
        <v>4</v>
      </c>
      <c r="C933">
        <v>843750</v>
      </c>
      <c r="D933">
        <v>-131140.5512935119</v>
      </c>
      <c r="E933">
        <v>-3.3171715975390371E-7</v>
      </c>
      <c r="F933">
        <v>1.7138645153259314E-5</v>
      </c>
      <c r="G933">
        <v>-1.7470362313013217E-5</v>
      </c>
      <c r="H933" t="b">
        <v>1</v>
      </c>
    </row>
    <row r="934" spans="1:8" x14ac:dyDescent="0.15">
      <c r="A934">
        <v>41</v>
      </c>
      <c r="B934">
        <v>5</v>
      </c>
      <c r="C934">
        <v>1215625</v>
      </c>
      <c r="D934">
        <v>-48599903.322250254</v>
      </c>
      <c r="E934">
        <v>1.220998048950229E-5</v>
      </c>
      <c r="F934">
        <v>1.7138645153259314E-5</v>
      </c>
      <c r="G934">
        <v>-4.928664663757024E-6</v>
      </c>
      <c r="H934" t="b">
        <v>1</v>
      </c>
    </row>
    <row r="935" spans="1:8" x14ac:dyDescent="0.15">
      <c r="A935">
        <v>41</v>
      </c>
      <c r="B935">
        <v>6</v>
      </c>
      <c r="C935">
        <v>1401562.5</v>
      </c>
      <c r="D935">
        <v>6641577926.0765257</v>
      </c>
      <c r="E935">
        <v>7.3929593583061667E-5</v>
      </c>
      <c r="F935">
        <v>1.7138645153259318E-5</v>
      </c>
      <c r="G935">
        <v>5.6790948429802349E-5</v>
      </c>
      <c r="H935" t="b">
        <v>0</v>
      </c>
    </row>
    <row r="936" spans="1:8" x14ac:dyDescent="0.15">
      <c r="A936">
        <v>41</v>
      </c>
      <c r="B936">
        <v>7</v>
      </c>
      <c r="C936">
        <v>1308593.75</v>
      </c>
      <c r="D936">
        <v>679152281.08923805</v>
      </c>
      <c r="E936">
        <v>2.7151626301487056E-5</v>
      </c>
      <c r="F936">
        <v>1.7138645153259314E-5</v>
      </c>
      <c r="G936">
        <v>1.0012981148227742E-5</v>
      </c>
      <c r="H936" t="b">
        <v>0</v>
      </c>
    </row>
    <row r="937" spans="1:8" x14ac:dyDescent="0.15">
      <c r="A937">
        <v>41</v>
      </c>
      <c r="B937">
        <v>8</v>
      </c>
      <c r="C937">
        <v>1262109.375</v>
      </c>
      <c r="D937">
        <v>-28393310.313217875</v>
      </c>
      <c r="E937">
        <v>1.6091422542851239E-5</v>
      </c>
      <c r="F937">
        <v>1.7138645153259314E-5</v>
      </c>
      <c r="G937">
        <v>-1.0472226104080755E-6</v>
      </c>
      <c r="H937" t="b">
        <v>1</v>
      </c>
    </row>
    <row r="938" spans="1:8" x14ac:dyDescent="0.15">
      <c r="A938">
        <v>41</v>
      </c>
      <c r="B938">
        <v>9</v>
      </c>
      <c r="C938">
        <v>1285351.5625</v>
      </c>
      <c r="D938">
        <v>166887192.79015568</v>
      </c>
      <c r="E938">
        <v>2.0712544813542856E-5</v>
      </c>
      <c r="F938">
        <v>1.7138645153259314E-5</v>
      </c>
      <c r="G938">
        <v>3.5738996602835416E-6</v>
      </c>
      <c r="H938" t="b">
        <v>0</v>
      </c>
    </row>
    <row r="939" spans="1:8" x14ac:dyDescent="0.15">
      <c r="A939">
        <v>41</v>
      </c>
      <c r="B939">
        <v>10</v>
      </c>
      <c r="C939">
        <v>1273730.46875</v>
      </c>
      <c r="D939">
        <v>31627698.407444365</v>
      </c>
      <c r="E939">
        <v>1.8028649239003339E-5</v>
      </c>
      <c r="F939">
        <v>1.7138645153259314E-5</v>
      </c>
      <c r="G939">
        <v>8.9000408574402469E-7</v>
      </c>
      <c r="H939" t="b">
        <v>0</v>
      </c>
    </row>
    <row r="940" spans="1:8" x14ac:dyDescent="0.15">
      <c r="A940">
        <v>41</v>
      </c>
      <c r="B940">
        <v>11</v>
      </c>
      <c r="C940">
        <v>1267919.921875</v>
      </c>
      <c r="D940">
        <v>-10080239.594279682</v>
      </c>
      <c r="E940">
        <v>1.6805420912087153E-5</v>
      </c>
      <c r="F940">
        <v>1.7138645153259314E-5</v>
      </c>
      <c r="G940">
        <v>-3.3322424117216177E-7</v>
      </c>
      <c r="H940" t="b">
        <v>1</v>
      </c>
    </row>
    <row r="941" spans="1:8" x14ac:dyDescent="0.15">
      <c r="A941">
        <v>41</v>
      </c>
      <c r="B941">
        <v>12</v>
      </c>
      <c r="C941">
        <v>1270825.1953125</v>
      </c>
      <c r="D941">
        <v>8837716.2237185594</v>
      </c>
      <c r="E941">
        <v>1.7407534956968627E-5</v>
      </c>
      <c r="F941">
        <v>1.7138645153259314E-5</v>
      </c>
      <c r="G941">
        <v>2.6888980370931264E-7</v>
      </c>
      <c r="H941" t="b">
        <v>0</v>
      </c>
    </row>
    <row r="942" spans="1:8" x14ac:dyDescent="0.15">
      <c r="A942">
        <v>41</v>
      </c>
      <c r="B942">
        <v>13</v>
      </c>
      <c r="C942">
        <v>1269372.55859375</v>
      </c>
      <c r="D942">
        <v>-1088923.5238783732</v>
      </c>
      <c r="E942">
        <v>1.7104133492691396E-5</v>
      </c>
      <c r="F942">
        <v>1.7138645153259314E-5</v>
      </c>
      <c r="G942">
        <v>-3.4511660567918434E-8</v>
      </c>
      <c r="H942" t="b">
        <v>1</v>
      </c>
    </row>
    <row r="943" spans="1:8" x14ac:dyDescent="0.15">
      <c r="A943">
        <v>41</v>
      </c>
      <c r="B943">
        <v>14</v>
      </c>
      <c r="C943">
        <v>1269872.55859375</v>
      </c>
      <c r="D943">
        <v>2220620.3153657177</v>
      </c>
      <c r="E943">
        <v>1.720803195624039E-5</v>
      </c>
      <c r="F943">
        <v>1.7138645153259314E-5</v>
      </c>
      <c r="G943">
        <v>6.9386802981075813E-8</v>
      </c>
      <c r="H943" t="b">
        <v>0</v>
      </c>
    </row>
    <row r="944" spans="1:8" x14ac:dyDescent="0.15">
      <c r="A944">
        <v>41</v>
      </c>
      <c r="B944">
        <v>15</v>
      </c>
      <c r="C944">
        <v>1269622.55859375</v>
      </c>
      <c r="D944">
        <v>551975.37775745813</v>
      </c>
      <c r="E944">
        <v>1.7156015035273007E-5</v>
      </c>
      <c r="F944">
        <v>1.7138645153259314E-5</v>
      </c>
      <c r="G944">
        <v>1.7369882013692974E-8</v>
      </c>
      <c r="H944" t="b">
        <v>0</v>
      </c>
    </row>
    <row r="945" spans="1:8" x14ac:dyDescent="0.15">
      <c r="A945">
        <v>41</v>
      </c>
      <c r="B945">
        <v>16</v>
      </c>
      <c r="C945">
        <v>1269747.55859375</v>
      </c>
      <c r="D945">
        <v>1382834.7293316759</v>
      </c>
      <c r="E945">
        <v>1.7182007026707632E-5</v>
      </c>
      <c r="F945">
        <v>1.7138645153259314E-5</v>
      </c>
      <c r="G945">
        <v>4.3361873448317126E-8</v>
      </c>
      <c r="H945" t="b">
        <v>0</v>
      </c>
    </row>
    <row r="946" spans="1:8" x14ac:dyDescent="0.15">
      <c r="A946">
        <v>41</v>
      </c>
      <c r="B946">
        <v>17</v>
      </c>
      <c r="C946">
        <v>1269685.05859375</v>
      </c>
      <c r="D946">
        <v>966472.78450002964</v>
      </c>
      <c r="E946">
        <v>1.7169004798163736E-5</v>
      </c>
      <c r="F946">
        <v>1.7138645153259314E-5</v>
      </c>
      <c r="G946">
        <v>3.0359644904421435E-8</v>
      </c>
      <c r="H946" t="b">
        <v>0</v>
      </c>
    </row>
    <row r="947" spans="1:8" x14ac:dyDescent="0.15">
      <c r="A947">
        <v>41</v>
      </c>
      <c r="B947">
        <v>18</v>
      </c>
      <c r="C947">
        <v>1269716.30859375</v>
      </c>
      <c r="D947">
        <v>1174405.3554034303</v>
      </c>
      <c r="E947">
        <v>1.7175503882599867E-5</v>
      </c>
      <c r="F947">
        <v>1.7138645153259314E-5</v>
      </c>
      <c r="G947">
        <v>3.6858729340553113E-8</v>
      </c>
      <c r="H947" t="b">
        <v>0</v>
      </c>
    </row>
    <row r="948" spans="1:8" x14ac:dyDescent="0.15">
      <c r="A948">
        <v>41</v>
      </c>
      <c r="B948">
        <v>19</v>
      </c>
      <c r="C948">
        <v>1269753.80859375</v>
      </c>
      <c r="D948">
        <v>1424560.9381823884</v>
      </c>
      <c r="E948">
        <v>1.7183307540100951E-5</v>
      </c>
      <c r="F948">
        <v>1.7138645153259314E-5</v>
      </c>
      <c r="G948">
        <v>4.4662386841636822E-8</v>
      </c>
      <c r="H948" t="b">
        <v>0</v>
      </c>
    </row>
    <row r="949" spans="1:8" x14ac:dyDescent="0.15">
      <c r="A949">
        <v>41</v>
      </c>
      <c r="B949">
        <v>20</v>
      </c>
      <c r="C949">
        <v>1269735.05859375</v>
      </c>
      <c r="D949">
        <v>1299374.3372199505</v>
      </c>
      <c r="E949">
        <v>1.7179404377669363E-5</v>
      </c>
      <c r="F949">
        <v>1.7138645153259314E-5</v>
      </c>
      <c r="G949">
        <v>4.0759224410048643E-8</v>
      </c>
      <c r="H949" t="b">
        <v>0</v>
      </c>
    </row>
    <row r="950" spans="1:8" x14ac:dyDescent="0.15">
      <c r="A950">
        <v>41</v>
      </c>
      <c r="B950">
        <v>21</v>
      </c>
      <c r="C950">
        <v>1269712.55859375</v>
      </c>
      <c r="D950">
        <v>1149490.6942522579</v>
      </c>
      <c r="E950">
        <v>1.7174725760473283E-5</v>
      </c>
      <c r="F950">
        <v>1.7138645153259314E-5</v>
      </c>
      <c r="G950">
        <v>3.6080607213969014E-8</v>
      </c>
      <c r="H950" t="b">
        <v>0</v>
      </c>
    </row>
    <row r="951" spans="1:8" x14ac:dyDescent="0.15">
      <c r="A951">
        <v>41</v>
      </c>
      <c r="B951">
        <v>22</v>
      </c>
      <c r="C951">
        <v>1269723.80859375</v>
      </c>
      <c r="D951">
        <v>1224434.4214313193</v>
      </c>
      <c r="E951">
        <v>1.7177065869777469E-5</v>
      </c>
      <c r="F951">
        <v>1.7138645153259314E-5</v>
      </c>
      <c r="G951">
        <v>3.8420716518154299E-8</v>
      </c>
      <c r="H951" t="b">
        <v>0</v>
      </c>
    </row>
    <row r="952" spans="1:8" x14ac:dyDescent="0.15">
      <c r="A952">
        <v>41</v>
      </c>
      <c r="B952">
        <v>23</v>
      </c>
      <c r="C952">
        <v>1269737.30859375</v>
      </c>
      <c r="D952">
        <v>1314441.5602502269</v>
      </c>
      <c r="E952">
        <v>1.7179874373212173E-5</v>
      </c>
      <c r="F952">
        <v>1.7138645153259314E-5</v>
      </c>
      <c r="G952">
        <v>4.1229219952858628E-8</v>
      </c>
      <c r="H952" t="b">
        <v>0</v>
      </c>
    </row>
    <row r="953" spans="1:8" x14ac:dyDescent="0.15">
      <c r="A953">
        <v>41</v>
      </c>
      <c r="B953">
        <v>24</v>
      </c>
      <c r="C953">
        <v>1269730.55859375</v>
      </c>
      <c r="D953">
        <v>1269367.4507750489</v>
      </c>
      <c r="E953">
        <v>1.717846818740522E-5</v>
      </c>
      <c r="F953">
        <v>1.7138645153259314E-5</v>
      </c>
      <c r="G953">
        <v>3.9823034145906021E-8</v>
      </c>
      <c r="H953" t="b">
        <v>0</v>
      </c>
    </row>
    <row r="954" spans="1:8" x14ac:dyDescent="0.15">
      <c r="A954">
        <v>42</v>
      </c>
      <c r="B954">
        <v>1</v>
      </c>
      <c r="C954">
        <v>6050000</v>
      </c>
      <c r="D954">
        <v>1.7121058750180602E+17</v>
      </c>
      <c r="E954">
        <v>34.504861269135468</v>
      </c>
      <c r="F954">
        <v>1.1206576779443367E-5</v>
      </c>
      <c r="G954">
        <v>34.504850062558688</v>
      </c>
      <c r="H954" t="b">
        <v>0</v>
      </c>
    </row>
    <row r="955" spans="1:8" x14ac:dyDescent="0.15">
      <c r="A955">
        <v>42</v>
      </c>
      <c r="B955">
        <v>2</v>
      </c>
      <c r="C955">
        <v>3075000</v>
      </c>
      <c r="D955">
        <v>103334932712675.09</v>
      </c>
      <c r="E955">
        <v>6.2600679800499021E-2</v>
      </c>
      <c r="F955">
        <v>1.12065767792352E-5</v>
      </c>
      <c r="G955">
        <v>6.2589473223719785E-2</v>
      </c>
      <c r="H955" t="b">
        <v>0</v>
      </c>
    </row>
    <row r="956" spans="1:8" x14ac:dyDescent="0.15">
      <c r="A956">
        <v>42</v>
      </c>
      <c r="B956">
        <v>3</v>
      </c>
      <c r="C956">
        <v>1587500</v>
      </c>
      <c r="D956">
        <v>331298407.41326565</v>
      </c>
      <c r="E956">
        <v>1.5199815701020927E-5</v>
      </c>
      <c r="F956">
        <v>1.1206576779235746E-5</v>
      </c>
      <c r="G956">
        <v>3.993238921785182E-6</v>
      </c>
      <c r="H956" t="b">
        <v>0</v>
      </c>
    </row>
    <row r="957" spans="1:8" x14ac:dyDescent="0.15">
      <c r="A957">
        <v>42</v>
      </c>
      <c r="B957">
        <v>4</v>
      </c>
      <c r="C957">
        <v>843750</v>
      </c>
      <c r="D957">
        <v>-49268.547329713983</v>
      </c>
      <c r="E957">
        <v>-4.1932652507990579E-6</v>
      </c>
      <c r="F957">
        <v>1.1206576779235744E-5</v>
      </c>
      <c r="G957">
        <v>-1.5399842030034802E-5</v>
      </c>
      <c r="H957" t="b">
        <v>1</v>
      </c>
    </row>
    <row r="958" spans="1:8" x14ac:dyDescent="0.15">
      <c r="A958">
        <v>42</v>
      </c>
      <c r="B958">
        <v>5</v>
      </c>
      <c r="C958">
        <v>1215625</v>
      </c>
      <c r="D958">
        <v>-458584.13639852125</v>
      </c>
      <c r="E958">
        <v>2.109408784687356E-6</v>
      </c>
      <c r="F958">
        <v>1.1206576779235746E-5</v>
      </c>
      <c r="G958">
        <v>-9.0971679945483899E-6</v>
      </c>
      <c r="H958" t="b">
        <v>1</v>
      </c>
    </row>
    <row r="959" spans="1:8" x14ac:dyDescent="0.15">
      <c r="A959">
        <v>42</v>
      </c>
      <c r="B959">
        <v>6</v>
      </c>
      <c r="C959">
        <v>1401562.5</v>
      </c>
      <c r="D959">
        <v>-7254675.4629834704</v>
      </c>
      <c r="E959">
        <v>5.7247278049978049E-6</v>
      </c>
      <c r="F959">
        <v>1.1206576779235746E-5</v>
      </c>
      <c r="G959">
        <v>-5.4818489742379406E-6</v>
      </c>
      <c r="H959" t="b">
        <v>1</v>
      </c>
    </row>
    <row r="960" spans="1:8" x14ac:dyDescent="0.15">
      <c r="A960">
        <v>42</v>
      </c>
      <c r="B960">
        <v>7</v>
      </c>
      <c r="C960">
        <v>1494531.25</v>
      </c>
      <c r="D960">
        <v>-46898764.377541237</v>
      </c>
      <c r="E960">
        <v>9.1714812931176825E-6</v>
      </c>
      <c r="F960">
        <v>1.1206576779235746E-5</v>
      </c>
      <c r="G960">
        <v>-2.035095486118063E-6</v>
      </c>
      <c r="H960" t="b">
        <v>1</v>
      </c>
    </row>
    <row r="961" spans="1:8" x14ac:dyDescent="0.15">
      <c r="A961">
        <v>42</v>
      </c>
      <c r="B961">
        <v>8</v>
      </c>
      <c r="C961">
        <v>1541015.625</v>
      </c>
      <c r="D961">
        <v>11724187.155043505</v>
      </c>
      <c r="E961">
        <v>1.1459607454667861E-5</v>
      </c>
      <c r="F961">
        <v>1.1206576779235746E-5</v>
      </c>
      <c r="G961">
        <v>2.5303067543211507E-7</v>
      </c>
      <c r="H961" t="b">
        <v>0</v>
      </c>
    </row>
    <row r="962" spans="1:8" x14ac:dyDescent="0.15">
      <c r="A962">
        <v>42</v>
      </c>
      <c r="B962">
        <v>9</v>
      </c>
      <c r="C962">
        <v>1517773.4375</v>
      </c>
      <c r="D962">
        <v>-32177305.93178824</v>
      </c>
      <c r="E962">
        <v>1.0263704586202894E-5</v>
      </c>
      <c r="F962">
        <v>1.1206576779235746E-5</v>
      </c>
      <c r="G962">
        <v>-9.4287219303285147E-7</v>
      </c>
      <c r="H962" t="b">
        <v>1</v>
      </c>
    </row>
    <row r="963" spans="1:8" x14ac:dyDescent="0.15">
      <c r="A963">
        <v>42</v>
      </c>
      <c r="B963">
        <v>10</v>
      </c>
      <c r="C963">
        <v>1529394.53125</v>
      </c>
      <c r="D963">
        <v>-14367484.073458167</v>
      </c>
      <c r="E963">
        <v>1.0848338357169243E-5</v>
      </c>
      <c r="F963">
        <v>1.1206576779235746E-5</v>
      </c>
      <c r="G963">
        <v>-3.5823842206650231E-7</v>
      </c>
      <c r="H963" t="b">
        <v>1</v>
      </c>
    </row>
    <row r="964" spans="1:8" x14ac:dyDescent="0.15">
      <c r="A964">
        <v>42</v>
      </c>
      <c r="B964">
        <v>11</v>
      </c>
      <c r="C964">
        <v>1535205.078125</v>
      </c>
      <c r="D964">
        <v>-2420175.1935556666</v>
      </c>
      <c r="E964">
        <v>1.1150541555937915E-5</v>
      </c>
      <c r="F964">
        <v>1.1206576779235746E-5</v>
      </c>
      <c r="G964">
        <v>-5.6035223297830707E-8</v>
      </c>
      <c r="H964" t="b">
        <v>1</v>
      </c>
    </row>
    <row r="965" spans="1:8" x14ac:dyDescent="0.15">
      <c r="A965">
        <v>42</v>
      </c>
      <c r="B965">
        <v>12</v>
      </c>
      <c r="C965">
        <v>1538110.3515625</v>
      </c>
      <c r="D965">
        <v>4369627.1749257771</v>
      </c>
      <c r="E965">
        <v>1.1304210592602185E-5</v>
      </c>
      <c r="F965">
        <v>1.1206576779235746E-5</v>
      </c>
      <c r="G965">
        <v>9.7633813366439446E-8</v>
      </c>
      <c r="H965" t="b">
        <v>0</v>
      </c>
    </row>
    <row r="966" spans="1:8" x14ac:dyDescent="0.15">
      <c r="A966">
        <v>42</v>
      </c>
      <c r="B966">
        <v>13</v>
      </c>
      <c r="C966">
        <v>1536657.71484375</v>
      </c>
      <c r="D966">
        <v>905111.12630717014</v>
      </c>
      <c r="E966">
        <v>1.1227161104039854E-5</v>
      </c>
      <c r="F966">
        <v>1.1206576779235746E-5</v>
      </c>
      <c r="G966">
        <v>2.0584324804108446E-8</v>
      </c>
      <c r="H966" t="b">
        <v>0</v>
      </c>
    </row>
    <row r="967" spans="1:8" x14ac:dyDescent="0.15">
      <c r="A967">
        <v>42</v>
      </c>
      <c r="B967">
        <v>14</v>
      </c>
      <c r="C967">
        <v>1537157.71484375</v>
      </c>
      <c r="D967">
        <v>2081763.5572245934</v>
      </c>
      <c r="E967">
        <v>1.1253632439374014E-5</v>
      </c>
      <c r="F967">
        <v>1.1206576779235746E-5</v>
      </c>
      <c r="G967">
        <v>4.705566013826842E-8</v>
      </c>
      <c r="H967" t="b">
        <v>0</v>
      </c>
    </row>
    <row r="968" spans="1:8" x14ac:dyDescent="0.15">
      <c r="A968">
        <v>42</v>
      </c>
      <c r="B968">
        <v>15</v>
      </c>
      <c r="C968">
        <v>1536907.71484375</v>
      </c>
      <c r="D968">
        <v>1491382.6919764809</v>
      </c>
      <c r="E968">
        <v>1.1240390672841575E-5</v>
      </c>
      <c r="F968">
        <v>1.1206576779235746E-5</v>
      </c>
      <c r="G968">
        <v>3.3813893605829195E-8</v>
      </c>
      <c r="H968" t="b">
        <v>0</v>
      </c>
    </row>
    <row r="969" spans="1:8" x14ac:dyDescent="0.15">
      <c r="A969">
        <v>42</v>
      </c>
      <c r="B969">
        <v>16</v>
      </c>
      <c r="C969">
        <v>1537032.71484375</v>
      </c>
      <c r="D969">
        <v>1786043.2613407322</v>
      </c>
      <c r="E969">
        <v>1.1247009680743612E-5</v>
      </c>
      <c r="F969">
        <v>1.1206576779235746E-5</v>
      </c>
      <c r="G969">
        <v>4.043290150786686E-8</v>
      </c>
      <c r="H969" t="b">
        <v>0</v>
      </c>
    </row>
    <row r="970" spans="1:8" x14ac:dyDescent="0.15">
      <c r="A970">
        <v>42</v>
      </c>
      <c r="B970">
        <v>17</v>
      </c>
      <c r="C970">
        <v>1536970.21484375</v>
      </c>
      <c r="D970">
        <v>1638571.2527383892</v>
      </c>
      <c r="E970">
        <v>1.1243699497994652E-5</v>
      </c>
      <c r="F970">
        <v>1.1206576779235746E-5</v>
      </c>
      <c r="G970">
        <v>3.7122718758906439E-8</v>
      </c>
      <c r="H970" t="b">
        <v>0</v>
      </c>
    </row>
    <row r="971" spans="1:8" x14ac:dyDescent="0.15">
      <c r="A971">
        <v>42</v>
      </c>
      <c r="B971">
        <v>18</v>
      </c>
      <c r="C971">
        <v>1536895.21484375</v>
      </c>
      <c r="D971">
        <v>1461946.1192671447</v>
      </c>
      <c r="E971">
        <v>1.1239728331437043E-5</v>
      </c>
      <c r="F971">
        <v>1.1206576779235746E-5</v>
      </c>
      <c r="G971">
        <v>3.3151552201297771E-8</v>
      </c>
      <c r="H971" t="b">
        <v>0</v>
      </c>
    </row>
    <row r="972" spans="1:8" x14ac:dyDescent="0.15">
      <c r="A972">
        <v>42</v>
      </c>
      <c r="B972">
        <v>19</v>
      </c>
      <c r="C972">
        <v>1536932.71484375</v>
      </c>
      <c r="D972">
        <v>1550237.0762418134</v>
      </c>
      <c r="E972">
        <v>1.1241714331309425E-5</v>
      </c>
      <c r="F972">
        <v>1.1206576779235746E-5</v>
      </c>
      <c r="G972">
        <v>3.5137552073679739E-8</v>
      </c>
      <c r="H972" t="b">
        <v>0</v>
      </c>
    </row>
    <row r="973" spans="1:8" x14ac:dyDescent="0.15">
      <c r="A973">
        <v>43</v>
      </c>
      <c r="B973">
        <v>1</v>
      </c>
      <c r="C973">
        <v>6050000</v>
      </c>
      <c r="D973">
        <v>1.026133867294673E+18</v>
      </c>
      <c r="E973">
        <v>268.86278021609195</v>
      </c>
      <c r="F973">
        <v>1.5834039402307098E-5</v>
      </c>
      <c r="G973">
        <v>268.86276438205255</v>
      </c>
      <c r="H973" t="b">
        <v>0</v>
      </c>
    </row>
    <row r="974" spans="1:8" x14ac:dyDescent="0.15">
      <c r="A974">
        <v>43</v>
      </c>
      <c r="B974">
        <v>2</v>
      </c>
      <c r="C974">
        <v>3075000</v>
      </c>
      <c r="D974">
        <v>9998667749157252</v>
      </c>
      <c r="E974">
        <v>4.7506679357900161</v>
      </c>
      <c r="F974">
        <v>1.5834039417406132E-5</v>
      </c>
      <c r="G974">
        <v>4.7506521017505987</v>
      </c>
      <c r="H974" t="b">
        <v>0</v>
      </c>
    </row>
    <row r="975" spans="1:8" x14ac:dyDescent="0.15">
      <c r="A975">
        <v>43</v>
      </c>
      <c r="B975">
        <v>3</v>
      </c>
      <c r="C975">
        <v>1587500</v>
      </c>
      <c r="D975">
        <v>955093052109.11035</v>
      </c>
      <c r="E975">
        <v>2.2696543792439174E-3</v>
      </c>
      <c r="F975">
        <v>1.5834039417207939E-5</v>
      </c>
      <c r="G975">
        <v>2.2538203398267094E-3</v>
      </c>
      <c r="H975" t="b">
        <v>0</v>
      </c>
    </row>
    <row r="976" spans="1:8" x14ac:dyDescent="0.15">
      <c r="A976">
        <v>43</v>
      </c>
      <c r="B976">
        <v>4</v>
      </c>
      <c r="C976">
        <v>843750</v>
      </c>
      <c r="D976">
        <v>-258888.28765538346</v>
      </c>
      <c r="E976">
        <v>1.7616924693582277E-6</v>
      </c>
      <c r="F976">
        <v>1.5834039417207831E-5</v>
      </c>
      <c r="G976">
        <v>-1.4072346947849604E-5</v>
      </c>
      <c r="H976" t="b">
        <v>1</v>
      </c>
    </row>
    <row r="977" spans="1:8" x14ac:dyDescent="0.15">
      <c r="A977">
        <v>43</v>
      </c>
      <c r="B977">
        <v>5</v>
      </c>
      <c r="C977">
        <v>1215625</v>
      </c>
      <c r="D977">
        <v>3784863858.0406394</v>
      </c>
      <c r="E977">
        <v>5.0171141208847022E-5</v>
      </c>
      <c r="F977">
        <v>1.5834039417207831E-5</v>
      </c>
      <c r="G977">
        <v>3.4337101791639191E-5</v>
      </c>
      <c r="H977" t="b">
        <v>0</v>
      </c>
    </row>
    <row r="978" spans="1:8" x14ac:dyDescent="0.15">
      <c r="A978">
        <v>43</v>
      </c>
      <c r="B978">
        <v>6</v>
      </c>
      <c r="C978">
        <v>1029687.5</v>
      </c>
      <c r="D978">
        <v>-6873650.7816599365</v>
      </c>
      <c r="E978">
        <v>7.883623505890436E-6</v>
      </c>
      <c r="F978">
        <v>1.5834039417207831E-5</v>
      </c>
      <c r="G978">
        <v>-7.9504159113173951E-6</v>
      </c>
      <c r="H978" t="b">
        <v>1</v>
      </c>
    </row>
    <row r="979" spans="1:8" x14ac:dyDescent="0.15">
      <c r="A979">
        <v>43</v>
      </c>
      <c r="B979">
        <v>7</v>
      </c>
      <c r="C979">
        <v>1122656.25</v>
      </c>
      <c r="D979">
        <v>-17563413.791629769</v>
      </c>
      <c r="E979">
        <v>1.5253049608369134E-5</v>
      </c>
      <c r="F979">
        <v>1.5834039417207831E-5</v>
      </c>
      <c r="G979">
        <v>-5.8098980883869677E-7</v>
      </c>
      <c r="H979" t="b">
        <v>1</v>
      </c>
    </row>
    <row r="980" spans="1:8" x14ac:dyDescent="0.15">
      <c r="A980">
        <v>43</v>
      </c>
      <c r="B980">
        <v>8</v>
      </c>
      <c r="C980">
        <v>1169140.625</v>
      </c>
      <c r="D980">
        <v>917405226.39977312</v>
      </c>
      <c r="E980">
        <v>2.7530300034904276E-5</v>
      </c>
      <c r="F980">
        <v>1.5834039417207831E-5</v>
      </c>
      <c r="G980">
        <v>1.1696260617696445E-5</v>
      </c>
      <c r="H980" t="b">
        <v>0</v>
      </c>
    </row>
    <row r="981" spans="1:8" x14ac:dyDescent="0.15">
      <c r="A981">
        <v>43</v>
      </c>
      <c r="B981">
        <v>9</v>
      </c>
      <c r="C981">
        <v>1145898.4375</v>
      </c>
      <c r="D981">
        <v>227793142.50167593</v>
      </c>
      <c r="E981">
        <v>2.0080437455237925E-5</v>
      </c>
      <c r="F981">
        <v>1.5834039417207831E-5</v>
      </c>
      <c r="G981">
        <v>4.2463980380300938E-6</v>
      </c>
      <c r="H981" t="b">
        <v>0</v>
      </c>
    </row>
    <row r="982" spans="1:8" x14ac:dyDescent="0.15">
      <c r="A982">
        <v>43</v>
      </c>
      <c r="B982">
        <v>10</v>
      </c>
      <c r="C982">
        <v>1134277.34375</v>
      </c>
      <c r="D982">
        <v>49030070.36313156</v>
      </c>
      <c r="E982">
        <v>1.7079856774800432E-5</v>
      </c>
      <c r="F982">
        <v>1.5834039417207831E-5</v>
      </c>
      <c r="G982">
        <v>1.2458173575926014E-6</v>
      </c>
      <c r="H982" t="b">
        <v>0</v>
      </c>
    </row>
    <row r="983" spans="1:8" x14ac:dyDescent="0.15">
      <c r="A983">
        <v>43</v>
      </c>
      <c r="B983">
        <v>11</v>
      </c>
      <c r="C983">
        <v>1128466.796875</v>
      </c>
      <c r="D983">
        <v>875030.63236714283</v>
      </c>
      <c r="E983">
        <v>1.5860319607818053E-5</v>
      </c>
      <c r="F983">
        <v>1.5834039417207831E-5</v>
      </c>
      <c r="G983">
        <v>2.6280190610221589E-8</v>
      </c>
      <c r="H983" t="b">
        <v>0</v>
      </c>
    </row>
    <row r="984" spans="1:8" x14ac:dyDescent="0.15">
      <c r="A984">
        <v>43</v>
      </c>
      <c r="B984">
        <v>12</v>
      </c>
      <c r="C984">
        <v>1131372.0703125</v>
      </c>
      <c r="D984">
        <v>20205807.327772431</v>
      </c>
      <c r="E984">
        <v>1.6395726717225816E-5</v>
      </c>
      <c r="F984">
        <v>1.5834039417207831E-5</v>
      </c>
      <c r="G984">
        <v>5.616873000179852E-7</v>
      </c>
      <c r="H984" t="b">
        <v>0</v>
      </c>
    </row>
    <row r="985" spans="1:8" x14ac:dyDescent="0.15">
      <c r="A985">
        <v>43</v>
      </c>
      <c r="B985">
        <v>13</v>
      </c>
      <c r="C985">
        <v>1129919.43359375</v>
      </c>
      <c r="D985">
        <v>7855908.7939794958</v>
      </c>
      <c r="E985">
        <v>1.6062990412543177E-5</v>
      </c>
      <c r="F985">
        <v>1.5834039417207831E-5</v>
      </c>
      <c r="G985">
        <v>2.2895099533534548E-7</v>
      </c>
      <c r="H985" t="b">
        <v>0</v>
      </c>
    </row>
    <row r="986" spans="1:8" x14ac:dyDescent="0.15">
      <c r="A986">
        <v>43</v>
      </c>
      <c r="B986">
        <v>14</v>
      </c>
      <c r="C986">
        <v>1128719.43359375</v>
      </c>
      <c r="D986">
        <v>1775852.7162745041</v>
      </c>
      <c r="E986">
        <v>1.5887159334229671E-5</v>
      </c>
      <c r="F986">
        <v>1.5834039417207831E-5</v>
      </c>
      <c r="G986">
        <v>5.3119917021839585E-8</v>
      </c>
      <c r="H986" t="b">
        <v>0</v>
      </c>
    </row>
    <row r="987" spans="1:8" x14ac:dyDescent="0.15">
      <c r="A987">
        <v>43</v>
      </c>
      <c r="B987">
        <v>15</v>
      </c>
      <c r="C987">
        <v>1127279.43359375</v>
      </c>
      <c r="D987">
        <v>-3245252.883302914</v>
      </c>
      <c r="E987">
        <v>1.573468797273585E-5</v>
      </c>
      <c r="F987">
        <v>1.5834039417207831E-5</v>
      </c>
      <c r="G987">
        <v>-9.9351444471981049E-8</v>
      </c>
      <c r="H987" t="b">
        <v>1</v>
      </c>
    </row>
    <row r="988" spans="1:8" x14ac:dyDescent="0.15">
      <c r="A988">
        <v>43</v>
      </c>
      <c r="B988">
        <v>16</v>
      </c>
      <c r="C988">
        <v>1127999.43359375</v>
      </c>
      <c r="D988">
        <v>-769038.3651616826</v>
      </c>
      <c r="E988">
        <v>1.5810768481745761E-5</v>
      </c>
      <c r="F988">
        <v>1.5834039417207831E-5</v>
      </c>
      <c r="G988">
        <v>-2.3270935462070422E-8</v>
      </c>
      <c r="H988" t="b">
        <v>1</v>
      </c>
    </row>
    <row r="989" spans="1:8" x14ac:dyDescent="0.15">
      <c r="A989">
        <v>43</v>
      </c>
      <c r="B989">
        <v>17</v>
      </c>
      <c r="C989">
        <v>1128719.43359375</v>
      </c>
      <c r="D989">
        <v>1775852.7162745041</v>
      </c>
      <c r="E989">
        <v>1.5887159334229671E-5</v>
      </c>
      <c r="F989">
        <v>1.5834039417207831E-5</v>
      </c>
      <c r="G989">
        <v>5.3119917021839585E-8</v>
      </c>
      <c r="H989" t="b">
        <v>0</v>
      </c>
    </row>
    <row r="990" spans="1:8" x14ac:dyDescent="0.15">
      <c r="A990">
        <v>43</v>
      </c>
      <c r="B990">
        <v>18</v>
      </c>
      <c r="C990">
        <v>1128359.43359375</v>
      </c>
      <c r="D990">
        <v>494814.34017699567</v>
      </c>
      <c r="E990">
        <v>1.5848925994321143E-5</v>
      </c>
      <c r="F990">
        <v>1.5834039417207831E-5</v>
      </c>
      <c r="G990">
        <v>1.4886577113312223E-8</v>
      </c>
      <c r="H990" t="b">
        <v>0</v>
      </c>
    </row>
    <row r="991" spans="1:8" x14ac:dyDescent="0.15">
      <c r="A991">
        <v>43</v>
      </c>
      <c r="B991">
        <v>19</v>
      </c>
      <c r="C991">
        <v>1128539.43359375</v>
      </c>
      <c r="D991">
        <v>1133158.0148336194</v>
      </c>
      <c r="E991">
        <v>1.5868032507078831E-5</v>
      </c>
      <c r="F991">
        <v>1.5834039417207831E-5</v>
      </c>
      <c r="G991">
        <v>3.399308987099957E-8</v>
      </c>
      <c r="H991" t="b">
        <v>0</v>
      </c>
    </row>
    <row r="992" spans="1:8" x14ac:dyDescent="0.15">
      <c r="A992">
        <v>44</v>
      </c>
      <c r="B992">
        <v>1</v>
      </c>
      <c r="C992">
        <v>6050000</v>
      </c>
      <c r="D992">
        <v>5.6357611103756928E+17</v>
      </c>
      <c r="E992">
        <v>99.727556192114847</v>
      </c>
      <c r="F992">
        <v>1.1454191991333573E-5</v>
      </c>
      <c r="G992">
        <v>99.727544737922855</v>
      </c>
      <c r="H992" t="b">
        <v>0</v>
      </c>
    </row>
    <row r="993" spans="1:8" x14ac:dyDescent="0.15">
      <c r="A993">
        <v>44</v>
      </c>
      <c r="B993">
        <v>2</v>
      </c>
      <c r="C993">
        <v>3075000</v>
      </c>
      <c r="D993">
        <v>2057762277100976.5</v>
      </c>
      <c r="E993">
        <v>0.78084810586163267</v>
      </c>
      <c r="F993">
        <v>1.1454191989446194E-5</v>
      </c>
      <c r="G993">
        <v>0.78083665166964322</v>
      </c>
      <c r="H993" t="b">
        <v>0</v>
      </c>
    </row>
    <row r="994" spans="1:8" x14ac:dyDescent="0.15">
      <c r="A994">
        <v>44</v>
      </c>
      <c r="B994">
        <v>3</v>
      </c>
      <c r="C994">
        <v>1587500</v>
      </c>
      <c r="D994">
        <v>45995646914.538254</v>
      </c>
      <c r="E994">
        <v>1.5690904997000009E-4</v>
      </c>
      <c r="F994">
        <v>1.1454191989426218E-5</v>
      </c>
      <c r="G994">
        <v>1.4545485798057387E-4</v>
      </c>
      <c r="H994" t="b">
        <v>0</v>
      </c>
    </row>
    <row r="995" spans="1:8" x14ac:dyDescent="0.15">
      <c r="A995">
        <v>44</v>
      </c>
      <c r="B995">
        <v>4</v>
      </c>
      <c r="C995">
        <v>843750</v>
      </c>
      <c r="D995">
        <v>-96904.32324302799</v>
      </c>
      <c r="E995">
        <v>-1.5957619955711379E-6</v>
      </c>
      <c r="F995">
        <v>1.1454191989426209E-5</v>
      </c>
      <c r="G995">
        <v>-1.3049953984997347E-5</v>
      </c>
      <c r="H995" t="b">
        <v>1</v>
      </c>
    </row>
    <row r="996" spans="1:8" x14ac:dyDescent="0.15">
      <c r="A996">
        <v>44</v>
      </c>
      <c r="B996">
        <v>5</v>
      </c>
      <c r="C996">
        <v>1215625</v>
      </c>
      <c r="D996">
        <v>-8628803.7087541297</v>
      </c>
      <c r="E996">
        <v>6.0244968752918125E-6</v>
      </c>
      <c r="F996">
        <v>1.1454191989426209E-5</v>
      </c>
      <c r="G996">
        <v>-5.4296951141343967E-6</v>
      </c>
      <c r="H996" t="b">
        <v>1</v>
      </c>
    </row>
    <row r="997" spans="1:8" x14ac:dyDescent="0.15">
      <c r="A997">
        <v>44</v>
      </c>
      <c r="B997">
        <v>6</v>
      </c>
      <c r="C997">
        <v>1401562.5</v>
      </c>
      <c r="D997">
        <v>1770530675.2763879</v>
      </c>
      <c r="E997">
        <v>2.4507361058567519E-5</v>
      </c>
      <c r="F997">
        <v>1.1454191989426209E-5</v>
      </c>
      <c r="G997">
        <v>1.305316906914131E-5</v>
      </c>
      <c r="H997" t="b">
        <v>0</v>
      </c>
    </row>
    <row r="998" spans="1:8" x14ac:dyDescent="0.15">
      <c r="A998">
        <v>44</v>
      </c>
      <c r="B998">
        <v>7</v>
      </c>
      <c r="C998">
        <v>1308593.75</v>
      </c>
      <c r="D998">
        <v>-30131624.092115518</v>
      </c>
      <c r="E998">
        <v>1.0612167279245459E-5</v>
      </c>
      <c r="F998">
        <v>1.1454191989426209E-5</v>
      </c>
      <c r="G998">
        <v>-8.4202471018074985E-7</v>
      </c>
      <c r="H998" t="b">
        <v>1</v>
      </c>
    </row>
    <row r="999" spans="1:8" x14ac:dyDescent="0.15">
      <c r="A999">
        <v>44</v>
      </c>
      <c r="B999">
        <v>8</v>
      </c>
      <c r="C999">
        <v>1355078.125</v>
      </c>
      <c r="D999">
        <v>216596257.3486883</v>
      </c>
      <c r="E999">
        <v>1.442098027109809E-5</v>
      </c>
      <c r="F999">
        <v>1.1454191989426209E-5</v>
      </c>
      <c r="G999">
        <v>2.9667882816718812E-6</v>
      </c>
      <c r="H999" t="b">
        <v>0</v>
      </c>
    </row>
    <row r="1000" spans="1:8" x14ac:dyDescent="0.15">
      <c r="A1000">
        <v>44</v>
      </c>
      <c r="B1000">
        <v>9</v>
      </c>
      <c r="C1000">
        <v>1331835.9375</v>
      </c>
      <c r="D1000">
        <v>34789201.993993022</v>
      </c>
      <c r="E1000">
        <v>1.2136564212573702E-5</v>
      </c>
      <c r="F1000">
        <v>1.1454191989426209E-5</v>
      </c>
      <c r="G1000">
        <v>6.8237222314749316E-7</v>
      </c>
      <c r="H1000" t="b">
        <v>0</v>
      </c>
    </row>
    <row r="1001" spans="1:8" x14ac:dyDescent="0.15">
      <c r="A1001">
        <v>44</v>
      </c>
      <c r="B1001">
        <v>10</v>
      </c>
      <c r="C1001">
        <v>1320214.84375</v>
      </c>
      <c r="D1001">
        <v>-4382624.4322931003</v>
      </c>
      <c r="E1001">
        <v>1.1352741018394719E-5</v>
      </c>
      <c r="F1001">
        <v>1.1454191989426209E-5</v>
      </c>
      <c r="G1001">
        <v>-1.0145097103149006E-7</v>
      </c>
      <c r="H1001" t="b">
        <v>1</v>
      </c>
    </row>
    <row r="1002" spans="1:8" x14ac:dyDescent="0.15">
      <c r="A1002">
        <v>44</v>
      </c>
      <c r="B1002">
        <v>11</v>
      </c>
      <c r="C1002">
        <v>1326025.390625</v>
      </c>
      <c r="D1002">
        <v>13405801.281185653</v>
      </c>
      <c r="E1002">
        <v>1.1739134499546785E-5</v>
      </c>
      <c r="F1002">
        <v>1.1454191989426209E-5</v>
      </c>
      <c r="G1002">
        <v>2.8494251012057584E-7</v>
      </c>
      <c r="H1002" t="b">
        <v>0</v>
      </c>
    </row>
    <row r="1003" spans="1:8" x14ac:dyDescent="0.15">
      <c r="A1003">
        <v>44</v>
      </c>
      <c r="B1003">
        <v>12</v>
      </c>
      <c r="C1003">
        <v>1323120.1171875</v>
      </c>
      <c r="D1003">
        <v>4077287.4646472726</v>
      </c>
      <c r="E1003">
        <v>1.1544572985536315E-5</v>
      </c>
      <c r="F1003">
        <v>1.1454191989426209E-5</v>
      </c>
      <c r="G1003">
        <v>9.0380996110105924E-8</v>
      </c>
      <c r="H1003" t="b">
        <v>0</v>
      </c>
    </row>
    <row r="1004" spans="1:8" x14ac:dyDescent="0.15">
      <c r="A1004">
        <v>44</v>
      </c>
      <c r="B1004">
        <v>13</v>
      </c>
      <c r="C1004">
        <v>1321667.48046875</v>
      </c>
      <c r="D1004">
        <v>-259394.68873661981</v>
      </c>
      <c r="E1004">
        <v>1.1448317082705935E-5</v>
      </c>
      <c r="F1004">
        <v>1.1454191989426209E-5</v>
      </c>
      <c r="G1004">
        <v>-5.8749067202740906E-9</v>
      </c>
      <c r="H1004" t="b">
        <v>1</v>
      </c>
    </row>
    <row r="1005" spans="1:8" x14ac:dyDescent="0.15">
      <c r="A1005">
        <v>44</v>
      </c>
      <c r="B1005">
        <v>14</v>
      </c>
      <c r="C1005">
        <v>1322167.48046875</v>
      </c>
      <c r="D1005">
        <v>1209011.9094650543</v>
      </c>
      <c r="E1005">
        <v>1.1481371473065745E-5</v>
      </c>
      <c r="F1005">
        <v>1.1454191989426209E-5</v>
      </c>
      <c r="G1005">
        <v>2.7179483639535855E-8</v>
      </c>
      <c r="H1005" t="b">
        <v>0</v>
      </c>
    </row>
    <row r="1006" spans="1:8" x14ac:dyDescent="0.15">
      <c r="A1006">
        <v>44</v>
      </c>
      <c r="B1006">
        <v>15</v>
      </c>
      <c r="C1006">
        <v>1322767.48046875</v>
      </c>
      <c r="D1006">
        <v>3004719.760349289</v>
      </c>
      <c r="E1006">
        <v>1.1521143795507548E-5</v>
      </c>
      <c r="F1006">
        <v>1.1454191989426209E-5</v>
      </c>
      <c r="G1006">
        <v>6.6951806081339132E-8</v>
      </c>
      <c r="H1006" t="b">
        <v>0</v>
      </c>
    </row>
    <row r="1007" spans="1:8" x14ac:dyDescent="0.15">
      <c r="A1007">
        <v>44</v>
      </c>
      <c r="B1007">
        <v>16</v>
      </c>
      <c r="C1007">
        <v>1322467.48046875</v>
      </c>
      <c r="D1007">
        <v>2102256.1461212747</v>
      </c>
      <c r="E1007">
        <v>1.1501242791427454E-5</v>
      </c>
      <c r="F1007">
        <v>1.1454191989426209E-5</v>
      </c>
      <c r="G1007">
        <v>4.7050802001245124E-8</v>
      </c>
      <c r="H1007" t="b">
        <v>0</v>
      </c>
    </row>
    <row r="1008" spans="1:8" x14ac:dyDescent="0.15">
      <c r="A1008">
        <v>44</v>
      </c>
      <c r="B1008">
        <v>17</v>
      </c>
      <c r="C1008">
        <v>1322107.48046875</v>
      </c>
      <c r="D1008">
        <v>1031463.0187258761</v>
      </c>
      <c r="E1008">
        <v>1.1477400692776199E-5</v>
      </c>
      <c r="F1008">
        <v>1.1454191989426209E-5</v>
      </c>
      <c r="G1008">
        <v>2.320870334998974E-8</v>
      </c>
      <c r="H1008" t="b">
        <v>0</v>
      </c>
    </row>
    <row r="1009" spans="1:8" x14ac:dyDescent="0.15">
      <c r="A1009">
        <v>44</v>
      </c>
      <c r="B1009">
        <v>18</v>
      </c>
      <c r="C1009">
        <v>1322287.48046875</v>
      </c>
      <c r="D1009">
        <v>1565237.2762599313</v>
      </c>
      <c r="E1009">
        <v>1.1489317149063699E-5</v>
      </c>
      <c r="F1009">
        <v>1.1454191989426209E-5</v>
      </c>
      <c r="G1009">
        <v>3.51251596374899E-8</v>
      </c>
      <c r="H1009" t="b">
        <v>0</v>
      </c>
    </row>
    <row r="1010" spans="1:8" x14ac:dyDescent="0.15">
      <c r="A1010">
        <v>44</v>
      </c>
      <c r="B1010">
        <v>19</v>
      </c>
      <c r="C1010">
        <v>1322197.48046875</v>
      </c>
      <c r="D1010">
        <v>1297923.7011940391</v>
      </c>
      <c r="E1010">
        <v>1.1483357298494062E-5</v>
      </c>
      <c r="F1010">
        <v>1.1454191989426209E-5</v>
      </c>
      <c r="G1010">
        <v>2.9165309067852335E-8</v>
      </c>
      <c r="H1010" t="b">
        <v>0</v>
      </c>
    </row>
    <row r="1011" spans="1:8" x14ac:dyDescent="0.15">
      <c r="A1011">
        <v>44</v>
      </c>
      <c r="B1011">
        <v>20</v>
      </c>
      <c r="C1011">
        <v>1322242.48046875</v>
      </c>
      <c r="D1011">
        <v>1431463.1643930438</v>
      </c>
      <c r="E1011">
        <v>1.1486336580828707E-5</v>
      </c>
      <c r="F1011">
        <v>1.1454191989426209E-5</v>
      </c>
      <c r="G1011">
        <v>3.2144591402497933E-8</v>
      </c>
      <c r="H1011" t="b">
        <v>0</v>
      </c>
    </row>
    <row r="1012" spans="1:8" x14ac:dyDescent="0.15">
      <c r="A1012">
        <v>44</v>
      </c>
      <c r="B1012">
        <v>21</v>
      </c>
      <c r="C1012">
        <v>1322219.98046875</v>
      </c>
      <c r="D1012">
        <v>1364667.6610542468</v>
      </c>
      <c r="E1012">
        <v>1.1484846858027589E-5</v>
      </c>
      <c r="F1012">
        <v>1.1454191989426209E-5</v>
      </c>
      <c r="G1012">
        <v>3.0654868601379578E-8</v>
      </c>
      <c r="H1012" t="b">
        <v>0</v>
      </c>
    </row>
    <row r="1013" spans="1:8" x14ac:dyDescent="0.15">
      <c r="A1013">
        <v>44</v>
      </c>
      <c r="B1013">
        <v>22</v>
      </c>
      <c r="C1013">
        <v>1322192.98046875</v>
      </c>
      <c r="D1013">
        <v>1284581.0932158155</v>
      </c>
      <c r="E1013">
        <v>1.14830594061783E-5</v>
      </c>
      <c r="F1013">
        <v>1.1454191989426209E-5</v>
      </c>
      <c r="G1013">
        <v>2.8867416752090947E-8</v>
      </c>
      <c r="H1013" t="b">
        <v>0</v>
      </c>
    </row>
    <row r="1014" spans="1:8" x14ac:dyDescent="0.15">
      <c r="A1014">
        <v>44</v>
      </c>
      <c r="B1014">
        <v>23</v>
      </c>
      <c r="C1014">
        <v>1322206.48046875</v>
      </c>
      <c r="D1014">
        <v>1324643.4364098536</v>
      </c>
      <c r="E1014">
        <v>1.1483953735138282E-5</v>
      </c>
      <c r="F1014">
        <v>1.1454191989426209E-5</v>
      </c>
      <c r="G1014">
        <v>2.9761745712073229E-8</v>
      </c>
      <c r="H1014" t="b">
        <v>0</v>
      </c>
    </row>
    <row r="1015" spans="1:8" x14ac:dyDescent="0.15">
      <c r="A1015">
        <v>45</v>
      </c>
      <c r="B1015">
        <v>1</v>
      </c>
      <c r="C1015">
        <v>6050000</v>
      </c>
      <c r="D1015">
        <v>2.0575065543031091E+17</v>
      </c>
      <c r="E1015">
        <v>27.266871036975182</v>
      </c>
      <c r="F1015">
        <v>8.4377409095282019E-6</v>
      </c>
      <c r="G1015">
        <v>27.266862599234273</v>
      </c>
      <c r="H1015" t="b">
        <v>0</v>
      </c>
    </row>
    <row r="1016" spans="1:8" x14ac:dyDescent="0.15">
      <c r="A1016">
        <v>45</v>
      </c>
      <c r="B1016">
        <v>2</v>
      </c>
      <c r="C1016">
        <v>3075000</v>
      </c>
      <c r="D1016">
        <v>294704650835310.88</v>
      </c>
      <c r="E1016">
        <v>0.10184244009116297</v>
      </c>
      <c r="F1016">
        <v>8.4377409085845123E-6</v>
      </c>
      <c r="G1016">
        <v>0.10183400235025439</v>
      </c>
      <c r="H1016" t="b">
        <v>0</v>
      </c>
    </row>
    <row r="1017" spans="1:8" x14ac:dyDescent="0.15">
      <c r="A1017">
        <v>45</v>
      </c>
      <c r="B1017">
        <v>3</v>
      </c>
      <c r="C1017">
        <v>1587500</v>
      </c>
      <c r="D1017">
        <v>524783002.6382423</v>
      </c>
      <c r="E1017">
        <v>1.2577993312068926E-5</v>
      </c>
      <c r="F1017">
        <v>8.4377409085819746E-6</v>
      </c>
      <c r="G1017">
        <v>4.1402524034869518E-6</v>
      </c>
      <c r="H1017" t="b">
        <v>0</v>
      </c>
    </row>
    <row r="1018" spans="1:8" x14ac:dyDescent="0.15">
      <c r="A1018">
        <v>45</v>
      </c>
      <c r="B1018">
        <v>4</v>
      </c>
      <c r="C1018">
        <v>843750</v>
      </c>
      <c r="D1018">
        <v>-44618.932554554027</v>
      </c>
      <c r="E1018">
        <v>-3.9247130516247155E-6</v>
      </c>
      <c r="F1018">
        <v>8.4377409085819746E-6</v>
      </c>
      <c r="G1018">
        <v>-1.236245396020669E-5</v>
      </c>
      <c r="H1018" t="b">
        <v>1</v>
      </c>
    </row>
    <row r="1019" spans="1:8" x14ac:dyDescent="0.15">
      <c r="A1019">
        <v>45</v>
      </c>
      <c r="B1019">
        <v>5</v>
      </c>
      <c r="C1019">
        <v>1215625</v>
      </c>
      <c r="D1019">
        <v>-535030.80243752094</v>
      </c>
      <c r="E1019">
        <v>1.682103301213718E-6</v>
      </c>
      <c r="F1019">
        <v>8.4377409085819746E-6</v>
      </c>
      <c r="G1019">
        <v>-6.7556376073682568E-6</v>
      </c>
      <c r="H1019" t="b">
        <v>1</v>
      </c>
    </row>
    <row r="1020" spans="1:8" x14ac:dyDescent="0.15">
      <c r="A1020">
        <v>45</v>
      </c>
      <c r="B1020">
        <v>6</v>
      </c>
      <c r="C1020">
        <v>1401562.5</v>
      </c>
      <c r="D1020">
        <v>-10133459.53364387</v>
      </c>
      <c r="E1020">
        <v>4.6886338731993321E-6</v>
      </c>
      <c r="F1020">
        <v>8.4377409085819746E-6</v>
      </c>
      <c r="G1020">
        <v>-3.7491070353826425E-6</v>
      </c>
      <c r="H1020" t="b">
        <v>1</v>
      </c>
    </row>
    <row r="1021" spans="1:8" x14ac:dyDescent="0.15">
      <c r="A1021">
        <v>45</v>
      </c>
      <c r="B1021">
        <v>7</v>
      </c>
      <c r="C1021">
        <v>1494531.25</v>
      </c>
      <c r="D1021">
        <v>-32331537.882135931</v>
      </c>
      <c r="E1021">
        <v>7.624108567268068E-6</v>
      </c>
      <c r="F1021">
        <v>8.4377409085819746E-6</v>
      </c>
      <c r="G1021">
        <v>-8.1363234131390663E-7</v>
      </c>
      <c r="H1021" t="b">
        <v>1</v>
      </c>
    </row>
    <row r="1022" spans="1:8" x14ac:dyDescent="0.15">
      <c r="A1022">
        <v>45</v>
      </c>
      <c r="B1022">
        <v>8</v>
      </c>
      <c r="C1022">
        <v>1541015.625</v>
      </c>
      <c r="D1022">
        <v>87855388.615811095</v>
      </c>
      <c r="E1022">
        <v>9.6036741928868778E-6</v>
      </c>
      <c r="F1022">
        <v>8.4377409085819746E-6</v>
      </c>
      <c r="G1022">
        <v>1.1659332843049032E-6</v>
      </c>
      <c r="H1022" t="b">
        <v>0</v>
      </c>
    </row>
    <row r="1023" spans="1:8" x14ac:dyDescent="0.15">
      <c r="A1023">
        <v>45</v>
      </c>
      <c r="B1023">
        <v>9</v>
      </c>
      <c r="C1023">
        <v>1517773.4375</v>
      </c>
      <c r="D1023">
        <v>7330147.2005258314</v>
      </c>
      <c r="E1023">
        <v>8.5670235392701894E-6</v>
      </c>
      <c r="F1023">
        <v>8.4377409085819746E-6</v>
      </c>
      <c r="G1023">
        <v>1.2928263068821476E-7</v>
      </c>
      <c r="H1023" t="b">
        <v>0</v>
      </c>
    </row>
    <row r="1024" spans="1:8" x14ac:dyDescent="0.15">
      <c r="A1024">
        <v>45</v>
      </c>
      <c r="B1024">
        <v>10</v>
      </c>
      <c r="C1024">
        <v>1506152.34375</v>
      </c>
      <c r="D1024">
        <v>-16980027.086967152</v>
      </c>
      <c r="E1024">
        <v>8.0838354195610851E-6</v>
      </c>
      <c r="F1024">
        <v>8.4377409085819746E-6</v>
      </c>
      <c r="G1024">
        <v>-3.5390548902088955E-7</v>
      </c>
      <c r="H1024" t="b">
        <v>1</v>
      </c>
    </row>
    <row r="1025" spans="1:8" x14ac:dyDescent="0.15">
      <c r="A1025">
        <v>45</v>
      </c>
      <c r="B1025">
        <v>11</v>
      </c>
      <c r="C1025">
        <v>1511962.890625</v>
      </c>
      <c r="D1025">
        <v>-6027944.4739566799</v>
      </c>
      <c r="E1025">
        <v>8.3224437877209977E-6</v>
      </c>
      <c r="F1025">
        <v>8.4377409085819746E-6</v>
      </c>
      <c r="G1025">
        <v>-1.1529712086097692E-7</v>
      </c>
      <c r="H1025" t="b">
        <v>1</v>
      </c>
    </row>
    <row r="1026" spans="1:8" x14ac:dyDescent="0.15">
      <c r="A1026">
        <v>45</v>
      </c>
      <c r="B1026">
        <v>12</v>
      </c>
      <c r="C1026">
        <v>1514868.1640625</v>
      </c>
      <c r="D1026">
        <v>339910.07677811879</v>
      </c>
      <c r="E1026">
        <v>8.4439805045534077E-6</v>
      </c>
      <c r="F1026">
        <v>8.4377409085819746E-6</v>
      </c>
      <c r="G1026">
        <v>6.2395959714330713E-9</v>
      </c>
      <c r="H1026" t="b">
        <v>0</v>
      </c>
    </row>
    <row r="1027" spans="1:8" x14ac:dyDescent="0.15">
      <c r="A1027">
        <v>45</v>
      </c>
      <c r="B1027">
        <v>13</v>
      </c>
      <c r="C1027">
        <v>1516320.80078125</v>
      </c>
      <c r="D1027">
        <v>3755912.8340928024</v>
      </c>
      <c r="E1027">
        <v>8.5053127288086769E-6</v>
      </c>
      <c r="F1027">
        <v>8.4377409085819746E-6</v>
      </c>
      <c r="G1027">
        <v>6.757182022670228E-8</v>
      </c>
      <c r="H1027" t="b">
        <v>0</v>
      </c>
    </row>
    <row r="1028" spans="1:8" x14ac:dyDescent="0.15">
      <c r="A1028">
        <v>45</v>
      </c>
      <c r="B1028">
        <v>14</v>
      </c>
      <c r="C1028">
        <v>1515820.80078125</v>
      </c>
      <c r="D1028">
        <v>2562421.2362982961</v>
      </c>
      <c r="E1028">
        <v>8.4841599341153495E-6</v>
      </c>
      <c r="F1028">
        <v>8.4377409085819746E-6</v>
      </c>
      <c r="G1028">
        <v>4.6419025533374925E-8</v>
      </c>
      <c r="H1028" t="b">
        <v>0</v>
      </c>
    </row>
    <row r="1029" spans="1:8" x14ac:dyDescent="0.15">
      <c r="A1029">
        <v>45</v>
      </c>
      <c r="B1029">
        <v>15</v>
      </c>
      <c r="C1029">
        <v>1515220.80078125</v>
      </c>
      <c r="D1029">
        <v>1154791.072784625</v>
      </c>
      <c r="E1029">
        <v>8.4588350743031634E-6</v>
      </c>
      <c r="F1029">
        <v>8.4377409085819746E-6</v>
      </c>
      <c r="G1029">
        <v>2.1094165721188845E-8</v>
      </c>
      <c r="H1029" t="b">
        <v>0</v>
      </c>
    </row>
    <row r="1030" spans="1:8" x14ac:dyDescent="0.15">
      <c r="A1030">
        <v>45</v>
      </c>
      <c r="B1030">
        <v>16</v>
      </c>
      <c r="C1030">
        <v>1515520.80078125</v>
      </c>
      <c r="D1030">
        <v>1855263.123745597</v>
      </c>
      <c r="E1030">
        <v>8.4714894600137071E-6</v>
      </c>
      <c r="F1030">
        <v>8.4377409085819746E-6</v>
      </c>
      <c r="G1030">
        <v>3.3748551431732514E-8</v>
      </c>
      <c r="H1030" t="b">
        <v>0</v>
      </c>
    </row>
    <row r="1031" spans="1:8" x14ac:dyDescent="0.15">
      <c r="A1031">
        <v>45</v>
      </c>
      <c r="B1031">
        <v>17</v>
      </c>
      <c r="C1031">
        <v>1515370.80078125</v>
      </c>
      <c r="D1031">
        <v>1504167.797493615</v>
      </c>
      <c r="E1031">
        <v>8.4651598056856127E-6</v>
      </c>
      <c r="F1031">
        <v>8.4377409085819746E-6</v>
      </c>
      <c r="G1031">
        <v>2.7418897103638067E-8</v>
      </c>
      <c r="H1031" t="b">
        <v>0</v>
      </c>
    </row>
    <row r="1032" spans="1:8" x14ac:dyDescent="0.15">
      <c r="A1032">
        <v>46</v>
      </c>
      <c r="B1032">
        <v>1</v>
      </c>
      <c r="C1032">
        <v>6050000</v>
      </c>
      <c r="D1032">
        <v>1.4260496952837192E+18</v>
      </c>
      <c r="E1032">
        <v>536.87092199999995</v>
      </c>
      <c r="F1032">
        <v>2.4228921233770961E-5</v>
      </c>
      <c r="G1032">
        <v>536.87089777107872</v>
      </c>
      <c r="H1032" t="b">
        <v>0</v>
      </c>
    </row>
    <row r="1033" spans="1:8" x14ac:dyDescent="0.15">
      <c r="A1033">
        <v>46</v>
      </c>
      <c r="B1033">
        <v>2</v>
      </c>
      <c r="C1033">
        <v>3075000</v>
      </c>
      <c r="D1033">
        <v>1.4260496952837192E+18</v>
      </c>
      <c r="E1033">
        <v>536.87092200000006</v>
      </c>
      <c r="F1033">
        <v>2.4228921233770961E-5</v>
      </c>
      <c r="G1033">
        <v>536.87089777107883</v>
      </c>
      <c r="H1033" t="b">
        <v>0</v>
      </c>
    </row>
    <row r="1034" spans="1:8" x14ac:dyDescent="0.15">
      <c r="A1034">
        <v>46</v>
      </c>
      <c r="B1034">
        <v>3</v>
      </c>
      <c r="C1034">
        <v>1587500</v>
      </c>
      <c r="D1034">
        <v>529215209324566.31</v>
      </c>
      <c r="E1034">
        <v>0.56983587379096279</v>
      </c>
      <c r="F1034">
        <v>2.4228921185698304E-5</v>
      </c>
      <c r="G1034">
        <v>0.56981164486977709</v>
      </c>
      <c r="H1034" t="b">
        <v>0</v>
      </c>
    </row>
    <row r="1035" spans="1:8" x14ac:dyDescent="0.15">
      <c r="A1035">
        <v>46</v>
      </c>
      <c r="B1035">
        <v>4</v>
      </c>
      <c r="C1035">
        <v>843750</v>
      </c>
      <c r="D1035">
        <v>-2911637.5468679843</v>
      </c>
      <c r="E1035">
        <v>1.0112095406565443E-5</v>
      </c>
      <c r="F1035">
        <v>2.4228921185705779E-5</v>
      </c>
      <c r="G1035">
        <v>-1.4116825779140336E-5</v>
      </c>
      <c r="H1035" t="b">
        <v>1</v>
      </c>
    </row>
    <row r="1036" spans="1:8" x14ac:dyDescent="0.15">
      <c r="A1036">
        <v>46</v>
      </c>
      <c r="B1036">
        <v>5</v>
      </c>
      <c r="C1036">
        <v>1215625</v>
      </c>
      <c r="D1036">
        <v>1577039661935.6111</v>
      </c>
      <c r="E1036">
        <v>4.7884935835256848E-3</v>
      </c>
      <c r="F1036">
        <v>2.4228921185706111E-5</v>
      </c>
      <c r="G1036">
        <v>4.7642646623399787E-3</v>
      </c>
      <c r="H1036" t="b">
        <v>0</v>
      </c>
    </row>
    <row r="1037" spans="1:8" x14ac:dyDescent="0.15">
      <c r="A1037">
        <v>46</v>
      </c>
      <c r="B1037">
        <v>6</v>
      </c>
      <c r="C1037">
        <v>1029687.5</v>
      </c>
      <c r="D1037">
        <v>34741945940.521942</v>
      </c>
      <c r="E1037">
        <v>2.7060542950980927E-4</v>
      </c>
      <c r="F1037">
        <v>2.4228921185705785E-5</v>
      </c>
      <c r="G1037">
        <v>2.4637650832410349E-4</v>
      </c>
      <c r="H1037" t="b">
        <v>0</v>
      </c>
    </row>
    <row r="1038" spans="1:8" x14ac:dyDescent="0.15">
      <c r="A1038">
        <v>46</v>
      </c>
      <c r="B1038">
        <v>7</v>
      </c>
      <c r="C1038">
        <v>936718.75</v>
      </c>
      <c r="D1038">
        <v>1560653990.4482911</v>
      </c>
      <c r="E1038">
        <v>4.758394555851693E-5</v>
      </c>
      <c r="F1038">
        <v>2.4228921185705779E-5</v>
      </c>
      <c r="G1038">
        <v>2.3355024372811152E-5</v>
      </c>
      <c r="H1038" t="b">
        <v>0</v>
      </c>
    </row>
    <row r="1039" spans="1:8" x14ac:dyDescent="0.15">
      <c r="A1039">
        <v>46</v>
      </c>
      <c r="B1039">
        <v>8</v>
      </c>
      <c r="C1039">
        <v>890234.375</v>
      </c>
      <c r="D1039">
        <v>-95908365.966726586</v>
      </c>
      <c r="E1039">
        <v>1.7869969176528431E-5</v>
      </c>
      <c r="F1039">
        <v>2.4228921185705779E-5</v>
      </c>
      <c r="G1039">
        <v>-6.3589520091773478E-6</v>
      </c>
      <c r="H1039" t="b">
        <v>1</v>
      </c>
    </row>
    <row r="1040" spans="1:8" x14ac:dyDescent="0.15">
      <c r="A1040">
        <v>46</v>
      </c>
      <c r="B1040">
        <v>9</v>
      </c>
      <c r="C1040">
        <v>913476.5625</v>
      </c>
      <c r="D1040">
        <v>255249741.15688369</v>
      </c>
      <c r="E1040">
        <v>2.9469169385184707E-5</v>
      </c>
      <c r="F1040">
        <v>2.4228921185705779E-5</v>
      </c>
      <c r="G1040">
        <v>5.240248199478928E-6</v>
      </c>
      <c r="H1040" t="b">
        <v>0</v>
      </c>
    </row>
    <row r="1041" spans="1:8" x14ac:dyDescent="0.15">
      <c r="A1041">
        <v>46</v>
      </c>
      <c r="B1041">
        <v>10</v>
      </c>
      <c r="C1041">
        <v>901855.46875</v>
      </c>
      <c r="D1041">
        <v>-38537972.655733436</v>
      </c>
      <c r="E1041">
        <v>2.3008471290526693E-5</v>
      </c>
      <c r="F1041">
        <v>2.4228921185705779E-5</v>
      </c>
      <c r="G1041">
        <v>-1.2204498951790861E-6</v>
      </c>
      <c r="H1041" t="b">
        <v>1</v>
      </c>
    </row>
    <row r="1042" spans="1:8" x14ac:dyDescent="0.15">
      <c r="A1042">
        <v>46</v>
      </c>
      <c r="B1042">
        <v>11</v>
      </c>
      <c r="C1042">
        <v>907666.015625</v>
      </c>
      <c r="D1042">
        <v>74070702.318555668</v>
      </c>
      <c r="E1042">
        <v>2.605600673881912E-5</v>
      </c>
      <c r="F1042">
        <v>2.4228921185705779E-5</v>
      </c>
      <c r="G1042">
        <v>1.8270855531133417E-6</v>
      </c>
      <c r="H1042" t="b">
        <v>0</v>
      </c>
    </row>
    <row r="1043" spans="1:8" x14ac:dyDescent="0.15">
      <c r="A1043">
        <v>46</v>
      </c>
      <c r="B1043">
        <v>12</v>
      </c>
      <c r="C1043">
        <v>904760.7421875</v>
      </c>
      <c r="D1043">
        <v>9359465.2199672516</v>
      </c>
      <c r="E1043">
        <v>2.4488856902782282E-5</v>
      </c>
      <c r="F1043">
        <v>2.4228921185705779E-5</v>
      </c>
      <c r="G1043">
        <v>2.5993571707650371E-7</v>
      </c>
      <c r="H1043" t="b">
        <v>0</v>
      </c>
    </row>
    <row r="1044" spans="1:8" x14ac:dyDescent="0.15">
      <c r="A1044">
        <v>46</v>
      </c>
      <c r="B1044">
        <v>13</v>
      </c>
      <c r="C1044">
        <v>903308.10546875</v>
      </c>
      <c r="D1044">
        <v>-16579388.731548045</v>
      </c>
      <c r="E1044">
        <v>2.3738095435603334E-5</v>
      </c>
      <c r="F1044">
        <v>2.4228921185705779E-5</v>
      </c>
      <c r="G1044">
        <v>-4.9082575010244445E-7</v>
      </c>
      <c r="H1044" t="b">
        <v>1</v>
      </c>
    </row>
    <row r="1045" spans="1:8" x14ac:dyDescent="0.15">
      <c r="A1045">
        <v>46</v>
      </c>
      <c r="B1045">
        <v>14</v>
      </c>
      <c r="C1045">
        <v>903808.10546875</v>
      </c>
      <c r="D1045">
        <v>-8111424.4579786398</v>
      </c>
      <c r="E1045">
        <v>2.3994097303862285E-5</v>
      </c>
      <c r="F1045">
        <v>2.4228921185705779E-5</v>
      </c>
      <c r="G1045">
        <v>-2.348238818434936E-7</v>
      </c>
      <c r="H1045" t="b">
        <v>1</v>
      </c>
    </row>
    <row r="1046" spans="1:8" x14ac:dyDescent="0.15">
      <c r="A1046">
        <v>46</v>
      </c>
      <c r="B1046">
        <v>15</v>
      </c>
      <c r="C1046">
        <v>904308.10546875</v>
      </c>
      <c r="D1046">
        <v>836817.10391017748</v>
      </c>
      <c r="E1046">
        <v>2.4252620532334759E-5</v>
      </c>
      <c r="F1046">
        <v>2.4228921185705779E-5</v>
      </c>
      <c r="G1046">
        <v>2.3699346628980664E-8</v>
      </c>
      <c r="H1046" t="b">
        <v>0</v>
      </c>
    </row>
    <row r="1047" spans="1:8" x14ac:dyDescent="0.15">
      <c r="A1047">
        <v>46</v>
      </c>
      <c r="B1047">
        <v>16</v>
      </c>
      <c r="C1047">
        <v>904908.10546875</v>
      </c>
      <c r="D1047">
        <v>12221718.83552815</v>
      </c>
      <c r="E1047">
        <v>2.4566217749593894E-5</v>
      </c>
      <c r="F1047">
        <v>2.4228921185705779E-5</v>
      </c>
      <c r="G1047">
        <v>3.3729656388811538E-7</v>
      </c>
      <c r="H1047" t="b">
        <v>0</v>
      </c>
    </row>
    <row r="1048" spans="1:8" x14ac:dyDescent="0.15">
      <c r="A1048">
        <v>46</v>
      </c>
      <c r="B1048">
        <v>17</v>
      </c>
      <c r="C1048">
        <v>904608.10546875</v>
      </c>
      <c r="D1048">
        <v>6440268.9840921005</v>
      </c>
      <c r="E1048">
        <v>2.4408960387688976E-5</v>
      </c>
      <c r="F1048">
        <v>2.4228921185705779E-5</v>
      </c>
      <c r="G1048">
        <v>1.8003920198319707E-7</v>
      </c>
      <c r="H1048" t="b">
        <v>0</v>
      </c>
    </row>
    <row r="1049" spans="1:8" x14ac:dyDescent="0.15">
      <c r="A1049">
        <v>46</v>
      </c>
      <c r="B1049">
        <v>18</v>
      </c>
      <c r="C1049">
        <v>904248.10546875</v>
      </c>
      <c r="D1049">
        <v>-262560.6153844276</v>
      </c>
      <c r="E1049">
        <v>2.422146578382667E-5</v>
      </c>
      <c r="F1049">
        <v>2.4228921185705779E-5</v>
      </c>
      <c r="G1049">
        <v>-7.4554018791082139E-9</v>
      </c>
      <c r="H1049" t="b">
        <v>1</v>
      </c>
    </row>
    <row r="1050" spans="1:8" x14ac:dyDescent="0.15">
      <c r="A1050">
        <v>46</v>
      </c>
      <c r="B1050">
        <v>19</v>
      </c>
      <c r="C1050">
        <v>904428.10546875</v>
      </c>
      <c r="D1050">
        <v>3056906.6449672789</v>
      </c>
      <c r="E1050">
        <v>2.431504509945352E-5</v>
      </c>
      <c r="F1050">
        <v>2.4228921185705779E-5</v>
      </c>
      <c r="G1050">
        <v>8.6123913747740926E-8</v>
      </c>
      <c r="H1050" t="b">
        <v>0</v>
      </c>
    </row>
    <row r="1051" spans="1:8" x14ac:dyDescent="0.15">
      <c r="A1051">
        <v>46</v>
      </c>
      <c r="B1051">
        <v>20</v>
      </c>
      <c r="C1051">
        <v>904338.10546875</v>
      </c>
      <c r="D1051">
        <v>1389191.4417868876</v>
      </c>
      <c r="E1051">
        <v>2.4268212898411427E-5</v>
      </c>
      <c r="F1051">
        <v>2.4228921185705779E-5</v>
      </c>
      <c r="G1051">
        <v>3.9291712705648106E-8</v>
      </c>
      <c r="H1051" t="b">
        <v>0</v>
      </c>
    </row>
    <row r="1052" spans="1:8" x14ac:dyDescent="0.15">
      <c r="A1052">
        <v>46</v>
      </c>
      <c r="B1052">
        <v>21</v>
      </c>
      <c r="C1052">
        <v>904230.10546875</v>
      </c>
      <c r="D1052">
        <v>-591028.00702150073</v>
      </c>
      <c r="E1052">
        <v>2.4212125770909784E-5</v>
      </c>
      <c r="F1052">
        <v>2.4228921185705779E-5</v>
      </c>
      <c r="G1052">
        <v>-1.6795414795994215E-8</v>
      </c>
      <c r="H1052" t="b">
        <v>1</v>
      </c>
    </row>
    <row r="1053" spans="1:8" x14ac:dyDescent="0.15">
      <c r="A1053">
        <v>46</v>
      </c>
      <c r="B1053">
        <v>22</v>
      </c>
      <c r="C1053">
        <v>904284.10546875</v>
      </c>
      <c r="D1053">
        <v>396186.43491224525</v>
      </c>
      <c r="E1053">
        <v>2.4240153246168476E-5</v>
      </c>
      <c r="F1053">
        <v>2.4228921185705779E-5</v>
      </c>
      <c r="G1053">
        <v>1.1232060462697501E-8</v>
      </c>
      <c r="H1053" t="b">
        <v>0</v>
      </c>
    </row>
    <row r="1054" spans="1:8" x14ac:dyDescent="0.15">
      <c r="A1054">
        <v>46</v>
      </c>
      <c r="B1054">
        <v>23</v>
      </c>
      <c r="C1054">
        <v>904348.90546875005</v>
      </c>
      <c r="D1054">
        <v>1588477.9417270815</v>
      </c>
      <c r="E1054">
        <v>2.427382839733844E-5</v>
      </c>
      <c r="F1054">
        <v>2.4228921185705779E-5</v>
      </c>
      <c r="G1054">
        <v>4.4907211632661816E-8</v>
      </c>
      <c r="H1054" t="b">
        <v>0</v>
      </c>
    </row>
    <row r="1055" spans="1:8" x14ac:dyDescent="0.15">
      <c r="A1055">
        <v>46</v>
      </c>
      <c r="B1055">
        <v>24</v>
      </c>
      <c r="C1055">
        <v>904316.50546875002</v>
      </c>
      <c r="D1055">
        <v>991391.50894936267</v>
      </c>
      <c r="E1055">
        <v>2.4256987935253803E-5</v>
      </c>
      <c r="F1055">
        <v>2.4228921185705779E-5</v>
      </c>
      <c r="G1055">
        <v>2.8066749548024571E-8</v>
      </c>
      <c r="H1055" t="b">
        <v>0</v>
      </c>
    </row>
    <row r="1056" spans="1:8" x14ac:dyDescent="0.15">
      <c r="A1056">
        <v>46</v>
      </c>
      <c r="B1056">
        <v>25</v>
      </c>
      <c r="C1056">
        <v>904277.62546875002</v>
      </c>
      <c r="D1056">
        <v>277496.29562495422</v>
      </c>
      <c r="E1056">
        <v>2.4236790548711051E-5</v>
      </c>
      <c r="F1056">
        <v>2.4228921185705779E-5</v>
      </c>
      <c r="G1056">
        <v>7.8693630052722465E-9</v>
      </c>
      <c r="H1056" t="b">
        <v>0</v>
      </c>
    </row>
    <row r="1057" spans="1:8" x14ac:dyDescent="0.15">
      <c r="A1057">
        <v>46</v>
      </c>
      <c r="B1057">
        <v>26</v>
      </c>
      <c r="C1057">
        <v>904297.06546874996</v>
      </c>
      <c r="D1057">
        <v>633986.99160026642</v>
      </c>
      <c r="E1057">
        <v>2.4246884851496217E-5</v>
      </c>
      <c r="F1057">
        <v>2.4228921185705779E-5</v>
      </c>
      <c r="G1057">
        <v>1.7963665790438749E-8</v>
      </c>
      <c r="H1057" t="b">
        <v>0</v>
      </c>
    </row>
    <row r="1058" spans="1:8" x14ac:dyDescent="0.15">
      <c r="A1058">
        <v>46</v>
      </c>
      <c r="B1058">
        <v>27</v>
      </c>
      <c r="C1058">
        <v>904320.39346874994</v>
      </c>
      <c r="D1058">
        <v>1062856.4595959878</v>
      </c>
      <c r="E1058">
        <v>2.4259006055737945E-5</v>
      </c>
      <c r="F1058">
        <v>2.4228921185705779E-5</v>
      </c>
      <c r="G1058">
        <v>3.0084870032166393E-8</v>
      </c>
      <c r="H1058" t="b">
        <v>0</v>
      </c>
    </row>
    <row r="1059" spans="1:8" x14ac:dyDescent="0.15">
      <c r="A1059">
        <v>46</v>
      </c>
      <c r="B1059">
        <v>28</v>
      </c>
      <c r="C1059">
        <v>904308.72946874995</v>
      </c>
      <c r="D1059">
        <v>848288.53875638219</v>
      </c>
      <c r="E1059">
        <v>2.4252944760090707E-5</v>
      </c>
      <c r="F1059">
        <v>2.4228921185705779E-5</v>
      </c>
      <c r="G1059">
        <v>2.4023574384928479E-8</v>
      </c>
      <c r="H1059" t="b">
        <v>0</v>
      </c>
    </row>
    <row r="1060" spans="1:8" x14ac:dyDescent="0.15">
      <c r="A1060">
        <v>46</v>
      </c>
      <c r="B1060">
        <v>29</v>
      </c>
      <c r="C1060">
        <v>904314.56146875001</v>
      </c>
      <c r="D1060">
        <v>955539.19520925358</v>
      </c>
      <c r="E1060">
        <v>2.4255975234513338E-5</v>
      </c>
      <c r="F1060">
        <v>2.4228921185705779E-5</v>
      </c>
      <c r="G1060">
        <v>2.7054048807558976E-8</v>
      </c>
      <c r="H1060" t="b">
        <v>0</v>
      </c>
    </row>
    <row r="1061" spans="1:8" x14ac:dyDescent="0.15">
      <c r="A1061">
        <v>46</v>
      </c>
      <c r="B1061">
        <v>30</v>
      </c>
      <c r="C1061">
        <v>904311.64546875004</v>
      </c>
      <c r="D1061">
        <v>901905.54188102216</v>
      </c>
      <c r="E1061">
        <v>2.4254459953953714E-5</v>
      </c>
      <c r="F1061">
        <v>2.4228921185705779E-5</v>
      </c>
      <c r="G1061">
        <v>2.5538768247935047E-8</v>
      </c>
      <c r="H1061" t="b">
        <v>0</v>
      </c>
    </row>
    <row r="1062" spans="1:8" x14ac:dyDescent="0.15">
      <c r="A1062">
        <v>47</v>
      </c>
      <c r="B1062">
        <v>1</v>
      </c>
      <c r="C1062">
        <v>6050000</v>
      </c>
      <c r="D1062">
        <v>2.3712368266250184E+18</v>
      </c>
      <c r="E1062">
        <v>536.87092200000006</v>
      </c>
      <c r="F1062">
        <v>1.7510233988105028E-5</v>
      </c>
      <c r="G1062">
        <v>536.87090448976608</v>
      </c>
      <c r="H1062" t="b">
        <v>0</v>
      </c>
    </row>
    <row r="1063" spans="1:8" x14ac:dyDescent="0.15">
      <c r="A1063">
        <v>47</v>
      </c>
      <c r="B1063">
        <v>2</v>
      </c>
      <c r="C1063">
        <v>3075000</v>
      </c>
      <c r="D1063">
        <v>3.8842040934978042E+17</v>
      </c>
      <c r="E1063">
        <v>108.83455618716923</v>
      </c>
      <c r="F1063">
        <v>1.7510234044948447E-5</v>
      </c>
      <c r="G1063">
        <v>108.83453867693518</v>
      </c>
      <c r="H1063" t="b">
        <v>0</v>
      </c>
    </row>
    <row r="1064" spans="1:8" x14ac:dyDescent="0.15">
      <c r="A1064">
        <v>47</v>
      </c>
      <c r="B1064">
        <v>3</v>
      </c>
      <c r="C1064">
        <v>1587500</v>
      </c>
      <c r="D1064">
        <v>8520718345371.1992</v>
      </c>
      <c r="E1064">
        <v>1.2155535458329238E-2</v>
      </c>
      <c r="F1064">
        <v>1.7510234040073874E-5</v>
      </c>
      <c r="G1064">
        <v>1.2138025224289164E-2</v>
      </c>
      <c r="H1064" t="b">
        <v>0</v>
      </c>
    </row>
    <row r="1065" spans="1:8" x14ac:dyDescent="0.15">
      <c r="A1065">
        <v>47</v>
      </c>
      <c r="B1065">
        <v>4</v>
      </c>
      <c r="C1065">
        <v>843750</v>
      </c>
      <c r="D1065">
        <v>-152063.70863204592</v>
      </c>
      <c r="E1065">
        <v>1.1618369627533633E-6</v>
      </c>
      <c r="F1065">
        <v>1.751023404007341E-5</v>
      </c>
      <c r="G1065">
        <v>-1.6348397077320047E-5</v>
      </c>
      <c r="H1065" t="b">
        <v>1</v>
      </c>
    </row>
    <row r="1066" spans="1:8" x14ac:dyDescent="0.15">
      <c r="A1066">
        <v>47</v>
      </c>
      <c r="B1066">
        <v>5</v>
      </c>
      <c r="C1066">
        <v>1215625</v>
      </c>
      <c r="D1066">
        <v>23462639887.147549</v>
      </c>
      <c r="E1066">
        <v>1.4091548674812887E-4</v>
      </c>
      <c r="F1066">
        <v>1.7510234040073414E-5</v>
      </c>
      <c r="G1066">
        <v>1.2340525270805545E-4</v>
      </c>
      <c r="H1066" t="b">
        <v>0</v>
      </c>
    </row>
    <row r="1067" spans="1:8" x14ac:dyDescent="0.15">
      <c r="A1067">
        <v>47</v>
      </c>
      <c r="B1067">
        <v>6</v>
      </c>
      <c r="C1067">
        <v>1029687.5</v>
      </c>
      <c r="D1067">
        <v>-16128862.861045608</v>
      </c>
      <c r="E1067">
        <v>9.4659070520938691E-6</v>
      </c>
      <c r="F1067">
        <v>1.751023404007341E-5</v>
      </c>
      <c r="G1067">
        <v>-8.044326987979541E-6</v>
      </c>
      <c r="H1067" t="b">
        <v>1</v>
      </c>
    </row>
    <row r="1068" spans="1:8" x14ac:dyDescent="0.15">
      <c r="A1068">
        <v>47</v>
      </c>
      <c r="B1068">
        <v>7</v>
      </c>
      <c r="C1068">
        <v>1122656.25</v>
      </c>
      <c r="D1068">
        <v>1557604525.5921843</v>
      </c>
      <c r="E1068">
        <v>3.3440556867344044E-5</v>
      </c>
      <c r="F1068">
        <v>1.751023404007341E-5</v>
      </c>
      <c r="G1068">
        <v>1.5930322827270634E-5</v>
      </c>
      <c r="H1068" t="b">
        <v>0</v>
      </c>
    </row>
    <row r="1069" spans="1:8" x14ac:dyDescent="0.15">
      <c r="A1069">
        <v>47</v>
      </c>
      <c r="B1069">
        <v>8</v>
      </c>
      <c r="C1069">
        <v>1076171.875</v>
      </c>
      <c r="D1069">
        <v>-78548508.138488784</v>
      </c>
      <c r="E1069">
        <v>1.5068001138479289E-5</v>
      </c>
      <c r="F1069">
        <v>1.751023404007341E-5</v>
      </c>
      <c r="G1069">
        <v>-2.4422329015941215E-6</v>
      </c>
      <c r="H1069" t="b">
        <v>1</v>
      </c>
    </row>
    <row r="1070" spans="1:8" x14ac:dyDescent="0.15">
      <c r="A1070">
        <v>47</v>
      </c>
      <c r="B1070">
        <v>9</v>
      </c>
      <c r="C1070">
        <v>1099414.0625</v>
      </c>
      <c r="D1070">
        <v>382834282.41835535</v>
      </c>
      <c r="E1070">
        <v>2.26093727832462E-5</v>
      </c>
      <c r="F1070">
        <v>1.751023404007341E-5</v>
      </c>
      <c r="G1070">
        <v>5.0991387431727901E-6</v>
      </c>
      <c r="H1070" t="b">
        <v>0</v>
      </c>
    </row>
    <row r="1071" spans="1:8" x14ac:dyDescent="0.15">
      <c r="A1071">
        <v>47</v>
      </c>
      <c r="B1071">
        <v>10</v>
      </c>
      <c r="C1071">
        <v>1087792.96875</v>
      </c>
      <c r="D1071">
        <v>51732205.803250454</v>
      </c>
      <c r="E1071">
        <v>1.8495049976310638E-5</v>
      </c>
      <c r="F1071">
        <v>1.751023404007341E-5</v>
      </c>
      <c r="G1071">
        <v>9.8481593623722818E-7</v>
      </c>
      <c r="H1071" t="b">
        <v>0</v>
      </c>
    </row>
    <row r="1072" spans="1:8" x14ac:dyDescent="0.15">
      <c r="A1072">
        <v>47</v>
      </c>
      <c r="B1072">
        <v>11</v>
      </c>
      <c r="C1072">
        <v>1081982.421875</v>
      </c>
      <c r="D1072">
        <v>-34029859.11378219</v>
      </c>
      <c r="E1072">
        <v>1.6701489571142843E-5</v>
      </c>
      <c r="F1072">
        <v>1.751023404007341E-5</v>
      </c>
      <c r="G1072">
        <v>-8.0874446893056684E-7</v>
      </c>
      <c r="H1072" t="b">
        <v>1</v>
      </c>
    </row>
    <row r="1073" spans="1:8" x14ac:dyDescent="0.15">
      <c r="A1073">
        <v>47</v>
      </c>
      <c r="B1073">
        <v>12</v>
      </c>
      <c r="C1073">
        <v>1084887.6953125</v>
      </c>
      <c r="D1073">
        <v>3173458.9983793381</v>
      </c>
      <c r="E1073">
        <v>1.7577410612292375E-5</v>
      </c>
      <c r="F1073">
        <v>1.751023404007341E-5</v>
      </c>
      <c r="G1073">
        <v>6.7176572218964901E-8</v>
      </c>
      <c r="H1073" t="b">
        <v>0</v>
      </c>
    </row>
    <row r="1074" spans="1:8" x14ac:dyDescent="0.15">
      <c r="A1074">
        <v>47</v>
      </c>
      <c r="B1074">
        <v>13</v>
      </c>
      <c r="C1074">
        <v>1083435.05859375</v>
      </c>
      <c r="D1074">
        <v>-16780746.212165028</v>
      </c>
      <c r="E1074">
        <v>1.713434477937123E-5</v>
      </c>
      <c r="F1074">
        <v>1.751023404007341E-5</v>
      </c>
      <c r="G1074">
        <v>-3.7588926070217981E-7</v>
      </c>
      <c r="H1074" t="b">
        <v>1</v>
      </c>
    </row>
    <row r="1075" spans="1:8" x14ac:dyDescent="0.15">
      <c r="A1075">
        <v>47</v>
      </c>
      <c r="B1075">
        <v>14</v>
      </c>
      <c r="C1075">
        <v>1083935.05859375</v>
      </c>
      <c r="D1075">
        <v>-10224453.790527284</v>
      </c>
      <c r="E1075">
        <v>1.7285685312885682E-5</v>
      </c>
      <c r="F1075">
        <v>1.751023404007341E-5</v>
      </c>
      <c r="G1075">
        <v>-2.2454872718772831E-7</v>
      </c>
      <c r="H1075" t="b">
        <v>1</v>
      </c>
    </row>
    <row r="1076" spans="1:8" x14ac:dyDescent="0.15">
      <c r="A1076">
        <v>47</v>
      </c>
      <c r="B1076">
        <v>15</v>
      </c>
      <c r="C1076">
        <v>1084435.05859375</v>
      </c>
      <c r="D1076">
        <v>-3342387.1923129307</v>
      </c>
      <c r="E1076">
        <v>1.7438242776806472E-5</v>
      </c>
      <c r="F1076">
        <v>1.751023404007341E-5</v>
      </c>
      <c r="G1076">
        <v>-7.1991263266937854E-8</v>
      </c>
      <c r="H1076" t="b">
        <v>1</v>
      </c>
    </row>
    <row r="1077" spans="1:8" x14ac:dyDescent="0.15">
      <c r="A1077">
        <v>47</v>
      </c>
      <c r="B1077">
        <v>16</v>
      </c>
      <c r="C1077">
        <v>1084935.05859375</v>
      </c>
      <c r="D1077">
        <v>3871114.2629633029</v>
      </c>
      <c r="E1077">
        <v>1.7592031168353953E-5</v>
      </c>
      <c r="F1077">
        <v>1.751023404007341E-5</v>
      </c>
      <c r="G1077">
        <v>8.179712828054278E-8</v>
      </c>
      <c r="H1077" t="b">
        <v>0</v>
      </c>
    </row>
    <row r="1078" spans="1:8" x14ac:dyDescent="0.15">
      <c r="A1078">
        <v>47</v>
      </c>
      <c r="B1078">
        <v>17</v>
      </c>
      <c r="C1078">
        <v>1084685.05859375</v>
      </c>
      <c r="D1078">
        <v>222571.97105497244</v>
      </c>
      <c r="E1078">
        <v>1.7514982114060662E-5</v>
      </c>
      <c r="F1078">
        <v>1.751023404007341E-5</v>
      </c>
      <c r="G1078">
        <v>4.7480739872519831E-9</v>
      </c>
      <c r="H1078" t="b">
        <v>0</v>
      </c>
    </row>
    <row r="1079" spans="1:8" x14ac:dyDescent="0.15">
      <c r="A1079">
        <v>47</v>
      </c>
      <c r="B1079">
        <v>18</v>
      </c>
      <c r="C1079">
        <v>1084810.05859375</v>
      </c>
      <c r="D1079">
        <v>2036321.4516239129</v>
      </c>
      <c r="E1079">
        <v>1.7553467207077702E-5</v>
      </c>
      <c r="F1079">
        <v>1.751023404007341E-5</v>
      </c>
      <c r="G1079">
        <v>4.3233167004292337E-8</v>
      </c>
      <c r="H1079" t="b">
        <v>0</v>
      </c>
    </row>
    <row r="1080" spans="1:8" x14ac:dyDescent="0.15">
      <c r="A1080">
        <v>47</v>
      </c>
      <c r="B1080">
        <v>19</v>
      </c>
      <c r="C1080">
        <v>1084747.55859375</v>
      </c>
      <c r="D1080">
        <v>1126913.3810724642</v>
      </c>
      <c r="E1080">
        <v>1.7534216754266196E-5</v>
      </c>
      <c r="F1080">
        <v>1.751023404007341E-5</v>
      </c>
      <c r="G1080">
        <v>2.3982714192786266E-8</v>
      </c>
      <c r="H1080" t="b">
        <v>0</v>
      </c>
    </row>
    <row r="1081" spans="1:8" x14ac:dyDescent="0.15">
      <c r="A1081">
        <v>47</v>
      </c>
      <c r="B1081">
        <v>20</v>
      </c>
      <c r="C1081">
        <v>1084672.55859375</v>
      </c>
      <c r="D1081">
        <v>42346.558316951734</v>
      </c>
      <c r="E1081">
        <v>1.7511137841831999E-5</v>
      </c>
      <c r="F1081">
        <v>1.751023404007341E-5</v>
      </c>
      <c r="G1081">
        <v>9.0380175858914059E-10</v>
      </c>
      <c r="H1081" t="b">
        <v>0</v>
      </c>
    </row>
    <row r="1082" spans="1:8" x14ac:dyDescent="0.15">
      <c r="A1082">
        <v>47</v>
      </c>
      <c r="B1082">
        <v>21</v>
      </c>
      <c r="C1082">
        <v>1084710.05859375</v>
      </c>
      <c r="D1082">
        <v>583649.13256992202</v>
      </c>
      <c r="E1082">
        <v>1.752267296853772E-5</v>
      </c>
      <c r="F1082">
        <v>1.751023404007341E-5</v>
      </c>
      <c r="G1082">
        <v>1.2438928464310269E-8</v>
      </c>
      <c r="H1082" t="b">
        <v>0</v>
      </c>
    </row>
    <row r="1083" spans="1:8" x14ac:dyDescent="0.15">
      <c r="A1083">
        <v>47</v>
      </c>
      <c r="B1083">
        <v>22</v>
      </c>
      <c r="C1083">
        <v>1084755.05859375</v>
      </c>
      <c r="D1083">
        <v>1235694.4055453243</v>
      </c>
      <c r="E1083">
        <v>1.7536524271334482E-5</v>
      </c>
      <c r="F1083">
        <v>1.751023404007341E-5</v>
      </c>
      <c r="G1083">
        <v>2.6290231261071539E-8</v>
      </c>
      <c r="H1083" t="b">
        <v>0</v>
      </c>
    </row>
    <row r="1084" spans="1:8" x14ac:dyDescent="0.15">
      <c r="A1084">
        <v>47</v>
      </c>
      <c r="B1084">
        <v>23</v>
      </c>
      <c r="C1084">
        <v>1084732.55859375</v>
      </c>
      <c r="D1084">
        <v>909414.33732706553</v>
      </c>
      <c r="E1084">
        <v>1.7529599098137427E-5</v>
      </c>
      <c r="F1084">
        <v>1.751023404007341E-5</v>
      </c>
      <c r="G1084">
        <v>1.9365058064016487E-8</v>
      </c>
      <c r="H1084" t="b">
        <v>0</v>
      </c>
    </row>
    <row r="1085" spans="1:8" x14ac:dyDescent="0.15">
      <c r="A1085">
        <v>47</v>
      </c>
      <c r="B1085">
        <v>24</v>
      </c>
      <c r="C1085">
        <v>1084743.80859375</v>
      </c>
      <c r="D1085">
        <v>1072510.3869484633</v>
      </c>
      <c r="E1085">
        <v>1.7533062236204484E-5</v>
      </c>
      <c r="F1085">
        <v>1.751023404007341E-5</v>
      </c>
      <c r="G1085">
        <v>2.2828196131074346E-8</v>
      </c>
      <c r="H1085" t="b">
        <v>0</v>
      </c>
    </row>
    <row r="1086" spans="1:8" x14ac:dyDescent="0.15">
      <c r="A1086">
        <v>47</v>
      </c>
      <c r="B1086">
        <v>25</v>
      </c>
      <c r="C1086">
        <v>1084757.30859375</v>
      </c>
      <c r="D1086">
        <v>1268367.8156249642</v>
      </c>
      <c r="E1086">
        <v>1.7537217098626241E-5</v>
      </c>
      <c r="F1086">
        <v>1.751023404007341E-5</v>
      </c>
      <c r="G1086">
        <v>2.6983058552831375E-8</v>
      </c>
      <c r="H1086" t="b">
        <v>0</v>
      </c>
    </row>
    <row r="1087" spans="1:8" x14ac:dyDescent="0.15">
      <c r="A1087">
        <v>47</v>
      </c>
      <c r="B1087">
        <v>26</v>
      </c>
      <c r="C1087">
        <v>1084750.55859375</v>
      </c>
      <c r="D1087">
        <v>1170449.3309251384</v>
      </c>
      <c r="E1087">
        <v>1.7535140418653336E-5</v>
      </c>
      <c r="F1087">
        <v>1.751023404007341E-5</v>
      </c>
      <c r="G1087">
        <v>2.4906378579925785E-8</v>
      </c>
      <c r="H1087" t="b">
        <v>0</v>
      </c>
    </row>
    <row r="1088" spans="1:8" x14ac:dyDescent="0.15">
      <c r="A1088">
        <v>47</v>
      </c>
      <c r="B1088">
        <v>27</v>
      </c>
      <c r="C1088">
        <v>1084742.4585937499</v>
      </c>
      <c r="D1088">
        <v>1052929.9172219764</v>
      </c>
      <c r="E1088">
        <v>1.75326466266808E-5</v>
      </c>
      <c r="F1088">
        <v>1.751023404007341E-5</v>
      </c>
      <c r="G1088">
        <v>2.2412586607390079E-8</v>
      </c>
      <c r="H1088" t="b">
        <v>0</v>
      </c>
    </row>
    <row r="1089" spans="1:8" x14ac:dyDescent="0.15">
      <c r="A1089">
        <v>47</v>
      </c>
      <c r="B1089">
        <v>28</v>
      </c>
      <c r="C1089">
        <v>1084746.50859375</v>
      </c>
      <c r="D1089">
        <v>1111678.6451381696</v>
      </c>
      <c r="E1089">
        <v>1.7533893482217218E-5</v>
      </c>
      <c r="F1089">
        <v>1.751023404007341E-5</v>
      </c>
      <c r="G1089">
        <v>2.3659442143807906E-8</v>
      </c>
      <c r="H1089" t="b">
        <v>0</v>
      </c>
    </row>
    <row r="1090" spans="1:8" x14ac:dyDescent="0.15">
      <c r="A1090">
        <v>47</v>
      </c>
      <c r="B1090">
        <v>29</v>
      </c>
      <c r="C1090">
        <v>1084744.48359375</v>
      </c>
      <c r="D1090">
        <v>1082220.174840905</v>
      </c>
      <c r="E1090">
        <v>1.753326831755194E-5</v>
      </c>
      <c r="F1090">
        <v>1.751023404007341E-5</v>
      </c>
      <c r="G1090">
        <v>2.3034277478529747E-8</v>
      </c>
      <c r="H1090" t="b">
        <v>0</v>
      </c>
    </row>
    <row r="1091" spans="1:8" x14ac:dyDescent="0.15">
      <c r="A1091">
        <v>48</v>
      </c>
      <c r="B1091">
        <v>1</v>
      </c>
      <c r="C1091">
        <v>6050000</v>
      </c>
      <c r="D1091">
        <v>3.8516351649438904E+18</v>
      </c>
      <c r="E1091">
        <v>536.87092200000006</v>
      </c>
      <c r="F1091">
        <v>1.2788591561729845E-5</v>
      </c>
      <c r="G1091">
        <v>536.8709092114085</v>
      </c>
      <c r="H1091" t="b">
        <v>0</v>
      </c>
    </row>
    <row r="1092" spans="1:8" x14ac:dyDescent="0.15">
      <c r="A1092">
        <v>48</v>
      </c>
      <c r="B1092">
        <v>2</v>
      </c>
      <c r="C1092">
        <v>3075000</v>
      </c>
      <c r="D1092">
        <v>4.292506940046404E+16</v>
      </c>
      <c r="E1092">
        <v>10.407342694359288</v>
      </c>
      <c r="F1092">
        <v>1.2788591577717057E-5</v>
      </c>
      <c r="G1092">
        <v>10.40732990576771</v>
      </c>
      <c r="H1092" t="b">
        <v>0</v>
      </c>
    </row>
    <row r="1093" spans="1:8" x14ac:dyDescent="0.15">
      <c r="A1093">
        <v>48</v>
      </c>
      <c r="B1093">
        <v>3</v>
      </c>
      <c r="C1093">
        <v>1587500</v>
      </c>
      <c r="D1093">
        <v>258839282546.98105</v>
      </c>
      <c r="E1093">
        <v>5.3206772618376059E-4</v>
      </c>
      <c r="F1093">
        <v>1.2788591577026095E-5</v>
      </c>
      <c r="G1093">
        <v>5.1927913460673449E-4</v>
      </c>
      <c r="H1093" t="b">
        <v>0</v>
      </c>
    </row>
    <row r="1094" spans="1:8" x14ac:dyDescent="0.15">
      <c r="A1094">
        <v>48</v>
      </c>
      <c r="B1094">
        <v>4</v>
      </c>
      <c r="C1094">
        <v>843750</v>
      </c>
      <c r="D1094">
        <v>-60418.875674873016</v>
      </c>
      <c r="E1094">
        <v>-2.4473493227597604E-6</v>
      </c>
      <c r="F1094">
        <v>1.2788591577026091E-5</v>
      </c>
      <c r="G1094">
        <v>-1.5235940899785851E-5</v>
      </c>
      <c r="H1094" t="b">
        <v>1</v>
      </c>
    </row>
    <row r="1095" spans="1:8" x14ac:dyDescent="0.15">
      <c r="A1095">
        <v>48</v>
      </c>
      <c r="B1095">
        <v>5</v>
      </c>
      <c r="C1095">
        <v>1215625</v>
      </c>
      <c r="D1095">
        <v>-25461435.148291256</v>
      </c>
      <c r="E1095">
        <v>7.561579189816679E-6</v>
      </c>
      <c r="F1095">
        <v>1.2788591577026091E-5</v>
      </c>
      <c r="G1095">
        <v>-5.2270123872094122E-6</v>
      </c>
      <c r="H1095" t="b">
        <v>1</v>
      </c>
    </row>
    <row r="1096" spans="1:8" x14ac:dyDescent="0.15">
      <c r="A1096">
        <v>48</v>
      </c>
      <c r="B1096">
        <v>6</v>
      </c>
      <c r="C1096">
        <v>1401562.5</v>
      </c>
      <c r="D1096">
        <v>12188489574.237865</v>
      </c>
      <c r="E1096">
        <v>6.4996796808710117E-5</v>
      </c>
      <c r="F1096">
        <v>1.2788591577026095E-5</v>
      </c>
      <c r="G1096">
        <v>5.2208205231684022E-5</v>
      </c>
      <c r="H1096" t="b">
        <v>0</v>
      </c>
    </row>
    <row r="1097" spans="1:8" x14ac:dyDescent="0.15">
      <c r="A1097">
        <v>48</v>
      </c>
      <c r="B1097">
        <v>7</v>
      </c>
      <c r="C1097">
        <v>1308593.75</v>
      </c>
      <c r="D1097">
        <v>741174540.65374124</v>
      </c>
      <c r="E1097">
        <v>1.8964804522922901E-5</v>
      </c>
      <c r="F1097">
        <v>1.2788591577026091E-5</v>
      </c>
      <c r="G1097">
        <v>6.1762129458968098E-6</v>
      </c>
      <c r="H1097" t="b">
        <v>0</v>
      </c>
    </row>
    <row r="1098" spans="1:8" x14ac:dyDescent="0.15">
      <c r="A1098">
        <v>48</v>
      </c>
      <c r="B1098">
        <v>8</v>
      </c>
      <c r="C1098">
        <v>1262109.375</v>
      </c>
      <c r="D1098">
        <v>-76278226.308869392</v>
      </c>
      <c r="E1098">
        <v>1.0696916283416619E-5</v>
      </c>
      <c r="F1098">
        <v>1.2788591577026091E-5</v>
      </c>
      <c r="G1098">
        <v>-2.0916752936094723E-6</v>
      </c>
      <c r="H1098" t="b">
        <v>1</v>
      </c>
    </row>
    <row r="1099" spans="1:8" x14ac:dyDescent="0.15">
      <c r="A1099">
        <v>48</v>
      </c>
      <c r="B1099">
        <v>9</v>
      </c>
      <c r="C1099">
        <v>1285351.5625</v>
      </c>
      <c r="D1099">
        <v>56687313.382538907</v>
      </c>
      <c r="E1099">
        <v>1.36098710429178E-5</v>
      </c>
      <c r="F1099">
        <v>1.2788591577026091E-5</v>
      </c>
      <c r="G1099">
        <v>8.2127946589170845E-7</v>
      </c>
      <c r="H1099" t="b">
        <v>0</v>
      </c>
    </row>
    <row r="1100" spans="1:8" x14ac:dyDescent="0.15">
      <c r="A1100">
        <v>48</v>
      </c>
      <c r="B1100">
        <v>10</v>
      </c>
      <c r="C1100">
        <v>1273730.46875</v>
      </c>
      <c r="D1100">
        <v>-54463424.82791964</v>
      </c>
      <c r="E1100">
        <v>1.1632927428813801E-5</v>
      </c>
      <c r="F1100">
        <v>1.2788591577026091E-5</v>
      </c>
      <c r="G1100">
        <v>-1.1556641482122899E-6</v>
      </c>
      <c r="H1100" t="b">
        <v>1</v>
      </c>
    </row>
    <row r="1101" spans="1:8" x14ac:dyDescent="0.15">
      <c r="A1101">
        <v>48</v>
      </c>
      <c r="B1101">
        <v>11</v>
      </c>
      <c r="C1101">
        <v>1279541.015625</v>
      </c>
      <c r="D1101">
        <v>-16045156.561907865</v>
      </c>
      <c r="E1101">
        <v>1.2506762691523622E-5</v>
      </c>
      <c r="F1101">
        <v>1.2788591577026091E-5</v>
      </c>
      <c r="G1101">
        <v>-2.8182888550246932E-7</v>
      </c>
      <c r="H1101" t="b">
        <v>1</v>
      </c>
    </row>
    <row r="1102" spans="1:8" x14ac:dyDescent="0.15">
      <c r="A1102">
        <v>48</v>
      </c>
      <c r="B1102">
        <v>12</v>
      </c>
      <c r="C1102">
        <v>1282446.2890625</v>
      </c>
      <c r="D1102">
        <v>16300019.786314558</v>
      </c>
      <c r="E1102">
        <v>1.3047714717723155E-5</v>
      </c>
      <c r="F1102">
        <v>1.2788591577026091E-5</v>
      </c>
      <c r="G1102">
        <v>2.591231406970635E-7</v>
      </c>
      <c r="H1102" t="b">
        <v>0</v>
      </c>
    </row>
    <row r="1103" spans="1:8" x14ac:dyDescent="0.15">
      <c r="A1103">
        <v>48</v>
      </c>
      <c r="B1103">
        <v>13</v>
      </c>
      <c r="C1103">
        <v>1280993.65234375</v>
      </c>
      <c r="D1103">
        <v>-836113.15814333712</v>
      </c>
      <c r="E1103">
        <v>1.277463301658922E-5</v>
      </c>
      <c r="F1103">
        <v>1.2788591577026091E-5</v>
      </c>
      <c r="G1103">
        <v>-1.3958560436871448E-8</v>
      </c>
      <c r="H1103" t="b">
        <v>1</v>
      </c>
    </row>
    <row r="1104" spans="1:8" x14ac:dyDescent="0.15">
      <c r="A1104">
        <v>48</v>
      </c>
      <c r="B1104">
        <v>14</v>
      </c>
      <c r="C1104">
        <v>1281493.65234375</v>
      </c>
      <c r="D1104">
        <v>4840555.5282429112</v>
      </c>
      <c r="E1104">
        <v>1.2868036403100277E-5</v>
      </c>
      <c r="F1104">
        <v>1.2788591577026091E-5</v>
      </c>
      <c r="G1104">
        <v>7.944482607418591E-8</v>
      </c>
      <c r="H1104" t="b">
        <v>0</v>
      </c>
    </row>
    <row r="1105" spans="1:8" x14ac:dyDescent="0.15">
      <c r="A1105">
        <v>48</v>
      </c>
      <c r="B1105">
        <v>15</v>
      </c>
      <c r="C1105">
        <v>1281243.65234375</v>
      </c>
      <c r="D1105">
        <v>1973436.0406357148</v>
      </c>
      <c r="E1105">
        <v>1.2821256698920519E-5</v>
      </c>
      <c r="F1105">
        <v>1.2788591577026091E-5</v>
      </c>
      <c r="G1105">
        <v>3.2665121894427535E-8</v>
      </c>
      <c r="H1105" t="b">
        <v>0</v>
      </c>
    </row>
    <row r="1106" spans="1:8" x14ac:dyDescent="0.15">
      <c r="A1106">
        <v>48</v>
      </c>
      <c r="B1106">
        <v>16</v>
      </c>
      <c r="C1106">
        <v>1280943.65234375</v>
      </c>
      <c r="D1106">
        <v>-1391086.9631178668</v>
      </c>
      <c r="E1106">
        <v>1.2765328053977055E-5</v>
      </c>
      <c r="F1106">
        <v>1.2788591577026091E-5</v>
      </c>
      <c r="G1106">
        <v>-2.3263523049035775E-8</v>
      </c>
      <c r="H1106" t="b">
        <v>1</v>
      </c>
    </row>
    <row r="1107" spans="1:8" x14ac:dyDescent="0.15">
      <c r="A1107">
        <v>48</v>
      </c>
      <c r="B1107">
        <v>17</v>
      </c>
      <c r="C1107">
        <v>1281093.65234375</v>
      </c>
      <c r="D1107">
        <v>280909.22549044335</v>
      </c>
      <c r="E1107">
        <v>1.2793265191485836E-5</v>
      </c>
      <c r="F1107">
        <v>1.2788591577026091E-5</v>
      </c>
      <c r="G1107">
        <v>4.6736144597444256E-9</v>
      </c>
      <c r="H1107" t="b">
        <v>0</v>
      </c>
    </row>
    <row r="1108" spans="1:8" x14ac:dyDescent="0.15">
      <c r="A1108">
        <v>48</v>
      </c>
      <c r="B1108">
        <v>18</v>
      </c>
      <c r="C1108">
        <v>1281273.65234375</v>
      </c>
      <c r="D1108">
        <v>2314513.1850693766</v>
      </c>
      <c r="E1108">
        <v>1.2826863180678944E-5</v>
      </c>
      <c r="F1108">
        <v>1.2788591577026091E-5</v>
      </c>
      <c r="G1108">
        <v>3.8271603652852897E-8</v>
      </c>
      <c r="H1108" t="b">
        <v>0</v>
      </c>
    </row>
    <row r="1109" spans="1:8" x14ac:dyDescent="0.15">
      <c r="A1109">
        <v>48</v>
      </c>
      <c r="B1109">
        <v>19</v>
      </c>
      <c r="C1109">
        <v>1281183.65234375</v>
      </c>
      <c r="D1109">
        <v>1293916.7666828108</v>
      </c>
      <c r="E1109">
        <v>1.2810052917520122E-5</v>
      </c>
      <c r="F1109">
        <v>1.2788591577026091E-5</v>
      </c>
      <c r="G1109">
        <v>2.1461340494030774E-8</v>
      </c>
      <c r="H1109" t="b">
        <v>0</v>
      </c>
    </row>
    <row r="1110" spans="1:8" x14ac:dyDescent="0.15">
      <c r="A1110">
        <v>49</v>
      </c>
      <c r="B1110">
        <v>1</v>
      </c>
      <c r="C1110">
        <v>6050000</v>
      </c>
      <c r="D1110">
        <v>2.1267737463587848E+18</v>
      </c>
      <c r="E1110">
        <v>536.87092200000006</v>
      </c>
      <c r="F1110">
        <v>1.6620320820948109E-5</v>
      </c>
      <c r="G1110">
        <v>536.87090537967924</v>
      </c>
      <c r="H1110" t="b">
        <v>0</v>
      </c>
    </row>
    <row r="1111" spans="1:8" x14ac:dyDescent="0.15">
      <c r="A1111">
        <v>49</v>
      </c>
      <c r="B1111">
        <v>2</v>
      </c>
      <c r="C1111">
        <v>3075000</v>
      </c>
      <c r="D1111">
        <v>1.7285385677896355E+17</v>
      </c>
      <c r="E1111">
        <v>58.984074045570104</v>
      </c>
      <c r="F1111">
        <v>1.6620320806737254E-5</v>
      </c>
      <c r="G1111">
        <v>58.984057425249297</v>
      </c>
      <c r="H1111" t="b">
        <v>0</v>
      </c>
    </row>
    <row r="1112" spans="1:8" x14ac:dyDescent="0.15">
      <c r="A1112">
        <v>49</v>
      </c>
      <c r="B1112">
        <v>3</v>
      </c>
      <c r="C1112">
        <v>1587500</v>
      </c>
      <c r="D1112">
        <v>228490727135390.81</v>
      </c>
      <c r="E1112">
        <v>0.2014723011498607</v>
      </c>
      <c r="F1112">
        <v>1.662032080557152E-5</v>
      </c>
      <c r="G1112">
        <v>0.20145568082905513</v>
      </c>
      <c r="H1112" t="b">
        <v>0</v>
      </c>
    </row>
    <row r="1113" spans="1:8" x14ac:dyDescent="0.15">
      <c r="A1113">
        <v>49</v>
      </c>
      <c r="B1113">
        <v>4</v>
      </c>
      <c r="C1113">
        <v>843750</v>
      </c>
      <c r="D1113">
        <v>-50655884.867451981</v>
      </c>
      <c r="E1113">
        <v>1.196466547716556E-5</v>
      </c>
      <c r="F1113">
        <v>1.6620320805582792E-5</v>
      </c>
      <c r="G1113">
        <v>-4.6556553284172322E-6</v>
      </c>
      <c r="H1113" t="b">
        <v>1</v>
      </c>
    </row>
    <row r="1114" spans="1:8" x14ac:dyDescent="0.15">
      <c r="A1114">
        <v>49</v>
      </c>
      <c r="B1114">
        <v>5</v>
      </c>
      <c r="C1114">
        <v>1215625</v>
      </c>
      <c r="D1114">
        <v>2817779987126.5488</v>
      </c>
      <c r="E1114">
        <v>5.5515141162875859E-3</v>
      </c>
      <c r="F1114">
        <v>1.6620320805582796E-5</v>
      </c>
      <c r="G1114">
        <v>5.5348937954820031E-3</v>
      </c>
      <c r="H1114" t="b">
        <v>0</v>
      </c>
    </row>
    <row r="1115" spans="1:8" x14ac:dyDescent="0.15">
      <c r="A1115">
        <v>49</v>
      </c>
      <c r="B1115">
        <v>6</v>
      </c>
      <c r="C1115">
        <v>1029687.5</v>
      </c>
      <c r="D1115">
        <v>75327377608.270767</v>
      </c>
      <c r="E1115">
        <v>3.4834791741785072E-4</v>
      </c>
      <c r="F1115">
        <v>1.6620320805582796E-5</v>
      </c>
      <c r="G1115">
        <v>3.3172759661226792E-4</v>
      </c>
      <c r="H1115" t="b">
        <v>0</v>
      </c>
    </row>
    <row r="1116" spans="1:8" x14ac:dyDescent="0.15">
      <c r="A1116">
        <v>49</v>
      </c>
      <c r="B1116">
        <v>7</v>
      </c>
      <c r="C1116">
        <v>936718.75</v>
      </c>
      <c r="D1116">
        <v>4596367696.9676762</v>
      </c>
      <c r="E1116">
        <v>5.778406919862309E-5</v>
      </c>
      <c r="F1116">
        <v>1.6620320805582789E-5</v>
      </c>
      <c r="G1116">
        <v>4.1163748393040301E-5</v>
      </c>
      <c r="H1116" t="b">
        <v>0</v>
      </c>
    </row>
    <row r="1117" spans="1:8" x14ac:dyDescent="0.15">
      <c r="A1117">
        <v>49</v>
      </c>
      <c r="B1117">
        <v>8</v>
      </c>
      <c r="C1117">
        <v>890234.375</v>
      </c>
      <c r="D1117">
        <v>375088624.47100663</v>
      </c>
      <c r="E1117">
        <v>2.2799619124119915E-5</v>
      </c>
      <c r="F1117">
        <v>1.6620320805582792E-5</v>
      </c>
      <c r="G1117">
        <v>6.1792983185371225E-6</v>
      </c>
      <c r="H1117" t="b">
        <v>0</v>
      </c>
    </row>
    <row r="1118" spans="1:8" x14ac:dyDescent="0.15">
      <c r="A1118">
        <v>49</v>
      </c>
      <c r="B1118">
        <v>9</v>
      </c>
      <c r="C1118">
        <v>866992.1875</v>
      </c>
      <c r="D1118">
        <v>-39374846.254126571</v>
      </c>
      <c r="E1118">
        <v>1.511051243924464E-5</v>
      </c>
      <c r="F1118">
        <v>1.6620320805582792E-5</v>
      </c>
      <c r="G1118">
        <v>-1.5098083663381521E-6</v>
      </c>
      <c r="H1118" t="b">
        <v>1</v>
      </c>
    </row>
    <row r="1119" spans="1:8" x14ac:dyDescent="0.15">
      <c r="A1119">
        <v>49</v>
      </c>
      <c r="B1119">
        <v>10</v>
      </c>
      <c r="C1119">
        <v>878613.28125</v>
      </c>
      <c r="D1119">
        <v>53651571.001115009</v>
      </c>
      <c r="E1119">
        <v>1.797485043435203E-5</v>
      </c>
      <c r="F1119">
        <v>1.6620320805582792E-5</v>
      </c>
      <c r="G1119">
        <v>1.3545296287692379E-6</v>
      </c>
      <c r="H1119" t="b">
        <v>0</v>
      </c>
    </row>
    <row r="1120" spans="1:8" x14ac:dyDescent="0.15">
      <c r="A1120">
        <v>49</v>
      </c>
      <c r="B1120">
        <v>11</v>
      </c>
      <c r="C1120">
        <v>872802.734375</v>
      </c>
      <c r="D1120">
        <v>-18750999.906769466</v>
      </c>
      <c r="E1120">
        <v>1.6002808139375135E-5</v>
      </c>
      <c r="F1120">
        <v>1.6620320805582792E-5</v>
      </c>
      <c r="G1120">
        <v>-6.1751266620765734E-7</v>
      </c>
      <c r="H1120" t="b">
        <v>1</v>
      </c>
    </row>
    <row r="1121" spans="1:8" x14ac:dyDescent="0.15">
      <c r="A1121">
        <v>49</v>
      </c>
      <c r="B1121">
        <v>12</v>
      </c>
      <c r="C1121">
        <v>875708.0078125</v>
      </c>
      <c r="D1121">
        <v>10683172.171351139</v>
      </c>
      <c r="E1121">
        <v>1.6927804505484775E-5</v>
      </c>
      <c r="F1121">
        <v>1.6620320805582792E-5</v>
      </c>
      <c r="G1121">
        <v>3.074836999019828E-7</v>
      </c>
      <c r="H1121" t="b">
        <v>0</v>
      </c>
    </row>
    <row r="1122" spans="1:8" x14ac:dyDescent="0.15">
      <c r="A1122">
        <v>49</v>
      </c>
      <c r="B1122">
        <v>13</v>
      </c>
      <c r="C1122">
        <v>874255.37109375</v>
      </c>
      <c r="D1122">
        <v>-6293382.1582364449</v>
      </c>
      <c r="E1122">
        <v>1.642594362706262E-5</v>
      </c>
      <c r="F1122">
        <v>1.6620320805582792E-5</v>
      </c>
      <c r="G1122">
        <v>-1.9437717852017247E-7</v>
      </c>
      <c r="H1122" t="b">
        <v>1</v>
      </c>
    </row>
    <row r="1123" spans="1:8" x14ac:dyDescent="0.15">
      <c r="A1123">
        <v>49</v>
      </c>
      <c r="B1123">
        <v>14</v>
      </c>
      <c r="C1123">
        <v>874755.37109375</v>
      </c>
      <c r="D1123">
        <v>-770830.9629694185</v>
      </c>
      <c r="E1123">
        <v>1.6597093709850928E-5</v>
      </c>
      <c r="F1123">
        <v>1.6620320805582792E-5</v>
      </c>
      <c r="G1123">
        <v>-2.3227095731864181E-8</v>
      </c>
      <c r="H1123" t="b">
        <v>1</v>
      </c>
    </row>
    <row r="1124" spans="1:8" x14ac:dyDescent="0.15">
      <c r="A1124">
        <v>49</v>
      </c>
      <c r="B1124">
        <v>15</v>
      </c>
      <c r="C1124">
        <v>875255.37109375</v>
      </c>
      <c r="D1124">
        <v>5086290.3157032672</v>
      </c>
      <c r="E1124">
        <v>1.6769910505223197E-5</v>
      </c>
      <c r="F1124">
        <v>1.6620320805582792E-5</v>
      </c>
      <c r="G1124">
        <v>1.4958969964040458E-7</v>
      </c>
      <c r="H1124" t="b">
        <v>0</v>
      </c>
    </row>
    <row r="1125" spans="1:8" x14ac:dyDescent="0.15">
      <c r="A1125">
        <v>49</v>
      </c>
      <c r="B1125">
        <v>16</v>
      </c>
      <c r="C1125">
        <v>875005.37109375</v>
      </c>
      <c r="D1125">
        <v>2115365.8439189675</v>
      </c>
      <c r="E1125">
        <v>1.6683290334457708E-5</v>
      </c>
      <c r="F1125">
        <v>1.6620320805582792E-5</v>
      </c>
      <c r="G1125">
        <v>6.296952887491523E-8</v>
      </c>
      <c r="H1125" t="b">
        <v>0</v>
      </c>
    </row>
    <row r="1126" spans="1:8" x14ac:dyDescent="0.15">
      <c r="A1126">
        <v>49</v>
      </c>
      <c r="B1126">
        <v>17</v>
      </c>
      <c r="C1126">
        <v>874705.37109375</v>
      </c>
      <c r="D1126">
        <v>-1338021.048913803</v>
      </c>
      <c r="E1126">
        <v>1.6579903945295025E-5</v>
      </c>
      <c r="F1126">
        <v>1.6620320805582792E-5</v>
      </c>
      <c r="G1126">
        <v>-4.0416860287766982E-8</v>
      </c>
      <c r="H1126" t="b">
        <v>1</v>
      </c>
    </row>
    <row r="1127" spans="1:8" x14ac:dyDescent="0.15">
      <c r="A1127">
        <v>49</v>
      </c>
      <c r="B1127">
        <v>18</v>
      </c>
      <c r="C1127">
        <v>874855.37109375</v>
      </c>
      <c r="D1127">
        <v>373510.25766345998</v>
      </c>
      <c r="E1127">
        <v>1.6631520763882257E-5</v>
      </c>
      <c r="F1127">
        <v>1.6620320805582792E-5</v>
      </c>
      <c r="G1127">
        <v>1.1199958299464317E-8</v>
      </c>
      <c r="H1127" t="b">
        <v>0</v>
      </c>
    </row>
    <row r="1128" spans="1:8" x14ac:dyDescent="0.15">
      <c r="A1128">
        <v>49</v>
      </c>
      <c r="B1128">
        <v>19</v>
      </c>
      <c r="C1128">
        <v>875035.37109375</v>
      </c>
      <c r="D1128">
        <v>2467468.47203808</v>
      </c>
      <c r="E1128">
        <v>1.6693664816505538E-5</v>
      </c>
      <c r="F1128">
        <v>1.6620320805582792E-5</v>
      </c>
      <c r="G1128">
        <v>7.3344010922745816E-8</v>
      </c>
      <c r="H1128" t="b">
        <v>0</v>
      </c>
    </row>
    <row r="1129" spans="1:8" x14ac:dyDescent="0.15">
      <c r="A1129">
        <v>49</v>
      </c>
      <c r="B1129">
        <v>20</v>
      </c>
      <c r="C1129">
        <v>874945.37109375</v>
      </c>
      <c r="D1129">
        <v>1414981.8271406125</v>
      </c>
      <c r="E1129">
        <v>1.6662564447972348E-5</v>
      </c>
      <c r="F1129">
        <v>1.6620320805582792E-5</v>
      </c>
      <c r="G1129">
        <v>4.2243642389555445E-8</v>
      </c>
      <c r="H1129" t="b">
        <v>0</v>
      </c>
    </row>
    <row r="1130" spans="1:8" x14ac:dyDescent="0.15">
      <c r="A1130">
        <v>49</v>
      </c>
      <c r="B1130">
        <v>21</v>
      </c>
      <c r="C1130">
        <v>874837.37109375</v>
      </c>
      <c r="D1130">
        <v>166606.78976959977</v>
      </c>
      <c r="E1130">
        <v>1.6625321010741414E-5</v>
      </c>
      <c r="F1130">
        <v>1.6620320805582792E-5</v>
      </c>
      <c r="G1130">
        <v>5.0002051586210618E-9</v>
      </c>
      <c r="H1130" t="b">
        <v>0</v>
      </c>
    </row>
    <row r="1131" spans="1:8" x14ac:dyDescent="0.15">
      <c r="A1131">
        <v>49</v>
      </c>
      <c r="B1131">
        <v>22</v>
      </c>
      <c r="C1131">
        <v>874891.37109375</v>
      </c>
      <c r="D1131">
        <v>788873.5476222781</v>
      </c>
      <c r="E1131">
        <v>1.6643934233121636E-5</v>
      </c>
      <c r="F1131">
        <v>1.6620320805582792E-5</v>
      </c>
      <c r="G1131">
        <v>2.3613427538843161E-8</v>
      </c>
      <c r="H1131" t="b">
        <v>0</v>
      </c>
    </row>
    <row r="1132" spans="1:8" x14ac:dyDescent="0.15">
      <c r="A1132">
        <v>49</v>
      </c>
      <c r="B1132">
        <v>23</v>
      </c>
      <c r="C1132">
        <v>874956.17109375005</v>
      </c>
      <c r="D1132">
        <v>1540776.2541055053</v>
      </c>
      <c r="E1132">
        <v>1.6666295825214635E-5</v>
      </c>
      <c r="F1132">
        <v>1.6620320805582792E-5</v>
      </c>
      <c r="G1132">
        <v>4.5975019631842721E-8</v>
      </c>
      <c r="H1132" t="b">
        <v>0</v>
      </c>
    </row>
    <row r="1133" spans="1:8" x14ac:dyDescent="0.15">
      <c r="A1133">
        <v>49</v>
      </c>
      <c r="B1133">
        <v>24</v>
      </c>
      <c r="C1133">
        <v>874923.77109375002</v>
      </c>
      <c r="D1133">
        <v>1164033.4387768167</v>
      </c>
      <c r="E1133">
        <v>1.6655109025458155E-5</v>
      </c>
      <c r="F1133">
        <v>1.6620320805582792E-5</v>
      </c>
      <c r="G1133">
        <v>3.4788219875362607E-8</v>
      </c>
      <c r="H1133" t="b">
        <v>0</v>
      </c>
    </row>
    <row r="1134" spans="1:8" x14ac:dyDescent="0.15">
      <c r="A1134">
        <v>49</v>
      </c>
      <c r="B1134">
        <v>25</v>
      </c>
      <c r="C1134">
        <v>874884.89109375002</v>
      </c>
      <c r="D1134">
        <v>713994.44741476048</v>
      </c>
      <c r="E1134">
        <v>1.6641699617862919E-5</v>
      </c>
      <c r="F1134">
        <v>1.6620320805582792E-5</v>
      </c>
      <c r="G1134">
        <v>2.1378812280126636E-8</v>
      </c>
      <c r="H1134" t="b">
        <v>0</v>
      </c>
    </row>
    <row r="1135" spans="1:8" x14ac:dyDescent="0.15">
      <c r="A1135">
        <v>49</v>
      </c>
      <c r="B1135">
        <v>26</v>
      </c>
      <c r="C1135">
        <v>874904.33109374996</v>
      </c>
      <c r="D1135">
        <v>938801.34950069</v>
      </c>
      <c r="E1135">
        <v>1.6648404305530546E-5</v>
      </c>
      <c r="F1135">
        <v>1.6620320805582792E-5</v>
      </c>
      <c r="G1135">
        <v>2.8083499947753805E-8</v>
      </c>
      <c r="H1135" t="b">
        <v>0</v>
      </c>
    </row>
    <row r="1136" spans="1:8" x14ac:dyDescent="0.15">
      <c r="A1136">
        <v>49</v>
      </c>
      <c r="B1136">
        <v>27</v>
      </c>
      <c r="C1136">
        <v>874894.61109374999</v>
      </c>
      <c r="D1136">
        <v>826334.29485682782</v>
      </c>
      <c r="E1136">
        <v>1.6645051645979584E-5</v>
      </c>
      <c r="F1136">
        <v>1.6620320805582792E-5</v>
      </c>
      <c r="G1136">
        <v>2.4730840396791751E-8</v>
      </c>
      <c r="H1136" t="b">
        <v>0</v>
      </c>
    </row>
    <row r="1137" spans="1:8" x14ac:dyDescent="0.15">
      <c r="A1137">
        <v>49</v>
      </c>
      <c r="B1137">
        <v>28</v>
      </c>
      <c r="C1137">
        <v>874899.47109374998</v>
      </c>
      <c r="D1137">
        <v>882468.30234136304</v>
      </c>
      <c r="E1137">
        <v>1.6646725404225498E-5</v>
      </c>
      <c r="F1137">
        <v>1.6620320805582792E-5</v>
      </c>
      <c r="G1137">
        <v>2.6404598642705123E-8</v>
      </c>
      <c r="H1137" t="b">
        <v>0</v>
      </c>
    </row>
    <row r="1138" spans="1:8" x14ac:dyDescent="0.15">
      <c r="A1138">
        <v>50</v>
      </c>
      <c r="B1138">
        <v>1</v>
      </c>
      <c r="C1138">
        <v>6050000</v>
      </c>
      <c r="D1138">
        <v>2.995146836677632E+18</v>
      </c>
      <c r="E1138">
        <v>447.34254966745709</v>
      </c>
      <c r="F1138">
        <v>1.1661302892207459E-5</v>
      </c>
      <c r="G1138">
        <v>447.3425380061542</v>
      </c>
      <c r="H1138" t="b">
        <v>0</v>
      </c>
    </row>
    <row r="1139" spans="1:8" x14ac:dyDescent="0.15">
      <c r="A1139">
        <v>50</v>
      </c>
      <c r="B1139">
        <v>2</v>
      </c>
      <c r="C1139">
        <v>3075000</v>
      </c>
      <c r="D1139">
        <v>7.02189398453752E+16</v>
      </c>
      <c r="E1139">
        <v>16.6429259287066</v>
      </c>
      <c r="F1139">
        <v>1.1661302913523741E-5</v>
      </c>
      <c r="G1139">
        <v>16.642914267403686</v>
      </c>
      <c r="H1139" t="b">
        <v>0</v>
      </c>
    </row>
    <row r="1140" spans="1:8" x14ac:dyDescent="0.15">
      <c r="A1140">
        <v>50</v>
      </c>
      <c r="B1140">
        <v>3</v>
      </c>
      <c r="C1140">
        <v>1587500</v>
      </c>
      <c r="D1140">
        <v>42375647250958.273</v>
      </c>
      <c r="E1140">
        <v>3.1439164600216021E-2</v>
      </c>
      <c r="F1140">
        <v>1.1661302913558436E-5</v>
      </c>
      <c r="G1140">
        <v>3.1427503297302463E-2</v>
      </c>
      <c r="H1140" t="b">
        <v>0</v>
      </c>
    </row>
    <row r="1141" spans="1:8" x14ac:dyDescent="0.15">
      <c r="A1141">
        <v>50</v>
      </c>
      <c r="B1141">
        <v>4</v>
      </c>
      <c r="C1141">
        <v>843750</v>
      </c>
      <c r="D1141">
        <v>-826701.29614078137</v>
      </c>
      <c r="E1141">
        <v>3.2173517064412773E-6</v>
      </c>
      <c r="F1141">
        <v>1.1661302913555442E-5</v>
      </c>
      <c r="G1141">
        <v>-8.4439512071141653E-6</v>
      </c>
      <c r="H1141" t="b">
        <v>1</v>
      </c>
    </row>
    <row r="1142" spans="1:8" x14ac:dyDescent="0.15">
      <c r="A1142">
        <v>50</v>
      </c>
      <c r="B1142">
        <v>5</v>
      </c>
      <c r="C1142">
        <v>1215625</v>
      </c>
      <c r="D1142">
        <v>280171249149.25928</v>
      </c>
      <c r="E1142">
        <v>5.9565008211082311E-4</v>
      </c>
      <c r="F1142">
        <v>1.16613029135554E-5</v>
      </c>
      <c r="G1142">
        <v>5.8398877919726771E-4</v>
      </c>
      <c r="H1142" t="b">
        <v>0</v>
      </c>
    </row>
    <row r="1143" spans="1:8" x14ac:dyDescent="0.15">
      <c r="A1143">
        <v>50</v>
      </c>
      <c r="B1143">
        <v>6</v>
      </c>
      <c r="C1143">
        <v>1029687.5</v>
      </c>
      <c r="D1143">
        <v>2308706971.1054101</v>
      </c>
      <c r="E1143">
        <v>2.8002180052534386E-5</v>
      </c>
      <c r="F1143">
        <v>1.1661302913555441E-5</v>
      </c>
      <c r="G1143">
        <v>1.6340877138978945E-5</v>
      </c>
      <c r="H1143" t="b">
        <v>0</v>
      </c>
    </row>
    <row r="1144" spans="1:8" x14ac:dyDescent="0.15">
      <c r="A1144">
        <v>50</v>
      </c>
      <c r="B1144">
        <v>7</v>
      </c>
      <c r="C1144">
        <v>936718.75</v>
      </c>
      <c r="D1144">
        <v>-27398541.230512697</v>
      </c>
      <c r="E1144">
        <v>7.6446927232451803E-6</v>
      </c>
      <c r="F1144">
        <v>1.1661302913555442E-5</v>
      </c>
      <c r="G1144">
        <v>-4.0166101903102619E-6</v>
      </c>
      <c r="H1144" t="b">
        <v>1</v>
      </c>
    </row>
    <row r="1145" spans="1:8" x14ac:dyDescent="0.15">
      <c r="A1145">
        <v>50</v>
      </c>
      <c r="B1145">
        <v>8</v>
      </c>
      <c r="C1145">
        <v>983203.125</v>
      </c>
      <c r="D1145">
        <v>25788510.861225002</v>
      </c>
      <c r="E1145">
        <v>1.2194817011230546E-5</v>
      </c>
      <c r="F1145">
        <v>1.1661302913555442E-5</v>
      </c>
      <c r="G1145">
        <v>5.3351409767510374E-7</v>
      </c>
      <c r="H1145" t="b">
        <v>0</v>
      </c>
    </row>
    <row r="1146" spans="1:8" x14ac:dyDescent="0.15">
      <c r="A1146">
        <v>50</v>
      </c>
      <c r="B1146">
        <v>9</v>
      </c>
      <c r="C1146">
        <v>959960.9375</v>
      </c>
      <c r="D1146">
        <v>-48382188.688801333</v>
      </c>
      <c r="E1146">
        <v>9.6224582023439568E-6</v>
      </c>
      <c r="F1146">
        <v>1.1661302913555442E-5</v>
      </c>
      <c r="G1146">
        <v>-2.0388447112114854E-6</v>
      </c>
      <c r="H1146" t="b">
        <v>1</v>
      </c>
    </row>
    <row r="1147" spans="1:8" x14ac:dyDescent="0.15">
      <c r="A1147">
        <v>50</v>
      </c>
      <c r="B1147">
        <v>10</v>
      </c>
      <c r="C1147">
        <v>971582.03125</v>
      </c>
      <c r="D1147">
        <v>-28988924.726612583</v>
      </c>
      <c r="E1147">
        <v>1.0842616711083741E-5</v>
      </c>
      <c r="F1147">
        <v>1.1661302913555442E-5</v>
      </c>
      <c r="G1147">
        <v>-8.1868620247170081E-7</v>
      </c>
      <c r="H1147" t="b">
        <v>1</v>
      </c>
    </row>
    <row r="1148" spans="1:8" x14ac:dyDescent="0.15">
      <c r="A1148">
        <v>50</v>
      </c>
      <c r="B1148">
        <v>11</v>
      </c>
      <c r="C1148">
        <v>977392.578125</v>
      </c>
      <c r="D1148">
        <v>-6665610.0105487108</v>
      </c>
      <c r="E1148">
        <v>1.150158010345794E-5</v>
      </c>
      <c r="F1148">
        <v>1.1661302913555442E-5</v>
      </c>
      <c r="G1148">
        <v>-1.5972281009750268E-7</v>
      </c>
      <c r="H1148" t="b">
        <v>1</v>
      </c>
    </row>
    <row r="1149" spans="1:8" x14ac:dyDescent="0.15">
      <c r="A1149">
        <v>50</v>
      </c>
      <c r="B1149">
        <v>12</v>
      </c>
      <c r="C1149">
        <v>980297.8515625</v>
      </c>
      <c r="D1149">
        <v>8214101.4026777092</v>
      </c>
      <c r="E1149">
        <v>1.1843834090666859E-5</v>
      </c>
      <c r="F1149">
        <v>1.1661302913555442E-5</v>
      </c>
      <c r="G1149">
        <v>1.8253117711141645E-7</v>
      </c>
      <c r="H1149" t="b">
        <v>0</v>
      </c>
    </row>
    <row r="1150" spans="1:8" x14ac:dyDescent="0.15">
      <c r="A1150">
        <v>50</v>
      </c>
      <c r="B1150">
        <v>13</v>
      </c>
      <c r="C1150">
        <v>978845.21484375</v>
      </c>
      <c r="D1150">
        <v>447593.70617137873</v>
      </c>
      <c r="E1150">
        <v>1.1671626090281072E-5</v>
      </c>
      <c r="F1150">
        <v>1.1661302913555442E-5</v>
      </c>
      <c r="G1150">
        <v>1.0323176725630186E-8</v>
      </c>
      <c r="H1150" t="b">
        <v>0</v>
      </c>
    </row>
    <row r="1151" spans="1:8" x14ac:dyDescent="0.15">
      <c r="A1151">
        <v>50</v>
      </c>
      <c r="B1151">
        <v>14</v>
      </c>
      <c r="C1151">
        <v>979345.21484375</v>
      </c>
      <c r="D1151">
        <v>3046116.2189370068</v>
      </c>
      <c r="E1151">
        <v>1.1730656195456379E-5</v>
      </c>
      <c r="F1151">
        <v>1.1661302913555442E-5</v>
      </c>
      <c r="G1151">
        <v>6.935328190093639E-8</v>
      </c>
      <c r="H1151" t="b">
        <v>0</v>
      </c>
    </row>
    <row r="1152" spans="1:8" x14ac:dyDescent="0.15">
      <c r="A1152">
        <v>50</v>
      </c>
      <c r="B1152">
        <v>15</v>
      </c>
      <c r="C1152">
        <v>979095.21484375</v>
      </c>
      <c r="D1152">
        <v>1737109.3837456633</v>
      </c>
      <c r="E1152">
        <v>1.1701108647659756E-5</v>
      </c>
      <c r="F1152">
        <v>1.1661302913555442E-5</v>
      </c>
      <c r="G1152">
        <v>3.9805734104313663E-8</v>
      </c>
      <c r="H1152" t="b">
        <v>0</v>
      </c>
    </row>
    <row r="1153" spans="1:8" x14ac:dyDescent="0.15">
      <c r="A1153">
        <v>50</v>
      </c>
      <c r="B1153">
        <v>16</v>
      </c>
      <c r="C1153">
        <v>978795.21484375</v>
      </c>
      <c r="D1153">
        <v>192015.85486130413</v>
      </c>
      <c r="E1153">
        <v>1.1665737266348304E-5</v>
      </c>
      <c r="F1153">
        <v>1.1661302913555442E-5</v>
      </c>
      <c r="G1153">
        <v>4.4343527928622305E-9</v>
      </c>
      <c r="H1153" t="b">
        <v>0</v>
      </c>
    </row>
    <row r="1154" spans="1:8" x14ac:dyDescent="0.15">
      <c r="A1154">
        <v>50</v>
      </c>
      <c r="B1154">
        <v>17</v>
      </c>
      <c r="C1154">
        <v>978945.21484375</v>
      </c>
      <c r="D1154">
        <v>961109.26015234867</v>
      </c>
      <c r="E1154">
        <v>1.1683412271513105E-5</v>
      </c>
      <c r="F1154">
        <v>1.1661302913555442E-5</v>
      </c>
      <c r="G1154">
        <v>2.210935795766236E-8</v>
      </c>
      <c r="H1154" t="b">
        <v>0</v>
      </c>
    </row>
    <row r="1155" spans="1:8" x14ac:dyDescent="0.15">
      <c r="A1155">
        <v>50</v>
      </c>
      <c r="B1155">
        <v>18</v>
      </c>
      <c r="C1155">
        <v>979125.21484375</v>
      </c>
      <c r="D1155">
        <v>1893193.9287700038</v>
      </c>
      <c r="E1155">
        <v>1.1704651712661586E-5</v>
      </c>
      <c r="F1155">
        <v>1.1661302913555442E-5</v>
      </c>
      <c r="G1155">
        <v>4.3348799106143987E-8</v>
      </c>
      <c r="H1155" t="b">
        <v>0</v>
      </c>
    </row>
    <row r="1156" spans="1:8" x14ac:dyDescent="0.15">
      <c r="A1156">
        <v>50</v>
      </c>
      <c r="B1156">
        <v>19</v>
      </c>
      <c r="C1156">
        <v>979035.21484375</v>
      </c>
      <c r="D1156">
        <v>1425855.370380485</v>
      </c>
      <c r="E1156">
        <v>1.1694026988358278E-5</v>
      </c>
      <c r="F1156">
        <v>1.1661302913555442E-5</v>
      </c>
      <c r="G1156">
        <v>3.2724074802836038E-8</v>
      </c>
      <c r="H1156" t="b">
        <v>0</v>
      </c>
    </row>
    <row r="1157" spans="1:8" x14ac:dyDescent="0.15">
      <c r="A1157">
        <v>50</v>
      </c>
      <c r="B1157">
        <v>20</v>
      </c>
      <c r="C1157">
        <v>978927.21484375</v>
      </c>
      <c r="D1157">
        <v>868454.31012633012</v>
      </c>
      <c r="E1157">
        <v>1.1681290154982046E-5</v>
      </c>
      <c r="F1157">
        <v>1.1661302913555442E-5</v>
      </c>
      <c r="G1157">
        <v>1.9987241426603491E-8</v>
      </c>
      <c r="H1157" t="b">
        <v>0</v>
      </c>
    </row>
    <row r="1158" spans="1:8" x14ac:dyDescent="0.15">
      <c r="A1158">
        <v>50</v>
      </c>
      <c r="B1158">
        <v>21</v>
      </c>
      <c r="C1158">
        <v>978981.21484375</v>
      </c>
      <c r="D1158">
        <v>1146683.6304761681</v>
      </c>
      <c r="E1158">
        <v>1.1687656652491071E-5</v>
      </c>
      <c r="F1158">
        <v>1.1661302913555442E-5</v>
      </c>
      <c r="G1158">
        <v>2.635373893562918E-8</v>
      </c>
      <c r="H1158" t="b">
        <v>0</v>
      </c>
    </row>
    <row r="1159" spans="1:8" x14ac:dyDescent="0.15">
      <c r="A1159">
        <v>50</v>
      </c>
      <c r="B1159">
        <v>22</v>
      </c>
      <c r="C1159">
        <v>978954.21484375</v>
      </c>
      <c r="D1159">
        <v>1007437.3532565685</v>
      </c>
      <c r="E1159">
        <v>1.1684472605964633E-5</v>
      </c>
      <c r="F1159">
        <v>1.1661302913555442E-5</v>
      </c>
      <c r="G1159">
        <v>2.3169692409190403E-8</v>
      </c>
      <c r="H1159" t="b">
        <v>0</v>
      </c>
    </row>
    <row r="1160" spans="1:8" x14ac:dyDescent="0.15">
      <c r="A1160">
        <v>50</v>
      </c>
      <c r="B1160">
        <v>23</v>
      </c>
      <c r="C1160">
        <v>978921.81484374998</v>
      </c>
      <c r="D1160">
        <v>840677.4214186637</v>
      </c>
      <c r="E1160">
        <v>1.168065358479024E-5</v>
      </c>
      <c r="F1160">
        <v>1.1661302913555442E-5</v>
      </c>
      <c r="G1160">
        <v>1.9350671234798033E-8</v>
      </c>
      <c r="H1160" t="b">
        <v>0</v>
      </c>
    </row>
    <row r="1161" spans="1:8" x14ac:dyDescent="0.15">
      <c r="A1161">
        <v>50</v>
      </c>
      <c r="B1161">
        <v>24</v>
      </c>
      <c r="C1161">
        <v>978938.01484374993</v>
      </c>
      <c r="D1161">
        <v>924035.21946497366</v>
      </c>
      <c r="E1161">
        <v>1.1682563385041787E-5</v>
      </c>
      <c r="F1161">
        <v>1.1661302913555442E-5</v>
      </c>
      <c r="G1161">
        <v>2.12604714863447E-8</v>
      </c>
      <c r="H1161" t="b">
        <v>0</v>
      </c>
    </row>
    <row r="1162" spans="1:8" x14ac:dyDescent="0.15">
      <c r="A1162">
        <v>50</v>
      </c>
      <c r="B1162">
        <v>25</v>
      </c>
      <c r="C1162">
        <v>978957.45484374987</v>
      </c>
      <c r="D1162">
        <v>1024172.0428588253</v>
      </c>
      <c r="E1162">
        <v>1.1684855500488774E-5</v>
      </c>
      <c r="F1162">
        <v>1.1661302913555442E-5</v>
      </c>
      <c r="G1162">
        <v>2.3552586933331873E-8</v>
      </c>
      <c r="H1162" t="b">
        <v>0</v>
      </c>
    </row>
    <row r="1163" spans="1:8" x14ac:dyDescent="0.15">
      <c r="A1163">
        <v>50</v>
      </c>
      <c r="B1163">
        <v>26</v>
      </c>
      <c r="C1163">
        <v>978947.7348437499</v>
      </c>
      <c r="D1163">
        <v>974088.97404827108</v>
      </c>
      <c r="E1163">
        <v>1.1683709394333882E-5</v>
      </c>
      <c r="F1163">
        <v>1.1661302913555442E-5</v>
      </c>
      <c r="G1163">
        <v>2.2406480778439997E-8</v>
      </c>
      <c r="H1163" t="b">
        <v>0</v>
      </c>
    </row>
    <row r="1164" spans="1:8" x14ac:dyDescent="0.15">
      <c r="A1164">
        <v>51</v>
      </c>
      <c r="B1164">
        <v>1</v>
      </c>
      <c r="C1164">
        <v>6050000</v>
      </c>
      <c r="D1164">
        <v>1.5694248253506442E+18</v>
      </c>
      <c r="E1164">
        <v>165.39965916739874</v>
      </c>
      <c r="F1164">
        <v>8.5960371052351547E-6</v>
      </c>
      <c r="G1164">
        <v>165.39965057136163</v>
      </c>
      <c r="H1164" t="b">
        <v>0</v>
      </c>
    </row>
    <row r="1165" spans="1:8" x14ac:dyDescent="0.15">
      <c r="A1165">
        <v>51</v>
      </c>
      <c r="B1165">
        <v>2</v>
      </c>
      <c r="C1165">
        <v>3075000</v>
      </c>
      <c r="D1165">
        <v>1.824641778430226E+16</v>
      </c>
      <c r="E1165">
        <v>3.4194737070557046</v>
      </c>
      <c r="F1165">
        <v>8.5960371150051174E-6</v>
      </c>
      <c r="G1165">
        <v>3.4194651110185896</v>
      </c>
      <c r="H1165" t="b">
        <v>0</v>
      </c>
    </row>
    <row r="1166" spans="1:8" x14ac:dyDescent="0.15">
      <c r="A1166">
        <v>51</v>
      </c>
      <c r="B1166">
        <v>3</v>
      </c>
      <c r="C1166">
        <v>1587500</v>
      </c>
      <c r="D1166">
        <v>2399329030654.5435</v>
      </c>
      <c r="E1166">
        <v>2.1085366098456734E-3</v>
      </c>
      <c r="F1166">
        <v>8.596037114962183E-6</v>
      </c>
      <c r="G1166">
        <v>2.0999405727307112E-3</v>
      </c>
      <c r="H1166" t="b">
        <v>0</v>
      </c>
    </row>
    <row r="1167" spans="1:8" x14ac:dyDescent="0.15">
      <c r="A1167">
        <v>51</v>
      </c>
      <c r="B1167">
        <v>4</v>
      </c>
      <c r="C1167">
        <v>843750</v>
      </c>
      <c r="D1167">
        <v>-208323.43795850867</v>
      </c>
      <c r="E1167">
        <v>1.9592926144388068E-7</v>
      </c>
      <c r="F1167">
        <v>8.5960371149621762E-6</v>
      </c>
      <c r="G1167">
        <v>-8.4001078535182959E-6</v>
      </c>
      <c r="H1167" t="b">
        <v>1</v>
      </c>
    </row>
    <row r="1168" spans="1:8" x14ac:dyDescent="0.15">
      <c r="A1168">
        <v>51</v>
      </c>
      <c r="B1168">
        <v>5</v>
      </c>
      <c r="C1168">
        <v>1215625</v>
      </c>
      <c r="D1168">
        <v>2215932699.5838819</v>
      </c>
      <c r="E1168">
        <v>1.9679798055979464E-5</v>
      </c>
      <c r="F1168">
        <v>8.5960371149621762E-6</v>
      </c>
      <c r="G1168">
        <v>1.1083760941017288E-5</v>
      </c>
      <c r="H1168" t="b">
        <v>0</v>
      </c>
    </row>
    <row r="1169" spans="1:8" x14ac:dyDescent="0.15">
      <c r="A1169">
        <v>51</v>
      </c>
      <c r="B1169">
        <v>6</v>
      </c>
      <c r="C1169">
        <v>1029687.5</v>
      </c>
      <c r="D1169">
        <v>-2696595.4155857456</v>
      </c>
      <c r="E1169">
        <v>3.5325754533666467E-6</v>
      </c>
      <c r="F1169">
        <v>8.5960371149621762E-6</v>
      </c>
      <c r="G1169">
        <v>-5.063461661595529E-6</v>
      </c>
      <c r="H1169" t="b">
        <v>1</v>
      </c>
    </row>
    <row r="1170" spans="1:8" x14ac:dyDescent="0.15">
      <c r="A1170">
        <v>51</v>
      </c>
      <c r="B1170">
        <v>7</v>
      </c>
      <c r="C1170">
        <v>1122656.25</v>
      </c>
      <c r="D1170">
        <v>-41632311.599255159</v>
      </c>
      <c r="E1170">
        <v>7.2289599113126794E-6</v>
      </c>
      <c r="F1170">
        <v>8.5960371149621762E-6</v>
      </c>
      <c r="G1170">
        <v>-1.3670772036494968E-6</v>
      </c>
      <c r="H1170" t="b">
        <v>1</v>
      </c>
    </row>
    <row r="1171" spans="1:8" x14ac:dyDescent="0.15">
      <c r="A1171">
        <v>51</v>
      </c>
      <c r="B1171">
        <v>8</v>
      </c>
      <c r="C1171">
        <v>1169140.625</v>
      </c>
      <c r="D1171">
        <v>133144843.47198361</v>
      </c>
      <c r="E1171">
        <v>1.0213003378041721E-5</v>
      </c>
      <c r="F1171">
        <v>8.5960371149621762E-6</v>
      </c>
      <c r="G1171">
        <v>1.6169662630795449E-6</v>
      </c>
      <c r="H1171" t="b">
        <v>0</v>
      </c>
    </row>
    <row r="1172" spans="1:8" x14ac:dyDescent="0.15">
      <c r="A1172">
        <v>51</v>
      </c>
      <c r="B1172">
        <v>9</v>
      </c>
      <c r="C1172">
        <v>1145898.4375</v>
      </c>
      <c r="D1172">
        <v>-508924.0795447572</v>
      </c>
      <c r="E1172">
        <v>8.5866131472412456E-6</v>
      </c>
      <c r="F1172">
        <v>8.5960371149621762E-6</v>
      </c>
      <c r="G1172">
        <v>-9.423967720930578E-9</v>
      </c>
      <c r="H1172" t="b">
        <v>1</v>
      </c>
    </row>
    <row r="1173" spans="1:8" x14ac:dyDescent="0.15">
      <c r="A1173">
        <v>51</v>
      </c>
      <c r="B1173">
        <v>10</v>
      </c>
      <c r="C1173">
        <v>1157519.53125</v>
      </c>
      <c r="D1173">
        <v>50872933.164175905</v>
      </c>
      <c r="E1173">
        <v>9.3509019378608407E-6</v>
      </c>
      <c r="F1173">
        <v>8.5960371149621762E-6</v>
      </c>
      <c r="G1173">
        <v>7.5486482289866452E-7</v>
      </c>
      <c r="H1173" t="b">
        <v>0</v>
      </c>
    </row>
    <row r="1174" spans="1:8" x14ac:dyDescent="0.15">
      <c r="A1174">
        <v>51</v>
      </c>
      <c r="B1174">
        <v>11</v>
      </c>
      <c r="C1174">
        <v>1151708.984375</v>
      </c>
      <c r="D1174">
        <v>22121524.27859468</v>
      </c>
      <c r="E1174">
        <v>8.9612293947433751E-6</v>
      </c>
      <c r="F1174">
        <v>8.5960371149621762E-6</v>
      </c>
      <c r="G1174">
        <v>3.6519227978119896E-7</v>
      </c>
      <c r="H1174" t="b">
        <v>0</v>
      </c>
    </row>
    <row r="1175" spans="1:8" x14ac:dyDescent="0.15">
      <c r="A1175">
        <v>51</v>
      </c>
      <c r="B1175">
        <v>12</v>
      </c>
      <c r="C1175">
        <v>1148803.7109375</v>
      </c>
      <c r="D1175">
        <v>10079253.950944079</v>
      </c>
      <c r="E1175">
        <v>8.7720706886127765E-6</v>
      </c>
      <c r="F1175">
        <v>8.5960371149621762E-6</v>
      </c>
      <c r="G1175">
        <v>1.760335736506003E-7</v>
      </c>
      <c r="H1175" t="b">
        <v>0</v>
      </c>
    </row>
    <row r="1176" spans="1:8" x14ac:dyDescent="0.15">
      <c r="A1176">
        <v>51</v>
      </c>
      <c r="B1176">
        <v>13</v>
      </c>
      <c r="C1176">
        <v>1147351.07421875</v>
      </c>
      <c r="D1176">
        <v>4608095.3615322132</v>
      </c>
      <c r="E1176">
        <v>8.6788831624197562E-6</v>
      </c>
      <c r="F1176">
        <v>8.5960371149621762E-6</v>
      </c>
      <c r="G1176">
        <v>8.2846047457580047E-8</v>
      </c>
      <c r="H1176" t="b">
        <v>0</v>
      </c>
    </row>
    <row r="1177" spans="1:8" x14ac:dyDescent="0.15">
      <c r="A1177">
        <v>51</v>
      </c>
      <c r="B1177">
        <v>14</v>
      </c>
      <c r="C1177">
        <v>1146151.07421875</v>
      </c>
      <c r="D1177">
        <v>355975.81773358869</v>
      </c>
      <c r="E1177">
        <v>8.60259481717355E-6</v>
      </c>
      <c r="F1177">
        <v>8.5960371149621762E-6</v>
      </c>
      <c r="G1177">
        <v>6.5577022113738452E-9</v>
      </c>
      <c r="H1177" t="b">
        <v>0</v>
      </c>
    </row>
    <row r="1178" spans="1:8" x14ac:dyDescent="0.15">
      <c r="A1178">
        <v>51</v>
      </c>
      <c r="B1178">
        <v>15</v>
      </c>
      <c r="C1178">
        <v>1146751.07421875</v>
      </c>
      <c r="D1178">
        <v>2452121.7691837843</v>
      </c>
      <c r="E1178">
        <v>8.6406603922134146E-6</v>
      </c>
      <c r="F1178">
        <v>8.5960371149621762E-6</v>
      </c>
      <c r="G1178">
        <v>4.4623277251238457E-8</v>
      </c>
      <c r="H1178" t="b">
        <v>0</v>
      </c>
    </row>
    <row r="1179" spans="1:8" x14ac:dyDescent="0.15">
      <c r="A1179">
        <v>51</v>
      </c>
      <c r="B1179">
        <v>16</v>
      </c>
      <c r="C1179">
        <v>1146451.07421875</v>
      </c>
      <c r="D1179">
        <v>1396603.3704114018</v>
      </c>
      <c r="E1179">
        <v>8.6216078400740716E-6</v>
      </c>
      <c r="F1179">
        <v>8.5960371149621762E-6</v>
      </c>
      <c r="G1179">
        <v>2.5570725111895401E-8</v>
      </c>
      <c r="H1179" t="b">
        <v>0</v>
      </c>
    </row>
    <row r="1180" spans="1:8" x14ac:dyDescent="0.15">
      <c r="A1180">
        <v>51</v>
      </c>
      <c r="B1180">
        <v>17</v>
      </c>
      <c r="C1180">
        <v>1146091.07421875</v>
      </c>
      <c r="D1180">
        <v>149586.1109612087</v>
      </c>
      <c r="E1180">
        <v>8.598796143035781E-6</v>
      </c>
      <c r="F1180">
        <v>8.5960371149621762E-6</v>
      </c>
      <c r="G1180">
        <v>2.759028073604861E-9</v>
      </c>
      <c r="H1180" t="b">
        <v>0</v>
      </c>
    </row>
    <row r="1181" spans="1:8" x14ac:dyDescent="0.15">
      <c r="A1181">
        <v>51</v>
      </c>
      <c r="B1181">
        <v>18</v>
      </c>
      <c r="C1181">
        <v>1146271.07421875</v>
      </c>
      <c r="D1181">
        <v>770462.32720563153</v>
      </c>
      <c r="E1181">
        <v>8.6101955996015577E-6</v>
      </c>
      <c r="F1181">
        <v>8.5960371149621762E-6</v>
      </c>
      <c r="G1181">
        <v>1.4158484639381519E-8</v>
      </c>
      <c r="H1181" t="b">
        <v>0</v>
      </c>
    </row>
    <row r="1182" spans="1:8" x14ac:dyDescent="0.15">
      <c r="A1182">
        <v>51</v>
      </c>
      <c r="B1182">
        <v>19</v>
      </c>
      <c r="C1182">
        <v>1146487.07421875</v>
      </c>
      <c r="D1182">
        <v>1522512.6166542699</v>
      </c>
      <c r="E1182">
        <v>8.6238926909151497E-6</v>
      </c>
      <c r="F1182">
        <v>8.5960371149621762E-6</v>
      </c>
      <c r="G1182">
        <v>2.7855575952973557E-8</v>
      </c>
      <c r="H1182" t="b">
        <v>0</v>
      </c>
    </row>
    <row r="1183" spans="1:8" x14ac:dyDescent="0.15">
      <c r="A1183">
        <v>51</v>
      </c>
      <c r="B1183">
        <v>20</v>
      </c>
      <c r="C1183">
        <v>1146379.07421875</v>
      </c>
      <c r="D1183">
        <v>1145492.941604824</v>
      </c>
      <c r="E1183">
        <v>8.6170410228369784E-6</v>
      </c>
      <c r="F1183">
        <v>8.5960371149621762E-6</v>
      </c>
      <c r="G1183">
        <v>2.1003907874802261E-8</v>
      </c>
      <c r="H1183" t="b">
        <v>0</v>
      </c>
    </row>
    <row r="1184" spans="1:8" x14ac:dyDescent="0.15">
      <c r="A1184">
        <v>52</v>
      </c>
      <c r="B1184">
        <v>1</v>
      </c>
      <c r="C1184">
        <v>6050000</v>
      </c>
      <c r="D1184">
        <v>1.2838823453908214E+18</v>
      </c>
      <c r="E1184">
        <v>536.87092200000006</v>
      </c>
      <c r="F1184">
        <v>2.5998049750342034E-5</v>
      </c>
      <c r="G1184">
        <v>536.87089600195031</v>
      </c>
      <c r="H1184" t="b">
        <v>0</v>
      </c>
    </row>
    <row r="1185" spans="1:8" x14ac:dyDescent="0.15">
      <c r="A1185">
        <v>52</v>
      </c>
      <c r="B1185">
        <v>2</v>
      </c>
      <c r="C1185">
        <v>3075000</v>
      </c>
      <c r="D1185">
        <v>1.2838823453908216E+18</v>
      </c>
      <c r="E1185">
        <v>536.87092200000018</v>
      </c>
      <c r="F1185">
        <v>2.5998049750342034E-5</v>
      </c>
      <c r="G1185">
        <v>536.87089600195043</v>
      </c>
      <c r="H1185" t="b">
        <v>0</v>
      </c>
    </row>
    <row r="1186" spans="1:8" x14ac:dyDescent="0.15">
      <c r="A1186">
        <v>52</v>
      </c>
      <c r="B1186">
        <v>3</v>
      </c>
      <c r="C1186">
        <v>1587500</v>
      </c>
      <c r="D1186">
        <v>1.2838823453908214E+18</v>
      </c>
      <c r="E1186">
        <v>536.87092200000006</v>
      </c>
      <c r="F1186">
        <v>2.5998049750342034E-5</v>
      </c>
      <c r="G1186">
        <v>536.87089600195031</v>
      </c>
      <c r="H1186" t="b">
        <v>0</v>
      </c>
    </row>
    <row r="1187" spans="1:8" x14ac:dyDescent="0.15">
      <c r="A1187">
        <v>52</v>
      </c>
      <c r="B1187">
        <v>4</v>
      </c>
      <c r="C1187">
        <v>843750</v>
      </c>
      <c r="D1187">
        <v>207938916867542.44</v>
      </c>
      <c r="E1187">
        <v>0.28373323210991808</v>
      </c>
      <c r="F1187">
        <v>2.5998049742792517E-5</v>
      </c>
      <c r="G1187">
        <v>0.28370723406017528</v>
      </c>
      <c r="H1187" t="b">
        <v>0</v>
      </c>
    </row>
    <row r="1188" spans="1:8" x14ac:dyDescent="0.15">
      <c r="A1188">
        <v>52</v>
      </c>
      <c r="B1188">
        <v>5</v>
      </c>
      <c r="C1188">
        <v>471875</v>
      </c>
      <c r="D1188">
        <v>-274399.93277681421</v>
      </c>
      <c r="E1188">
        <v>4.9316150121156312E-6</v>
      </c>
      <c r="F1188">
        <v>2.5998049742769597E-5</v>
      </c>
      <c r="G1188">
        <v>-2.1066434730653966E-5</v>
      </c>
      <c r="H1188" t="b">
        <v>1</v>
      </c>
    </row>
    <row r="1189" spans="1:8" x14ac:dyDescent="0.15">
      <c r="A1189">
        <v>52</v>
      </c>
      <c r="B1189">
        <v>6</v>
      </c>
      <c r="C1189">
        <v>657812.5</v>
      </c>
      <c r="D1189">
        <v>693301422665.19604</v>
      </c>
      <c r="E1189">
        <v>2.7299689697112468E-3</v>
      </c>
      <c r="F1189">
        <v>2.5998049742769532E-5</v>
      </c>
      <c r="G1189">
        <v>2.7039709199684773E-3</v>
      </c>
      <c r="H1189" t="b">
        <v>0</v>
      </c>
    </row>
    <row r="1190" spans="1:8" x14ac:dyDescent="0.15">
      <c r="A1190">
        <v>52</v>
      </c>
      <c r="B1190">
        <v>7</v>
      </c>
      <c r="C1190">
        <v>564843.75</v>
      </c>
      <c r="D1190">
        <v>5273385808.3017139</v>
      </c>
      <c r="E1190">
        <v>9.0284054173779522E-5</v>
      </c>
      <c r="F1190">
        <v>2.59980497427696E-5</v>
      </c>
      <c r="G1190">
        <v>6.4286004431009922E-5</v>
      </c>
      <c r="H1190" t="b">
        <v>0</v>
      </c>
    </row>
    <row r="1191" spans="1:8" x14ac:dyDescent="0.15">
      <c r="A1191">
        <v>52</v>
      </c>
      <c r="B1191">
        <v>8</v>
      </c>
      <c r="C1191">
        <v>518359.375</v>
      </c>
      <c r="D1191">
        <v>-24128528.645159528</v>
      </c>
      <c r="E1191">
        <v>1.4463919176336443E-5</v>
      </c>
      <c r="F1191">
        <v>2.5998049742769597E-5</v>
      </c>
      <c r="G1191">
        <v>-1.1534130566433154E-5</v>
      </c>
      <c r="H1191" t="b">
        <v>1</v>
      </c>
    </row>
    <row r="1192" spans="1:8" x14ac:dyDescent="0.15">
      <c r="A1192">
        <v>52</v>
      </c>
      <c r="B1192">
        <v>9</v>
      </c>
      <c r="C1192">
        <v>541601.5625</v>
      </c>
      <c r="D1192">
        <v>415399208.61889648</v>
      </c>
      <c r="E1192">
        <v>3.4599666241140529E-5</v>
      </c>
      <c r="F1192">
        <v>2.5998049742769597E-5</v>
      </c>
      <c r="G1192">
        <v>8.601616498370933E-6</v>
      </c>
      <c r="H1192" t="b">
        <v>0</v>
      </c>
    </row>
    <row r="1193" spans="1:8" x14ac:dyDescent="0.15">
      <c r="A1193">
        <v>52</v>
      </c>
      <c r="B1193">
        <v>10</v>
      </c>
      <c r="C1193">
        <v>529980.46875</v>
      </c>
      <c r="D1193">
        <v>-99434968.120580807</v>
      </c>
      <c r="E1193">
        <v>2.0958938848430864E-5</v>
      </c>
      <c r="F1193">
        <v>2.5998049742769597E-5</v>
      </c>
      <c r="G1193">
        <v>-5.0391108943387324E-6</v>
      </c>
      <c r="H1193" t="b">
        <v>1</v>
      </c>
    </row>
    <row r="1194" spans="1:8" x14ac:dyDescent="0.15">
      <c r="A1194">
        <v>52</v>
      </c>
      <c r="B1194">
        <v>11</v>
      </c>
      <c r="C1194">
        <v>535791.015625</v>
      </c>
      <c r="D1194">
        <v>35227716.749744989</v>
      </c>
      <c r="E1194">
        <v>2.6978211675263999E-5</v>
      </c>
      <c r="F1194">
        <v>2.5998049742769597E-5</v>
      </c>
      <c r="G1194">
        <v>9.8016193249440204E-7</v>
      </c>
      <c r="H1194" t="b">
        <v>0</v>
      </c>
    </row>
    <row r="1195" spans="1:8" x14ac:dyDescent="0.15">
      <c r="A1195">
        <v>52</v>
      </c>
      <c r="B1195">
        <v>12</v>
      </c>
      <c r="C1195">
        <v>532885.7421875</v>
      </c>
      <c r="D1195">
        <v>-60985889.576713443</v>
      </c>
      <c r="E1195">
        <v>2.3789898112635631E-5</v>
      </c>
      <c r="F1195">
        <v>2.5998049742769597E-5</v>
      </c>
      <c r="G1195">
        <v>-2.2081516301339654E-6</v>
      </c>
      <c r="H1195" t="b">
        <v>1</v>
      </c>
    </row>
    <row r="1196" spans="1:8" x14ac:dyDescent="0.15">
      <c r="A1196">
        <v>52</v>
      </c>
      <c r="B1196">
        <v>13</v>
      </c>
      <c r="C1196">
        <v>534338.37890625</v>
      </c>
      <c r="D1196">
        <v>-20978617.398291029</v>
      </c>
      <c r="E1196">
        <v>2.5336864352390388E-5</v>
      </c>
      <c r="F1196">
        <v>2.5998049742769597E-5</v>
      </c>
      <c r="G1196">
        <v>-6.6118539037920846E-7</v>
      </c>
      <c r="H1196" t="b">
        <v>1</v>
      </c>
    </row>
    <row r="1197" spans="1:8" x14ac:dyDescent="0.15">
      <c r="A1197">
        <v>52</v>
      </c>
      <c r="B1197">
        <v>14</v>
      </c>
      <c r="C1197">
        <v>534838.37890625</v>
      </c>
      <c r="D1197">
        <v>-3553974.2634144253</v>
      </c>
      <c r="E1197">
        <v>2.5890896827903097E-5</v>
      </c>
      <c r="F1197">
        <v>2.5998049742769597E-5</v>
      </c>
      <c r="G1197">
        <v>-1.0715291486649997E-7</v>
      </c>
      <c r="H1197" t="b">
        <v>1</v>
      </c>
    </row>
    <row r="1198" spans="1:8" x14ac:dyDescent="0.15">
      <c r="A1198">
        <v>52</v>
      </c>
      <c r="B1198">
        <v>15</v>
      </c>
      <c r="C1198">
        <v>535338.37890625</v>
      </c>
      <c r="D1198">
        <v>15864690.718070228</v>
      </c>
      <c r="E1198">
        <v>2.6456332643463232E-5</v>
      </c>
      <c r="F1198">
        <v>2.5998049742769597E-5</v>
      </c>
      <c r="G1198">
        <v>4.5828290069363585E-7</v>
      </c>
      <c r="H1198" t="b">
        <v>0</v>
      </c>
    </row>
    <row r="1199" spans="1:8" x14ac:dyDescent="0.15">
      <c r="A1199">
        <v>52</v>
      </c>
      <c r="B1199">
        <v>16</v>
      </c>
      <c r="C1199">
        <v>535088.37890625</v>
      </c>
      <c r="D1199">
        <v>5901276.640246382</v>
      </c>
      <c r="E1199">
        <v>2.6172174807895965E-5</v>
      </c>
      <c r="F1199">
        <v>2.5998049742769597E-5</v>
      </c>
      <c r="G1199">
        <v>1.7412506512636835E-7</v>
      </c>
      <c r="H1199" t="b">
        <v>0</v>
      </c>
    </row>
    <row r="1200" spans="1:8" x14ac:dyDescent="0.15">
      <c r="A1200">
        <v>52</v>
      </c>
      <c r="B1200">
        <v>17</v>
      </c>
      <c r="C1200">
        <v>534788.37890625</v>
      </c>
      <c r="D1200">
        <v>-5384793.4195388509</v>
      </c>
      <c r="E1200">
        <v>2.583498750759394E-5</v>
      </c>
      <c r="F1200">
        <v>2.5998049742769597E-5</v>
      </c>
      <c r="G1200">
        <v>-1.6306223517565651E-7</v>
      </c>
      <c r="H1200" t="b">
        <v>1</v>
      </c>
    </row>
    <row r="1201" spans="1:8" x14ac:dyDescent="0.15">
      <c r="A1201">
        <v>52</v>
      </c>
      <c r="B1201">
        <v>18</v>
      </c>
      <c r="C1201">
        <v>534938.37890625</v>
      </c>
      <c r="D1201">
        <v>167774.99116117452</v>
      </c>
      <c r="E1201">
        <v>2.6003064471693434E-5</v>
      </c>
      <c r="F1201">
        <v>2.5998049742769597E-5</v>
      </c>
      <c r="G1201">
        <v>5.0147289238376745E-9</v>
      </c>
      <c r="H1201" t="b">
        <v>0</v>
      </c>
    </row>
    <row r="1202" spans="1:8" x14ac:dyDescent="0.15">
      <c r="A1202">
        <v>52</v>
      </c>
      <c r="B1202">
        <v>19</v>
      </c>
      <c r="C1202">
        <v>535118.37890625</v>
      </c>
      <c r="D1202">
        <v>7069859.6720063305</v>
      </c>
      <c r="E1202">
        <v>2.6206121018633983E-5</v>
      </c>
      <c r="F1202">
        <v>2.5998049742769597E-5</v>
      </c>
      <c r="G1202">
        <v>2.080712758643868E-7</v>
      </c>
      <c r="H1202" t="b">
        <v>0</v>
      </c>
    </row>
    <row r="1203" spans="1:8" x14ac:dyDescent="0.15">
      <c r="A1203">
        <v>52</v>
      </c>
      <c r="B1203">
        <v>20</v>
      </c>
      <c r="C1203">
        <v>535028.37890625</v>
      </c>
      <c r="D1203">
        <v>3586165.9300000607</v>
      </c>
      <c r="E1203">
        <v>2.6104410277850633E-5</v>
      </c>
      <c r="F1203">
        <v>2.5998049742769597E-5</v>
      </c>
      <c r="G1203">
        <v>1.0636053508103653E-7</v>
      </c>
      <c r="H1203" t="b">
        <v>0</v>
      </c>
    </row>
    <row r="1204" spans="1:8" x14ac:dyDescent="0.15">
      <c r="A1204">
        <v>52</v>
      </c>
      <c r="B1204">
        <v>21</v>
      </c>
      <c r="C1204">
        <v>534920.37890625</v>
      </c>
      <c r="D1204">
        <v>-508047.0328812357</v>
      </c>
      <c r="E1204">
        <v>2.5982840741347685E-5</v>
      </c>
      <c r="F1204">
        <v>2.5998049742769597E-5</v>
      </c>
      <c r="G1204">
        <v>-1.5209001421911576E-8</v>
      </c>
      <c r="H1204" t="b">
        <v>1</v>
      </c>
    </row>
    <row r="1205" spans="1:8" x14ac:dyDescent="0.15">
      <c r="A1205">
        <v>52</v>
      </c>
      <c r="B1205">
        <v>22</v>
      </c>
      <c r="C1205">
        <v>534974.37890625</v>
      </c>
      <c r="D1205">
        <v>1527245.907042753</v>
      </c>
      <c r="E1205">
        <v>2.6043556791051803E-5</v>
      </c>
      <c r="F1205">
        <v>2.5998049742769597E-5</v>
      </c>
      <c r="G1205">
        <v>4.5507048282206788E-8</v>
      </c>
      <c r="H1205" t="b">
        <v>0</v>
      </c>
    </row>
    <row r="1206" spans="1:8" x14ac:dyDescent="0.15">
      <c r="A1206">
        <v>52</v>
      </c>
      <c r="B1206">
        <v>23</v>
      </c>
      <c r="C1206">
        <v>534947.37890625</v>
      </c>
      <c r="D1206">
        <v>506790.52126683766</v>
      </c>
      <c r="E1206">
        <v>2.6013185726115246E-5</v>
      </c>
      <c r="F1206">
        <v>2.5998049742769597E-5</v>
      </c>
      <c r="G1206">
        <v>1.5135983345649425E-8</v>
      </c>
      <c r="H1206" t="b">
        <v>0</v>
      </c>
    </row>
    <row r="1207" spans="1:8" x14ac:dyDescent="0.15">
      <c r="A1207">
        <v>52</v>
      </c>
      <c r="B1207">
        <v>24</v>
      </c>
      <c r="C1207">
        <v>534960.87890625</v>
      </c>
      <c r="D1207">
        <v>1016342.2102732356</v>
      </c>
      <c r="E1207">
        <v>2.6028368793096297E-5</v>
      </c>
      <c r="F1207">
        <v>2.5998049742769597E-5</v>
      </c>
      <c r="G1207">
        <v>3.0319050326700414E-8</v>
      </c>
      <c r="H1207" t="b">
        <v>0</v>
      </c>
    </row>
    <row r="1208" spans="1:8" x14ac:dyDescent="0.15">
      <c r="A1208">
        <v>52</v>
      </c>
      <c r="B1208">
        <v>25</v>
      </c>
      <c r="C1208">
        <v>534954.12890625</v>
      </c>
      <c r="D1208">
        <v>761260.14745948499</v>
      </c>
      <c r="E1208">
        <v>2.602077255351949E-5</v>
      </c>
      <c r="F1208">
        <v>2.5998049742769597E-5</v>
      </c>
      <c r="G1208">
        <v>2.2722810749893684E-8</v>
      </c>
      <c r="H1208" t="b">
        <v>0</v>
      </c>
    </row>
    <row r="1209" spans="1:8" x14ac:dyDescent="0.15">
      <c r="A1209">
        <v>52</v>
      </c>
      <c r="B1209">
        <v>26</v>
      </c>
      <c r="C1209">
        <v>534946.02890625002</v>
      </c>
      <c r="D1209">
        <v>455914.22364528861</v>
      </c>
      <c r="E1209">
        <v>2.6011667825872126E-5</v>
      </c>
      <c r="F1209">
        <v>2.5998049742769597E-5</v>
      </c>
      <c r="G1209">
        <v>1.3618083102529758E-8</v>
      </c>
      <c r="H1209" t="b">
        <v>0</v>
      </c>
    </row>
    <row r="1210" spans="1:8" x14ac:dyDescent="0.15">
      <c r="A1210">
        <v>52</v>
      </c>
      <c r="B1210">
        <v>27</v>
      </c>
      <c r="C1210">
        <v>534950.07890625007</v>
      </c>
      <c r="D1210">
        <v>608587.51598090131</v>
      </c>
      <c r="E1210">
        <v>2.6016221789689424E-5</v>
      </c>
      <c r="F1210">
        <v>2.5998049742769597E-5</v>
      </c>
      <c r="G1210">
        <v>1.8172046919827508E-8</v>
      </c>
      <c r="H1210" t="b">
        <v>0</v>
      </c>
    </row>
    <row r="1211" spans="1:8" x14ac:dyDescent="0.15">
      <c r="A1211">
        <v>52</v>
      </c>
      <c r="B1211">
        <v>28</v>
      </c>
      <c r="C1211">
        <v>534948.05390625005</v>
      </c>
      <c r="D1211">
        <v>532114.23492417252</v>
      </c>
      <c r="E1211">
        <v>2.6013941130195277E-5</v>
      </c>
      <c r="F1211">
        <v>2.5998049742769597E-5</v>
      </c>
      <c r="G1211">
        <v>1.5891387425680134E-8</v>
      </c>
      <c r="H1211" t="b">
        <v>0</v>
      </c>
    </row>
    <row r="1212" spans="1:8" x14ac:dyDescent="0.15">
      <c r="A1212">
        <v>53</v>
      </c>
      <c r="B1212">
        <v>1</v>
      </c>
      <c r="C1212">
        <v>6050000</v>
      </c>
      <c r="D1212">
        <v>1.2838823453908214E+18</v>
      </c>
      <c r="E1212">
        <v>536.87092200000006</v>
      </c>
      <c r="F1212">
        <v>2.5998049750342034E-5</v>
      </c>
      <c r="G1212">
        <v>536.87089600195031</v>
      </c>
      <c r="H1212" t="b">
        <v>0</v>
      </c>
    </row>
    <row r="1213" spans="1:8" x14ac:dyDescent="0.15">
      <c r="A1213">
        <v>53</v>
      </c>
      <c r="B1213">
        <v>2</v>
      </c>
      <c r="C1213">
        <v>3075000</v>
      </c>
      <c r="D1213">
        <v>3.220533303607399E+17</v>
      </c>
      <c r="E1213">
        <v>158.46495206448347</v>
      </c>
      <c r="F1213">
        <v>2.5998049750342034E-5</v>
      </c>
      <c r="G1213">
        <v>158.46492606643372</v>
      </c>
      <c r="H1213" t="b">
        <v>0</v>
      </c>
    </row>
    <row r="1214" spans="1:8" x14ac:dyDescent="0.15">
      <c r="A1214">
        <v>53</v>
      </c>
      <c r="B1214">
        <v>3</v>
      </c>
      <c r="C1214">
        <v>1587500</v>
      </c>
      <c r="D1214">
        <v>225660260471415.78</v>
      </c>
      <c r="E1214">
        <v>0.30389921258041741</v>
      </c>
      <c r="F1214">
        <v>2.5998049742792517E-5</v>
      </c>
      <c r="G1214">
        <v>0.30387321453067462</v>
      </c>
      <c r="H1214" t="b">
        <v>0</v>
      </c>
    </row>
    <row r="1215" spans="1:8" x14ac:dyDescent="0.15">
      <c r="A1215">
        <v>53</v>
      </c>
      <c r="B1215">
        <v>4</v>
      </c>
      <c r="C1215">
        <v>843750</v>
      </c>
      <c r="D1215">
        <v>-1718272.5989434791</v>
      </c>
      <c r="E1215">
        <v>9.8449297046957407E-6</v>
      </c>
      <c r="F1215">
        <v>2.5998049742769593E-5</v>
      </c>
      <c r="G1215">
        <v>-1.6153120038073854E-5</v>
      </c>
      <c r="H1215" t="b">
        <v>1</v>
      </c>
    </row>
    <row r="1216" spans="1:8" x14ac:dyDescent="0.15">
      <c r="A1216">
        <v>53</v>
      </c>
      <c r="B1216">
        <v>5</v>
      </c>
      <c r="C1216">
        <v>1215625</v>
      </c>
      <c r="D1216">
        <v>1807828154270.9641</v>
      </c>
      <c r="E1216">
        <v>5.8129313237815453E-3</v>
      </c>
      <c r="F1216">
        <v>2.5998049742769966E-5</v>
      </c>
      <c r="G1216">
        <v>5.7869332740387754E-3</v>
      </c>
      <c r="H1216" t="b">
        <v>0</v>
      </c>
    </row>
    <row r="1217" spans="1:8" x14ac:dyDescent="0.15">
      <c r="A1217">
        <v>53</v>
      </c>
      <c r="B1217">
        <v>6</v>
      </c>
      <c r="C1217">
        <v>1029687.5</v>
      </c>
      <c r="D1217">
        <v>32170978556.704945</v>
      </c>
      <c r="E1217">
        <v>2.7806584108920672E-4</v>
      </c>
      <c r="F1217">
        <v>2.5998049742769586E-5</v>
      </c>
      <c r="G1217">
        <v>2.5206779134643713E-4</v>
      </c>
      <c r="H1217" t="b">
        <v>0</v>
      </c>
    </row>
    <row r="1218" spans="1:8" x14ac:dyDescent="0.15">
      <c r="A1218">
        <v>53</v>
      </c>
      <c r="B1218">
        <v>7</v>
      </c>
      <c r="C1218">
        <v>936718.75</v>
      </c>
      <c r="D1218">
        <v>1146124816.9187896</v>
      </c>
      <c r="E1218">
        <v>4.576954642945068E-5</v>
      </c>
      <c r="F1218">
        <v>2.5998049742769597E-5</v>
      </c>
      <c r="G1218">
        <v>1.9771496686681083E-5</v>
      </c>
      <c r="H1218" t="b">
        <v>0</v>
      </c>
    </row>
    <row r="1219" spans="1:8" x14ac:dyDescent="0.15">
      <c r="A1219">
        <v>53</v>
      </c>
      <c r="B1219">
        <v>8</v>
      </c>
      <c r="C1219">
        <v>890234.375</v>
      </c>
      <c r="D1219">
        <v>-68234303.156293646</v>
      </c>
      <c r="E1219">
        <v>1.6737983783871806E-5</v>
      </c>
      <c r="F1219">
        <v>2.5998049742769597E-5</v>
      </c>
      <c r="G1219">
        <v>-9.2600659588977906E-6</v>
      </c>
      <c r="H1219" t="b">
        <v>1</v>
      </c>
    </row>
    <row r="1220" spans="1:8" x14ac:dyDescent="0.15">
      <c r="A1220">
        <v>53</v>
      </c>
      <c r="B1220">
        <v>9</v>
      </c>
      <c r="C1220">
        <v>913476.5625</v>
      </c>
      <c r="D1220">
        <v>74193110.477667883</v>
      </c>
      <c r="E1220">
        <v>2.7933908625337478E-5</v>
      </c>
      <c r="F1220">
        <v>2.5998049742769597E-5</v>
      </c>
      <c r="G1220">
        <v>1.9358588825678815E-6</v>
      </c>
      <c r="H1220" t="b">
        <v>0</v>
      </c>
    </row>
    <row r="1221" spans="1:8" x14ac:dyDescent="0.15">
      <c r="A1221">
        <v>53</v>
      </c>
      <c r="B1221">
        <v>10</v>
      </c>
      <c r="C1221">
        <v>901855.46875</v>
      </c>
      <c r="D1221">
        <v>-94120113.409576252</v>
      </c>
      <c r="E1221">
        <v>2.1674743255593929E-5</v>
      </c>
      <c r="F1221">
        <v>2.5998049742769597E-5</v>
      </c>
      <c r="G1221">
        <v>-4.323306487175668E-6</v>
      </c>
      <c r="H1221" t="b">
        <v>1</v>
      </c>
    </row>
    <row r="1222" spans="1:8" x14ac:dyDescent="0.15">
      <c r="A1222">
        <v>53</v>
      </c>
      <c r="B1222">
        <v>11</v>
      </c>
      <c r="C1222">
        <v>907666.015625</v>
      </c>
      <c r="D1222">
        <v>-41109702.455082014</v>
      </c>
      <c r="E1222">
        <v>2.4620507143692267E-5</v>
      </c>
      <c r="F1222">
        <v>2.5998049742769597E-5</v>
      </c>
      <c r="G1222">
        <v>-1.3775425990773299E-6</v>
      </c>
      <c r="H1222" t="b">
        <v>1</v>
      </c>
    </row>
    <row r="1223" spans="1:8" x14ac:dyDescent="0.15">
      <c r="A1223">
        <v>53</v>
      </c>
      <c r="B1223">
        <v>12</v>
      </c>
      <c r="C1223">
        <v>910571.2890625</v>
      </c>
      <c r="D1223">
        <v>7851596.6118780971</v>
      </c>
      <c r="E1223">
        <v>2.6228734691308106E-5</v>
      </c>
      <c r="F1223">
        <v>2.5998049742769597E-5</v>
      </c>
      <c r="G1223">
        <v>2.3068494853850988E-7</v>
      </c>
      <c r="H1223" t="b">
        <v>0</v>
      </c>
    </row>
    <row r="1224" spans="1:8" x14ac:dyDescent="0.15">
      <c r="A1224">
        <v>53</v>
      </c>
      <c r="B1224">
        <v>13</v>
      </c>
      <c r="C1224">
        <v>909118.65234375</v>
      </c>
      <c r="D1224">
        <v>-18684499.484303609</v>
      </c>
      <c r="E1224">
        <v>2.5412825116681577E-5</v>
      </c>
      <c r="F1224">
        <v>2.5998049742769597E-5</v>
      </c>
      <c r="G1224">
        <v>-5.8522462608801953E-7</v>
      </c>
      <c r="H1224" t="b">
        <v>1</v>
      </c>
    </row>
    <row r="1225" spans="1:8" x14ac:dyDescent="0.15">
      <c r="A1225">
        <v>53</v>
      </c>
      <c r="B1225">
        <v>14</v>
      </c>
      <c r="C1225">
        <v>909618.65234375</v>
      </c>
      <c r="D1225">
        <v>-10026329.988116501</v>
      </c>
      <c r="E1225">
        <v>2.5690966550417234E-5</v>
      </c>
      <c r="F1225">
        <v>2.5998049742769597E-5</v>
      </c>
      <c r="G1225">
        <v>-3.0708319235236232E-7</v>
      </c>
      <c r="H1225" t="b">
        <v>1</v>
      </c>
    </row>
    <row r="1226" spans="1:8" x14ac:dyDescent="0.15">
      <c r="A1226">
        <v>53</v>
      </c>
      <c r="B1226">
        <v>15</v>
      </c>
      <c r="C1226">
        <v>910118.65234375</v>
      </c>
      <c r="D1226">
        <v>-871813.03345024621</v>
      </c>
      <c r="E1226">
        <v>2.5971928987450249E-5</v>
      </c>
      <c r="F1226">
        <v>2.5998049742769597E-5</v>
      </c>
      <c r="G1226">
        <v>-2.6120755319348002E-8</v>
      </c>
      <c r="H1226" t="b">
        <v>1</v>
      </c>
    </row>
    <row r="1227" spans="1:8" x14ac:dyDescent="0.15">
      <c r="A1227">
        <v>53</v>
      </c>
      <c r="B1227">
        <v>16</v>
      </c>
      <c r="C1227">
        <v>910618.65234375</v>
      </c>
      <c r="D1227">
        <v>8788505.6550816391</v>
      </c>
      <c r="E1227">
        <v>2.6255738057278805E-5</v>
      </c>
      <c r="F1227">
        <v>2.5998049742769597E-5</v>
      </c>
      <c r="G1227">
        <v>2.576883145092081E-7</v>
      </c>
      <c r="H1227" t="b">
        <v>0</v>
      </c>
    </row>
    <row r="1228" spans="1:8" x14ac:dyDescent="0.15">
      <c r="A1228">
        <v>53</v>
      </c>
      <c r="B1228">
        <v>17</v>
      </c>
      <c r="C1228">
        <v>910368.65234375</v>
      </c>
      <c r="D1228">
        <v>3894521.6024769647</v>
      </c>
      <c r="E1228">
        <v>2.6113475947145328E-5</v>
      </c>
      <c r="F1228">
        <v>2.5998049742769597E-5</v>
      </c>
      <c r="G1228">
        <v>1.154262043757315E-7</v>
      </c>
      <c r="H1228" t="b">
        <v>0</v>
      </c>
    </row>
    <row r="1229" spans="1:8" x14ac:dyDescent="0.15">
      <c r="A1229">
        <v>53</v>
      </c>
      <c r="B1229">
        <v>18</v>
      </c>
      <c r="C1229">
        <v>910068.65234375</v>
      </c>
      <c r="D1229">
        <v>-1809869.214551304</v>
      </c>
      <c r="E1229">
        <v>2.5943705064931107E-5</v>
      </c>
      <c r="F1229">
        <v>2.5998049742769597E-5</v>
      </c>
      <c r="G1229">
        <v>-5.4344677838489582E-8</v>
      </c>
      <c r="H1229" t="b">
        <v>1</v>
      </c>
    </row>
    <row r="1230" spans="1:8" x14ac:dyDescent="0.15">
      <c r="A1230">
        <v>53</v>
      </c>
      <c r="B1230">
        <v>19</v>
      </c>
      <c r="C1230">
        <v>910218.65234375</v>
      </c>
      <c r="D1230">
        <v>1019475.419484754</v>
      </c>
      <c r="E1230">
        <v>2.6028462043854842E-5</v>
      </c>
      <c r="F1230">
        <v>2.5998049742769597E-5</v>
      </c>
      <c r="G1230">
        <v>3.0412301085245609E-8</v>
      </c>
      <c r="H1230" t="b">
        <v>0</v>
      </c>
    </row>
    <row r="1231" spans="1:8" x14ac:dyDescent="0.15">
      <c r="A1231">
        <v>53</v>
      </c>
      <c r="B1231">
        <v>20</v>
      </c>
      <c r="C1231">
        <v>910143.65234375</v>
      </c>
      <c r="D1231">
        <v>-400778.14789161854</v>
      </c>
      <c r="E1231">
        <v>2.5986054937539559E-5</v>
      </c>
      <c r="F1231">
        <v>2.5998049742769597E-5</v>
      </c>
      <c r="G1231">
        <v>-1.1994805230037793E-8</v>
      </c>
      <c r="H1231" t="b">
        <v>1</v>
      </c>
    </row>
    <row r="1232" spans="1:8" x14ac:dyDescent="0.15">
      <c r="A1232">
        <v>53</v>
      </c>
      <c r="B1232">
        <v>21</v>
      </c>
      <c r="C1232">
        <v>910181.15234375</v>
      </c>
      <c r="D1232">
        <v>307865.73118960229</v>
      </c>
      <c r="E1232">
        <v>2.6007248767331218E-5</v>
      </c>
      <c r="F1232">
        <v>2.5998049742769597E-5</v>
      </c>
      <c r="G1232">
        <v>9.1990245616214994E-9</v>
      </c>
      <c r="H1232" t="b">
        <v>0</v>
      </c>
    </row>
    <row r="1233" spans="1:8" x14ac:dyDescent="0.15">
      <c r="A1233">
        <v>53</v>
      </c>
      <c r="B1233">
        <v>22</v>
      </c>
      <c r="C1233">
        <v>910226.15234375</v>
      </c>
      <c r="D1233">
        <v>1162140.2809125255</v>
      </c>
      <c r="E1233">
        <v>2.6032706634424207E-5</v>
      </c>
      <c r="F1233">
        <v>2.5998049742769597E-5</v>
      </c>
      <c r="G1233">
        <v>3.4656891654610215E-8</v>
      </c>
      <c r="H1233" t="b">
        <v>0</v>
      </c>
    </row>
    <row r="1234" spans="1:8" x14ac:dyDescent="0.15">
      <c r="A1234">
        <v>53</v>
      </c>
      <c r="B1234">
        <v>23</v>
      </c>
      <c r="C1234">
        <v>910203.65234375</v>
      </c>
      <c r="D1234">
        <v>734612.47428948269</v>
      </c>
      <c r="E1234">
        <v>2.6019978486263981E-5</v>
      </c>
      <c r="F1234">
        <v>2.5998049742769597E-5</v>
      </c>
      <c r="G1234">
        <v>2.1928743494384681E-8</v>
      </c>
      <c r="H1234" t="b">
        <v>0</v>
      </c>
    </row>
    <row r="1235" spans="1:8" x14ac:dyDescent="0.15">
      <c r="A1235">
        <v>53</v>
      </c>
      <c r="B1235">
        <v>24</v>
      </c>
      <c r="C1235">
        <v>910214.90234375</v>
      </c>
      <c r="D1235">
        <v>948297.34640226245</v>
      </c>
      <c r="E1235">
        <v>2.6026343309275269E-5</v>
      </c>
      <c r="F1235">
        <v>2.5998049742769597E-5</v>
      </c>
      <c r="G1235">
        <v>2.8293566505672703E-8</v>
      </c>
      <c r="H1235" t="b">
        <v>0</v>
      </c>
    </row>
    <row r="1236" spans="1:8" x14ac:dyDescent="0.15">
      <c r="A1236">
        <v>53</v>
      </c>
      <c r="B1236">
        <v>25</v>
      </c>
      <c r="C1236">
        <v>910209.27734375</v>
      </c>
      <c r="D1236">
        <v>841416.43443271227</v>
      </c>
      <c r="E1236">
        <v>2.6023160527818521E-5</v>
      </c>
      <c r="F1236">
        <v>2.5998049742769597E-5</v>
      </c>
      <c r="G1236">
        <v>2.5110785048924233E-8</v>
      </c>
      <c r="H1236" t="b">
        <v>0</v>
      </c>
    </row>
    <row r="1237" spans="1:8" x14ac:dyDescent="0.15">
      <c r="A1237">
        <v>53</v>
      </c>
      <c r="B1237">
        <v>26</v>
      </c>
      <c r="C1237">
        <v>910212.08984375</v>
      </c>
      <c r="D1237">
        <v>894737.37823872163</v>
      </c>
      <c r="E1237">
        <v>2.6024748553632172E-5</v>
      </c>
      <c r="F1237">
        <v>2.5998049742769597E-5</v>
      </c>
      <c r="G1237">
        <v>2.6698810862575809E-8</v>
      </c>
      <c r="H1237" t="b">
        <v>0</v>
      </c>
    </row>
    <row r="1238" spans="1:8" x14ac:dyDescent="0.15">
      <c r="A1238">
        <v>53</v>
      </c>
      <c r="B1238">
        <v>27</v>
      </c>
      <c r="C1238">
        <v>910215.46484375</v>
      </c>
      <c r="D1238">
        <v>958877.44808422739</v>
      </c>
      <c r="E1238">
        <v>2.6026658287228291E-5</v>
      </c>
      <c r="F1238">
        <v>2.5998049742769597E-5</v>
      </c>
      <c r="G1238">
        <v>2.8608544458694283E-8</v>
      </c>
      <c r="H1238" t="b">
        <v>0</v>
      </c>
    </row>
    <row r="1239" spans="1:8" x14ac:dyDescent="0.15">
      <c r="A1239">
        <v>53</v>
      </c>
      <c r="B1239">
        <v>28</v>
      </c>
      <c r="C1239">
        <v>910213.77734375</v>
      </c>
      <c r="D1239">
        <v>926804.52203565394</v>
      </c>
      <c r="E1239">
        <v>2.6025703404185015E-5</v>
      </c>
      <c r="F1239">
        <v>2.5998049742769597E-5</v>
      </c>
      <c r="G1239">
        <v>2.765366141541895E-8</v>
      </c>
      <c r="H1239" t="b">
        <v>0</v>
      </c>
    </row>
    <row r="1240" spans="1:8" x14ac:dyDescent="0.15">
      <c r="A1240">
        <v>53</v>
      </c>
      <c r="B1240">
        <v>29</v>
      </c>
      <c r="C1240">
        <v>910211.75234374998</v>
      </c>
      <c r="D1240">
        <v>888436.12102435355</v>
      </c>
      <c r="E1240">
        <v>2.6024560907186695E-5</v>
      </c>
      <c r="F1240">
        <v>2.5998049742769597E-5</v>
      </c>
      <c r="G1240">
        <v>2.651116441709843E-8</v>
      </c>
      <c r="H1240" t="b">
        <v>0</v>
      </c>
    </row>
    <row r="1241" spans="1:8" x14ac:dyDescent="0.15">
      <c r="A1241">
        <v>53</v>
      </c>
      <c r="B1241">
        <v>30</v>
      </c>
      <c r="C1241">
        <v>910212.76484374993</v>
      </c>
      <c r="D1241">
        <v>907563.54194633476</v>
      </c>
      <c r="E1241">
        <v>2.6025130489955581E-5</v>
      </c>
      <c r="F1241">
        <v>2.5998049742769597E-5</v>
      </c>
      <c r="G1241">
        <v>2.7080747185984571E-8</v>
      </c>
      <c r="H1241" t="b">
        <v>0</v>
      </c>
    </row>
    <row r="1242" spans="1:8" x14ac:dyDescent="0.15">
      <c r="A1242">
        <v>54</v>
      </c>
      <c r="B1242">
        <v>1</v>
      </c>
      <c r="C1242">
        <v>6050000</v>
      </c>
      <c r="D1242">
        <v>2.3214121461268024E+18</v>
      </c>
      <c r="E1242">
        <v>536.87092200000006</v>
      </c>
      <c r="F1242">
        <v>1.7804228832574154E-5</v>
      </c>
      <c r="G1242">
        <v>536.87090419577123</v>
      </c>
      <c r="H1242" t="b">
        <v>0</v>
      </c>
    </row>
    <row r="1243" spans="1:8" x14ac:dyDescent="0.15">
      <c r="A1243">
        <v>54</v>
      </c>
      <c r="B1243">
        <v>2</v>
      </c>
      <c r="C1243">
        <v>3075000</v>
      </c>
      <c r="D1243">
        <v>2.3214121461268024E+18</v>
      </c>
      <c r="E1243">
        <v>536.87092200000006</v>
      </c>
      <c r="F1243">
        <v>1.7804228832574154E-5</v>
      </c>
      <c r="G1243">
        <v>536.87090419577123</v>
      </c>
      <c r="H1243" t="b">
        <v>0</v>
      </c>
    </row>
    <row r="1244" spans="1:8" x14ac:dyDescent="0.15">
      <c r="A1244">
        <v>54</v>
      </c>
      <c r="B1244">
        <v>3</v>
      </c>
      <c r="C1244">
        <v>1587500</v>
      </c>
      <c r="D1244">
        <v>2.5917028881214648E+16</v>
      </c>
      <c r="E1244">
        <v>10.452272735732006</v>
      </c>
      <c r="F1244">
        <v>1.7804228813034229E-5</v>
      </c>
      <c r="G1244">
        <v>10.452254931503193</v>
      </c>
      <c r="H1244" t="b">
        <v>0</v>
      </c>
    </row>
    <row r="1245" spans="1:8" x14ac:dyDescent="0.15">
      <c r="A1245">
        <v>54</v>
      </c>
      <c r="B1245">
        <v>4</v>
      </c>
      <c r="C1245">
        <v>843750</v>
      </c>
      <c r="D1245">
        <v>71027370375.604248</v>
      </c>
      <c r="E1245">
        <v>3.0665829843635898E-4</v>
      </c>
      <c r="F1245">
        <v>1.7804228812400675E-5</v>
      </c>
      <c r="G1245">
        <v>2.888540696239583E-4</v>
      </c>
      <c r="H1245" t="b">
        <v>0</v>
      </c>
    </row>
    <row r="1246" spans="1:8" x14ac:dyDescent="0.15">
      <c r="A1246">
        <v>54</v>
      </c>
      <c r="B1246">
        <v>5</v>
      </c>
      <c r="C1246">
        <v>471875</v>
      </c>
      <c r="D1246">
        <v>-39891.009311650341</v>
      </c>
      <c r="E1246">
        <v>-4.7843782228171855E-6</v>
      </c>
      <c r="F1246">
        <v>1.7804228812400651E-5</v>
      </c>
      <c r="G1246">
        <v>-2.2588607035217836E-5</v>
      </c>
      <c r="H1246" t="b">
        <v>1</v>
      </c>
    </row>
    <row r="1247" spans="1:8" x14ac:dyDescent="0.15">
      <c r="A1247">
        <v>54</v>
      </c>
      <c r="B1247">
        <v>6</v>
      </c>
      <c r="C1247">
        <v>657812.5</v>
      </c>
      <c r="D1247">
        <v>-551820.46265647782</v>
      </c>
      <c r="E1247">
        <v>4.6366916528770363E-6</v>
      </c>
      <c r="F1247">
        <v>1.7804228812400651E-5</v>
      </c>
      <c r="G1247">
        <v>-1.3167537159523616E-5</v>
      </c>
      <c r="H1247" t="b">
        <v>1</v>
      </c>
    </row>
    <row r="1248" spans="1:8" x14ac:dyDescent="0.15">
      <c r="A1248">
        <v>54</v>
      </c>
      <c r="B1248">
        <v>7</v>
      </c>
      <c r="C1248">
        <v>750781.25</v>
      </c>
      <c r="D1248">
        <v>760171901.8777771</v>
      </c>
      <c r="E1248">
        <v>2.6942601849068416E-5</v>
      </c>
      <c r="F1248">
        <v>1.7804228812400651E-5</v>
      </c>
      <c r="G1248">
        <v>9.1383730366677648E-6</v>
      </c>
      <c r="H1248" t="b">
        <v>0</v>
      </c>
    </row>
    <row r="1249" spans="1:8" x14ac:dyDescent="0.15">
      <c r="A1249">
        <v>54</v>
      </c>
      <c r="B1249">
        <v>8</v>
      </c>
      <c r="C1249">
        <v>704296.875</v>
      </c>
      <c r="D1249">
        <v>-17111276.822233208</v>
      </c>
      <c r="E1249">
        <v>9.6812534690034487E-6</v>
      </c>
      <c r="F1249">
        <v>1.7804228812400651E-5</v>
      </c>
      <c r="G1249">
        <v>-8.1229753433972026E-6</v>
      </c>
      <c r="H1249" t="b">
        <v>1</v>
      </c>
    </row>
    <row r="1250" spans="1:8" x14ac:dyDescent="0.15">
      <c r="A1250">
        <v>54</v>
      </c>
      <c r="B1250">
        <v>9</v>
      </c>
      <c r="C1250">
        <v>727539.0625</v>
      </c>
      <c r="D1250">
        <v>-91190931.735750109</v>
      </c>
      <c r="E1250">
        <v>1.3696191639223193E-5</v>
      </c>
      <c r="F1250">
        <v>1.7804228812400651E-5</v>
      </c>
      <c r="G1250">
        <v>-4.108037173177458E-6</v>
      </c>
      <c r="H1250" t="b">
        <v>1</v>
      </c>
    </row>
    <row r="1251" spans="1:8" x14ac:dyDescent="0.15">
      <c r="A1251">
        <v>54</v>
      </c>
      <c r="B1251">
        <v>10</v>
      </c>
      <c r="C1251">
        <v>739160.15625</v>
      </c>
      <c r="D1251">
        <v>79169146.321065202</v>
      </c>
      <c r="E1251">
        <v>1.9250318315081423E-5</v>
      </c>
      <c r="F1251">
        <v>1.7804228812400651E-5</v>
      </c>
      <c r="G1251">
        <v>1.4460895026807721E-6</v>
      </c>
      <c r="H1251" t="b">
        <v>0</v>
      </c>
    </row>
    <row r="1252" spans="1:8" x14ac:dyDescent="0.15">
      <c r="A1252">
        <v>54</v>
      </c>
      <c r="B1252">
        <v>11</v>
      </c>
      <c r="C1252">
        <v>733349.609375</v>
      </c>
      <c r="D1252">
        <v>-59249966.682658523</v>
      </c>
      <c r="E1252">
        <v>1.6224252961843657E-5</v>
      </c>
      <c r="F1252">
        <v>1.7804228812400651E-5</v>
      </c>
      <c r="G1252">
        <v>-1.579975850556994E-6</v>
      </c>
      <c r="H1252" t="b">
        <v>1</v>
      </c>
    </row>
    <row r="1253" spans="1:8" x14ac:dyDescent="0.15">
      <c r="A1253">
        <v>54</v>
      </c>
      <c r="B1253">
        <v>12</v>
      </c>
      <c r="C1253">
        <v>736254.8828125</v>
      </c>
      <c r="D1253">
        <v>-5843536.8339022631</v>
      </c>
      <c r="E1253">
        <v>1.7677035708165605E-5</v>
      </c>
      <c r="F1253">
        <v>1.7804228812400651E-5</v>
      </c>
      <c r="G1253">
        <v>-1.2719310423504635E-7</v>
      </c>
      <c r="H1253" t="b">
        <v>1</v>
      </c>
    </row>
    <row r="1254" spans="1:8" x14ac:dyDescent="0.15">
      <c r="A1254">
        <v>54</v>
      </c>
      <c r="B1254">
        <v>13</v>
      </c>
      <c r="C1254">
        <v>737707.51953125</v>
      </c>
      <c r="D1254">
        <v>32385047.141110513</v>
      </c>
      <c r="E1254">
        <v>1.8448053428452875E-5</v>
      </c>
      <c r="F1254">
        <v>1.7804228812400651E-5</v>
      </c>
      <c r="G1254">
        <v>6.4382461605222384E-7</v>
      </c>
      <c r="H1254" t="b">
        <v>0</v>
      </c>
    </row>
    <row r="1255" spans="1:8" x14ac:dyDescent="0.15">
      <c r="A1255">
        <v>54</v>
      </c>
      <c r="B1255">
        <v>14</v>
      </c>
      <c r="C1255">
        <v>736507.51953125</v>
      </c>
      <c r="D1255">
        <v>219668.57651260309</v>
      </c>
      <c r="E1255">
        <v>1.7808933249951757E-5</v>
      </c>
      <c r="F1255">
        <v>1.7804228812400651E-5</v>
      </c>
      <c r="G1255">
        <v>4.7044375511059305E-9</v>
      </c>
      <c r="H1255" t="b">
        <v>0</v>
      </c>
    </row>
    <row r="1256" spans="1:8" x14ac:dyDescent="0.15">
      <c r="A1256">
        <v>54</v>
      </c>
      <c r="B1256">
        <v>15</v>
      </c>
      <c r="C1256">
        <v>737107.51953125</v>
      </c>
      <c r="D1256">
        <v>15596395.955221012</v>
      </c>
      <c r="E1256">
        <v>1.8125870687208652E-5</v>
      </c>
      <c r="F1256">
        <v>1.7804228812400651E-5</v>
      </c>
      <c r="G1256">
        <v>3.2164187480800049E-7</v>
      </c>
      <c r="H1256" t="b">
        <v>0</v>
      </c>
    </row>
    <row r="1257" spans="1:8" x14ac:dyDescent="0.15">
      <c r="A1257">
        <v>54</v>
      </c>
      <c r="B1257">
        <v>16</v>
      </c>
      <c r="C1257">
        <v>736807.51953125</v>
      </c>
      <c r="D1257">
        <v>7734473.6155424481</v>
      </c>
      <c r="E1257">
        <v>1.7966751791536272E-5</v>
      </c>
      <c r="F1257">
        <v>1.7804228812400651E-5</v>
      </c>
      <c r="G1257">
        <v>1.6252297913562031E-7</v>
      </c>
      <c r="H1257" t="b">
        <v>0</v>
      </c>
    </row>
    <row r="1258" spans="1:8" x14ac:dyDescent="0.15">
      <c r="A1258">
        <v>54</v>
      </c>
      <c r="B1258">
        <v>17</v>
      </c>
      <c r="C1258">
        <v>736447.51953125</v>
      </c>
      <c r="D1258">
        <v>-1242112.6533751921</v>
      </c>
      <c r="E1258">
        <v>1.7777525409755026E-5</v>
      </c>
      <c r="F1258">
        <v>1.7804228812400651E-5</v>
      </c>
      <c r="G1258">
        <v>-2.6703402645624977E-8</v>
      </c>
      <c r="H1258" t="b">
        <v>1</v>
      </c>
    </row>
    <row r="1259" spans="1:8" x14ac:dyDescent="0.15">
      <c r="A1259">
        <v>54</v>
      </c>
      <c r="B1259">
        <v>18</v>
      </c>
      <c r="C1259">
        <v>736627.51953125</v>
      </c>
      <c r="D1259">
        <v>3184355.2604551404</v>
      </c>
      <c r="E1259">
        <v>1.7871906308834634E-5</v>
      </c>
      <c r="F1259">
        <v>1.7804228812400651E-5</v>
      </c>
      <c r="G1259">
        <v>6.7677496433982311E-8</v>
      </c>
      <c r="H1259" t="b">
        <v>0</v>
      </c>
    </row>
    <row r="1260" spans="1:8" x14ac:dyDescent="0.15">
      <c r="A1260">
        <v>54</v>
      </c>
      <c r="B1260">
        <v>19</v>
      </c>
      <c r="C1260">
        <v>736537.51953125</v>
      </c>
      <c r="D1260">
        <v>955678.14256877592</v>
      </c>
      <c r="E1260">
        <v>1.782465655414712E-5</v>
      </c>
      <c r="F1260">
        <v>1.7804228812400651E-5</v>
      </c>
      <c r="G1260">
        <v>2.0427741746468527E-8</v>
      </c>
      <c r="H1260" t="b">
        <v>0</v>
      </c>
    </row>
    <row r="1261" spans="1:8" x14ac:dyDescent="0.15">
      <c r="A1261">
        <v>54</v>
      </c>
      <c r="B1261">
        <v>20</v>
      </c>
      <c r="C1261">
        <v>736429.51953125</v>
      </c>
      <c r="D1261">
        <v>-1677889.9782811094</v>
      </c>
      <c r="E1261">
        <v>1.7768115302041715E-5</v>
      </c>
      <c r="F1261">
        <v>1.7804228812400651E-5</v>
      </c>
      <c r="G1261">
        <v>-3.6113510358936615E-8</v>
      </c>
      <c r="H1261" t="b">
        <v>1</v>
      </c>
    </row>
    <row r="1262" spans="1:8" x14ac:dyDescent="0.15">
      <c r="A1262">
        <v>54</v>
      </c>
      <c r="B1262">
        <v>21</v>
      </c>
      <c r="C1262">
        <v>736483.51953125</v>
      </c>
      <c r="D1262">
        <v>-366680.32881773089</v>
      </c>
      <c r="E1262">
        <v>1.7796363913803098E-5</v>
      </c>
      <c r="F1262">
        <v>1.7804228812400651E-5</v>
      </c>
      <c r="G1262">
        <v>-7.8648985975536849E-9</v>
      </c>
      <c r="H1262" t="b">
        <v>1</v>
      </c>
    </row>
    <row r="1263" spans="1:8" x14ac:dyDescent="0.15">
      <c r="A1263">
        <v>54</v>
      </c>
      <c r="B1263">
        <v>22</v>
      </c>
      <c r="C1263">
        <v>736537.51953125</v>
      </c>
      <c r="D1263">
        <v>955678.14256877592</v>
      </c>
      <c r="E1263">
        <v>1.782465655414712E-5</v>
      </c>
      <c r="F1263">
        <v>1.7804228812400651E-5</v>
      </c>
      <c r="G1263">
        <v>2.0427741746468527E-8</v>
      </c>
      <c r="H1263" t="b">
        <v>0</v>
      </c>
    </row>
    <row r="1264" spans="1:8" x14ac:dyDescent="0.15">
      <c r="A1264">
        <v>54</v>
      </c>
      <c r="B1264">
        <v>23</v>
      </c>
      <c r="C1264">
        <v>736510.51953125</v>
      </c>
      <c r="D1264">
        <v>293115.78397293144</v>
      </c>
      <c r="E1264">
        <v>1.7810504998537559E-5</v>
      </c>
      <c r="F1264">
        <v>1.7804228812400651E-5</v>
      </c>
      <c r="G1264">
        <v>6.2761861369076914E-9</v>
      </c>
      <c r="H1264" t="b">
        <v>0</v>
      </c>
    </row>
    <row r="1265" spans="1:8" x14ac:dyDescent="0.15">
      <c r="A1265">
        <v>54</v>
      </c>
      <c r="B1265">
        <v>24</v>
      </c>
      <c r="C1265">
        <v>736524.01953125</v>
      </c>
      <c r="D1265">
        <v>624050.92121119727</v>
      </c>
      <c r="E1265">
        <v>1.7817579467033333E-5</v>
      </c>
      <c r="F1265">
        <v>1.7804228812400651E-5</v>
      </c>
      <c r="G1265">
        <v>1.3350654632681612E-8</v>
      </c>
      <c r="H1265" t="b">
        <v>0</v>
      </c>
    </row>
    <row r="1266" spans="1:8" x14ac:dyDescent="0.15">
      <c r="A1266">
        <v>54</v>
      </c>
      <c r="B1266">
        <v>25</v>
      </c>
      <c r="C1266">
        <v>736540.21953124995</v>
      </c>
      <c r="D1266">
        <v>1022086.6828776362</v>
      </c>
      <c r="E1266">
        <v>1.7826072285881702E-5</v>
      </c>
      <c r="F1266">
        <v>1.7804228812400651E-5</v>
      </c>
      <c r="G1266">
        <v>2.1843473481051174E-8</v>
      </c>
      <c r="H1266" t="b">
        <v>0</v>
      </c>
    </row>
    <row r="1267" spans="1:8" x14ac:dyDescent="0.15">
      <c r="A1267">
        <v>54</v>
      </c>
      <c r="B1267">
        <v>26</v>
      </c>
      <c r="C1267">
        <v>736532.11953124998</v>
      </c>
      <c r="D1267">
        <v>822944.17049966683</v>
      </c>
      <c r="E1267">
        <v>1.7821825405010526E-5</v>
      </c>
      <c r="F1267">
        <v>1.7804228812400651E-5</v>
      </c>
      <c r="G1267">
        <v>1.7596592609874705E-8</v>
      </c>
      <c r="H1267" t="b">
        <v>0</v>
      </c>
    </row>
    <row r="1268" spans="1:8" x14ac:dyDescent="0.15">
      <c r="A1268">
        <v>54</v>
      </c>
      <c r="B1268">
        <v>27</v>
      </c>
      <c r="C1268">
        <v>736522.39953125</v>
      </c>
      <c r="D1268">
        <v>584302.1731011708</v>
      </c>
      <c r="E1268">
        <v>1.7816730392570556E-5</v>
      </c>
      <c r="F1268">
        <v>1.7804228812400651E-5</v>
      </c>
      <c r="G1268">
        <v>1.2501580169904327E-8</v>
      </c>
      <c r="H1268" t="b">
        <v>0</v>
      </c>
    </row>
    <row r="1269" spans="1:8" x14ac:dyDescent="0.15">
      <c r="A1269">
        <v>54</v>
      </c>
      <c r="B1269">
        <v>28</v>
      </c>
      <c r="C1269">
        <v>736527.25953124999</v>
      </c>
      <c r="D1269">
        <v>703578.3166423589</v>
      </c>
      <c r="E1269">
        <v>1.78192777290906E-5</v>
      </c>
      <c r="F1269">
        <v>1.7804228812400651E-5</v>
      </c>
      <c r="G1269">
        <v>1.5048916689948839E-8</v>
      </c>
      <c r="H1269" t="b">
        <v>0</v>
      </c>
    </row>
    <row r="1270" spans="1:8" x14ac:dyDescent="0.15">
      <c r="A1270">
        <v>54</v>
      </c>
      <c r="B1270">
        <v>29</v>
      </c>
      <c r="C1270">
        <v>736533.09153125004</v>
      </c>
      <c r="D1270">
        <v>846828.10864427208</v>
      </c>
      <c r="E1270">
        <v>1.7822334980925942E-5</v>
      </c>
      <c r="F1270">
        <v>1.7804228812400651E-5</v>
      </c>
      <c r="G1270">
        <v>1.8106168525291099E-8</v>
      </c>
      <c r="H1270" t="b">
        <v>0</v>
      </c>
    </row>
    <row r="1271" spans="1:8" x14ac:dyDescent="0.15">
      <c r="A1271">
        <v>54</v>
      </c>
      <c r="B1271">
        <v>30</v>
      </c>
      <c r="C1271">
        <v>736530.17553125008</v>
      </c>
      <c r="D1271">
        <v>775187.06210770854</v>
      </c>
      <c r="E1271">
        <v>1.7820806293910821E-5</v>
      </c>
      <c r="F1271">
        <v>1.7804228812400651E-5</v>
      </c>
      <c r="G1271">
        <v>1.657748151016956E-8</v>
      </c>
      <c r="H1271" t="b">
        <v>0</v>
      </c>
    </row>
    <row r="1272" spans="1:8" x14ac:dyDescent="0.15">
      <c r="A1272">
        <v>54</v>
      </c>
      <c r="B1272">
        <v>31</v>
      </c>
      <c r="C1272">
        <v>736526.67633125011</v>
      </c>
      <c r="D1272">
        <v>689362.56548414333</v>
      </c>
      <c r="E1272">
        <v>1.7818974211263446E-5</v>
      </c>
      <c r="F1272">
        <v>1.7804228812400651E-5</v>
      </c>
      <c r="G1272">
        <v>1.474539886279515E-8</v>
      </c>
      <c r="H1272" t="b">
        <v>0</v>
      </c>
    </row>
    <row r="1273" spans="1:8" x14ac:dyDescent="0.15">
      <c r="A1273">
        <v>54</v>
      </c>
      <c r="B1273">
        <v>32</v>
      </c>
      <c r="C1273">
        <v>736528.42593125009</v>
      </c>
      <c r="D1273">
        <v>732217.93905378948</v>
      </c>
      <c r="E1273">
        <v>1.7819889140356234E-5</v>
      </c>
      <c r="F1273">
        <v>1.7804228812400651E-5</v>
      </c>
      <c r="G1273">
        <v>1.5660327955583069E-8</v>
      </c>
      <c r="H1273" t="b">
        <v>0</v>
      </c>
    </row>
    <row r="1274" spans="1:8" x14ac:dyDescent="0.15">
      <c r="A1274">
        <v>55</v>
      </c>
      <c r="B1274">
        <v>1</v>
      </c>
      <c r="C1274">
        <v>6050000</v>
      </c>
      <c r="D1274">
        <v>3.7403077314942986E+18</v>
      </c>
      <c r="E1274">
        <v>536.87092199999995</v>
      </c>
      <c r="F1274">
        <v>1.3051628798166348E-5</v>
      </c>
      <c r="G1274">
        <v>536.87090894837115</v>
      </c>
      <c r="H1274" t="b">
        <v>0</v>
      </c>
    </row>
    <row r="1275" spans="1:8" x14ac:dyDescent="0.15">
      <c r="A1275">
        <v>55</v>
      </c>
      <c r="B1275">
        <v>2</v>
      </c>
      <c r="C1275">
        <v>3075000</v>
      </c>
      <c r="D1275">
        <v>3.7403077314942991E+18</v>
      </c>
      <c r="E1275">
        <v>536.87092200000006</v>
      </c>
      <c r="F1275">
        <v>1.3051628798166348E-5</v>
      </c>
      <c r="G1275">
        <v>536.87090894837127</v>
      </c>
      <c r="H1275" t="b">
        <v>0</v>
      </c>
    </row>
    <row r="1276" spans="1:8" x14ac:dyDescent="0.15">
      <c r="A1276">
        <v>55</v>
      </c>
      <c r="B1276">
        <v>3</v>
      </c>
      <c r="C1276">
        <v>1587500</v>
      </c>
      <c r="D1276">
        <v>7507810439688152</v>
      </c>
      <c r="E1276">
        <v>2.3753124812355888</v>
      </c>
      <c r="F1276">
        <v>1.3051628850568875E-5</v>
      </c>
      <c r="G1276">
        <v>2.3752994296067382</v>
      </c>
      <c r="H1276" t="b">
        <v>0</v>
      </c>
    </row>
    <row r="1277" spans="1:8" x14ac:dyDescent="0.15">
      <c r="A1277">
        <v>55</v>
      </c>
      <c r="B1277">
        <v>4</v>
      </c>
      <c r="C1277">
        <v>843750</v>
      </c>
      <c r="D1277">
        <v>4983929746.6451406</v>
      </c>
      <c r="E1277">
        <v>4.048916236042982E-5</v>
      </c>
      <c r="F1277">
        <v>1.3051628850669109E-5</v>
      </c>
      <c r="G1277">
        <v>2.7437533509760711E-5</v>
      </c>
      <c r="H1277" t="b">
        <v>0</v>
      </c>
    </row>
    <row r="1278" spans="1:8" x14ac:dyDescent="0.15">
      <c r="A1278">
        <v>55</v>
      </c>
      <c r="B1278">
        <v>5</v>
      </c>
      <c r="C1278">
        <v>471875</v>
      </c>
      <c r="D1278">
        <v>-25853.73435770136</v>
      </c>
      <c r="E1278">
        <v>-6.4738986606839196E-6</v>
      </c>
      <c r="F1278">
        <v>1.3051628850669109E-5</v>
      </c>
      <c r="G1278">
        <v>-1.952552751135303E-5</v>
      </c>
      <c r="H1278" t="b">
        <v>1</v>
      </c>
    </row>
    <row r="1279" spans="1:8" x14ac:dyDescent="0.15">
      <c r="A1279">
        <v>55</v>
      </c>
      <c r="B1279">
        <v>6</v>
      </c>
      <c r="C1279">
        <v>657812.5</v>
      </c>
      <c r="D1279">
        <v>-224576.91133138296</v>
      </c>
      <c r="E1279">
        <v>1.4847179429932412E-6</v>
      </c>
      <c r="F1279">
        <v>1.3051628850669111E-5</v>
      </c>
      <c r="G1279">
        <v>-1.156691090767587E-5</v>
      </c>
      <c r="H1279" t="b">
        <v>1</v>
      </c>
    </row>
    <row r="1280" spans="1:8" x14ac:dyDescent="0.15">
      <c r="A1280">
        <v>55</v>
      </c>
      <c r="B1280">
        <v>7</v>
      </c>
      <c r="C1280">
        <v>750781.25</v>
      </c>
      <c r="D1280">
        <v>-6563586.0919120992</v>
      </c>
      <c r="E1280">
        <v>6.2598390890477231E-6</v>
      </c>
      <c r="F1280">
        <v>1.3051628850669111E-5</v>
      </c>
      <c r="G1280">
        <v>-6.791789761621388E-6</v>
      </c>
      <c r="H1280" t="b">
        <v>1</v>
      </c>
    </row>
    <row r="1281" spans="1:8" x14ac:dyDescent="0.15">
      <c r="A1281">
        <v>55</v>
      </c>
      <c r="B1281">
        <v>8</v>
      </c>
      <c r="C1281">
        <v>797265.625</v>
      </c>
      <c r="D1281">
        <v>-51780373.420793608</v>
      </c>
      <c r="E1281">
        <v>1.1966219784791011E-5</v>
      </c>
      <c r="F1281">
        <v>1.3051628850669111E-5</v>
      </c>
      <c r="G1281">
        <v>-1.0854090658781004E-6</v>
      </c>
      <c r="H1281" t="b">
        <v>1</v>
      </c>
    </row>
    <row r="1282" spans="1:8" x14ac:dyDescent="0.15">
      <c r="A1282">
        <v>55</v>
      </c>
      <c r="B1282">
        <v>9</v>
      </c>
      <c r="C1282">
        <v>820507.8125</v>
      </c>
      <c r="D1282">
        <v>1197222282.7648501</v>
      </c>
      <c r="E1282">
        <v>2.2294023852417817E-5</v>
      </c>
      <c r="F1282">
        <v>1.3051628850669111E-5</v>
      </c>
      <c r="G1282">
        <v>9.2423950017487058E-6</v>
      </c>
      <c r="H1282" t="b">
        <v>0</v>
      </c>
    </row>
    <row r="1283" spans="1:8" x14ac:dyDescent="0.15">
      <c r="A1283">
        <v>55</v>
      </c>
      <c r="B1283">
        <v>10</v>
      </c>
      <c r="C1283">
        <v>808886.71875</v>
      </c>
      <c r="D1283">
        <v>312343107.6201995</v>
      </c>
      <c r="E1283">
        <v>1.6396090311505287E-5</v>
      </c>
      <c r="F1283">
        <v>1.3051628850669111E-5</v>
      </c>
      <c r="G1283">
        <v>3.344461460836176E-6</v>
      </c>
      <c r="H1283" t="b">
        <v>0</v>
      </c>
    </row>
    <row r="1284" spans="1:8" x14ac:dyDescent="0.15">
      <c r="A1284">
        <v>55</v>
      </c>
      <c r="B1284">
        <v>11</v>
      </c>
      <c r="C1284">
        <v>803076.171875</v>
      </c>
      <c r="D1284">
        <v>67782847.772823378</v>
      </c>
      <c r="E1284">
        <v>1.402521291205571E-5</v>
      </c>
      <c r="F1284">
        <v>1.3051628850669111E-5</v>
      </c>
      <c r="G1284">
        <v>9.7358406138659852E-7</v>
      </c>
      <c r="H1284" t="b">
        <v>0</v>
      </c>
    </row>
    <row r="1285" spans="1:8" x14ac:dyDescent="0.15">
      <c r="A1285">
        <v>55</v>
      </c>
      <c r="B1285">
        <v>12</v>
      </c>
      <c r="C1285">
        <v>800170.8984375</v>
      </c>
      <c r="D1285">
        <v>-5489643.6820871737</v>
      </c>
      <c r="E1285">
        <v>1.2957623589011859E-5</v>
      </c>
      <c r="F1285">
        <v>1.3051628850669111E-5</v>
      </c>
      <c r="G1285">
        <v>-9.4005261657252457E-8</v>
      </c>
      <c r="H1285" t="b">
        <v>1</v>
      </c>
    </row>
    <row r="1286" spans="1:8" x14ac:dyDescent="0.15">
      <c r="A1286">
        <v>55</v>
      </c>
      <c r="B1286">
        <v>13</v>
      </c>
      <c r="C1286">
        <v>801623.53515625</v>
      </c>
      <c r="D1286">
        <v>27492590.580380805</v>
      </c>
      <c r="E1286">
        <v>1.3481566001656288E-5</v>
      </c>
      <c r="F1286">
        <v>1.3051628850669111E-5</v>
      </c>
      <c r="G1286">
        <v>4.2993715098717728E-7</v>
      </c>
      <c r="H1286" t="b">
        <v>0</v>
      </c>
    </row>
    <row r="1287" spans="1:8" x14ac:dyDescent="0.15">
      <c r="A1287">
        <v>55</v>
      </c>
      <c r="B1287">
        <v>14</v>
      </c>
      <c r="C1287">
        <v>800423.53515625</v>
      </c>
      <c r="D1287">
        <v>-253512.9237619552</v>
      </c>
      <c r="E1287">
        <v>1.3047357557378453E-5</v>
      </c>
      <c r="F1287">
        <v>1.3051628850669111E-5</v>
      </c>
      <c r="G1287">
        <v>-4.2712932906585648E-9</v>
      </c>
      <c r="H1287" t="b">
        <v>1</v>
      </c>
    </row>
    <row r="1288" spans="1:8" x14ac:dyDescent="0.15">
      <c r="A1288">
        <v>55</v>
      </c>
      <c r="B1288">
        <v>15</v>
      </c>
      <c r="C1288">
        <v>801023.53515625</v>
      </c>
      <c r="D1288">
        <v>13016413.173923925</v>
      </c>
      <c r="E1288">
        <v>1.3262803719457286E-5</v>
      </c>
      <c r="F1288">
        <v>1.3051628850669111E-5</v>
      </c>
      <c r="G1288">
        <v>2.1117486878817483E-7</v>
      </c>
      <c r="H1288" t="b">
        <v>0</v>
      </c>
    </row>
    <row r="1289" spans="1:8" x14ac:dyDescent="0.15">
      <c r="A1289">
        <v>55</v>
      </c>
      <c r="B1289">
        <v>16</v>
      </c>
      <c r="C1289">
        <v>800723.53515625</v>
      </c>
      <c r="D1289">
        <v>6233183.4136709226</v>
      </c>
      <c r="E1289">
        <v>1.3154669257067315E-5</v>
      </c>
      <c r="F1289">
        <v>1.3051628850669111E-5</v>
      </c>
      <c r="G1289">
        <v>1.0304040639820368E-7</v>
      </c>
      <c r="H1289" t="b">
        <v>0</v>
      </c>
    </row>
    <row r="1290" spans="1:8" x14ac:dyDescent="0.15">
      <c r="A1290">
        <v>55</v>
      </c>
      <c r="B1290">
        <v>17</v>
      </c>
      <c r="C1290">
        <v>800363.53515625</v>
      </c>
      <c r="D1290">
        <v>-1515605.1403467588</v>
      </c>
      <c r="E1290">
        <v>1.3025995131078135E-5</v>
      </c>
      <c r="F1290">
        <v>1.3051628850669111E-5</v>
      </c>
      <c r="G1290">
        <v>-2.5633719590975989E-8</v>
      </c>
      <c r="H1290" t="b">
        <v>1</v>
      </c>
    </row>
    <row r="1291" spans="1:8" x14ac:dyDescent="0.15">
      <c r="A1291">
        <v>55</v>
      </c>
      <c r="B1291">
        <v>18</v>
      </c>
      <c r="C1291">
        <v>800543.53515625</v>
      </c>
      <c r="D1291">
        <v>2306002.1121332957</v>
      </c>
      <c r="E1291">
        <v>1.3090185582069597E-5</v>
      </c>
      <c r="F1291">
        <v>1.3051628850669111E-5</v>
      </c>
      <c r="G1291">
        <v>3.8556731400486279E-8</v>
      </c>
      <c r="H1291" t="b">
        <v>0</v>
      </c>
    </row>
    <row r="1292" spans="1:8" x14ac:dyDescent="0.15">
      <c r="A1292">
        <v>55</v>
      </c>
      <c r="B1292">
        <v>19</v>
      </c>
      <c r="C1292">
        <v>800453.53515625</v>
      </c>
      <c r="D1292">
        <v>382055.35452581302</v>
      </c>
      <c r="E1292">
        <v>1.3058053567954061E-5</v>
      </c>
      <c r="F1292">
        <v>1.3051628850669111E-5</v>
      </c>
      <c r="G1292">
        <v>6.424717284949757E-9</v>
      </c>
      <c r="H1292" t="b">
        <v>0</v>
      </c>
    </row>
    <row r="1293" spans="1:8" x14ac:dyDescent="0.15">
      <c r="A1293">
        <v>55</v>
      </c>
      <c r="B1293">
        <v>20</v>
      </c>
      <c r="C1293">
        <v>800498.53515625</v>
      </c>
      <c r="D1293">
        <v>1340734.6111500005</v>
      </c>
      <c r="E1293">
        <v>1.3074110368066617E-5</v>
      </c>
      <c r="F1293">
        <v>1.3051628850669111E-5</v>
      </c>
      <c r="G1293">
        <v>2.2481517397505757E-8</v>
      </c>
      <c r="H1293" t="b">
        <v>0</v>
      </c>
    </row>
    <row r="1294" spans="1:8" x14ac:dyDescent="0.15">
      <c r="A1294">
        <v>55</v>
      </c>
      <c r="B1294">
        <v>21</v>
      </c>
      <c r="C1294">
        <v>800476.03515625</v>
      </c>
      <c r="D1294">
        <v>860470.99510235502</v>
      </c>
      <c r="E1294">
        <v>1.306607796748062E-5</v>
      </c>
      <c r="F1294">
        <v>1.3051628850669111E-5</v>
      </c>
      <c r="G1294">
        <v>1.4449116811508488E-8</v>
      </c>
      <c r="H1294" t="b">
        <v>0</v>
      </c>
    </row>
    <row r="1295" spans="1:8" x14ac:dyDescent="0.15">
      <c r="A1295">
        <v>55</v>
      </c>
      <c r="B1295">
        <v>22</v>
      </c>
      <c r="C1295">
        <v>800449.03515625</v>
      </c>
      <c r="D1295">
        <v>286448.06671604118</v>
      </c>
      <c r="E1295">
        <v>1.3056447201263444E-5</v>
      </c>
      <c r="F1295">
        <v>1.3051628850669111E-5</v>
      </c>
      <c r="G1295">
        <v>4.8183505943327472E-9</v>
      </c>
      <c r="H1295" t="b">
        <v>0</v>
      </c>
    </row>
    <row r="1296" spans="1:8" x14ac:dyDescent="0.15">
      <c r="A1296">
        <v>55</v>
      </c>
      <c r="B1296">
        <v>23</v>
      </c>
      <c r="C1296">
        <v>800462.53515625</v>
      </c>
      <c r="D1296">
        <v>573264.94733595115</v>
      </c>
      <c r="E1296">
        <v>1.3061263455805314E-5</v>
      </c>
      <c r="F1296">
        <v>1.3051628850669111E-5</v>
      </c>
      <c r="G1296">
        <v>9.6346051362028348E-9</v>
      </c>
      <c r="H1296" t="b">
        <v>0</v>
      </c>
    </row>
    <row r="1297" spans="1:8" x14ac:dyDescent="0.15">
      <c r="A1297">
        <v>55</v>
      </c>
      <c r="B1297">
        <v>24</v>
      </c>
      <c r="C1297">
        <v>800478.73515624995</v>
      </c>
      <c r="D1297">
        <v>918105.05345665233</v>
      </c>
      <c r="E1297">
        <v>1.3067043108583195E-5</v>
      </c>
      <c r="F1297">
        <v>1.3051628850669111E-5</v>
      </c>
      <c r="G1297">
        <v>1.5414257914083481E-8</v>
      </c>
      <c r="H1297" t="b">
        <v>0</v>
      </c>
    </row>
    <row r="1298" spans="1:8" x14ac:dyDescent="0.15">
      <c r="A1298">
        <v>55</v>
      </c>
      <c r="B1298">
        <v>25</v>
      </c>
      <c r="C1298">
        <v>800470.63515624998</v>
      </c>
      <c r="D1298">
        <v>745477.02364178502</v>
      </c>
      <c r="E1298">
        <v>1.3064151284333948E-5</v>
      </c>
      <c r="F1298">
        <v>1.3051628850669111E-5</v>
      </c>
      <c r="G1298">
        <v>1.2522433664836842E-8</v>
      </c>
      <c r="H1298" t="b">
        <v>0</v>
      </c>
    </row>
    <row r="1299" spans="1:8" x14ac:dyDescent="0.15">
      <c r="A1299">
        <v>55</v>
      </c>
      <c r="B1299">
        <v>26</v>
      </c>
      <c r="C1299">
        <v>800474.68515625002</v>
      </c>
      <c r="D1299">
        <v>831815.09946088807</v>
      </c>
      <c r="E1299">
        <v>1.3065597971801489E-5</v>
      </c>
      <c r="F1299">
        <v>1.3051628850669111E-5</v>
      </c>
      <c r="G1299">
        <v>1.3969121132378015E-8</v>
      </c>
      <c r="H1299" t="b">
        <v>0</v>
      </c>
    </row>
    <row r="1300" spans="1:8" x14ac:dyDescent="0.15">
      <c r="A1300">
        <v>55</v>
      </c>
      <c r="B1300">
        <v>27</v>
      </c>
      <c r="C1300">
        <v>800472.66015625</v>
      </c>
      <c r="D1300">
        <v>788588.66120737779</v>
      </c>
      <c r="E1300">
        <v>1.3064873759459431E-5</v>
      </c>
      <c r="F1300">
        <v>1.3051628850669111E-5</v>
      </c>
      <c r="G1300">
        <v>1.3244908790319851E-8</v>
      </c>
      <c r="H1300" t="b">
        <v>0</v>
      </c>
    </row>
    <row r="1301" spans="1:8" x14ac:dyDescent="0.15">
      <c r="A1301">
        <v>55</v>
      </c>
      <c r="B1301">
        <v>28</v>
      </c>
      <c r="C1301">
        <v>800473.67265624995</v>
      </c>
      <c r="D1301">
        <v>810149.47555708187</v>
      </c>
      <c r="E1301">
        <v>1.3065235010996599E-5</v>
      </c>
      <c r="F1301">
        <v>1.3051628850669111E-5</v>
      </c>
      <c r="G1301">
        <v>1.3606160327487999E-8</v>
      </c>
      <c r="H1301" t="b">
        <v>0</v>
      </c>
    </row>
    <row r="1302" spans="1:8" x14ac:dyDescent="0.15">
      <c r="A1302">
        <v>55</v>
      </c>
      <c r="B1302">
        <v>29</v>
      </c>
      <c r="C1302">
        <v>800473.16640624998</v>
      </c>
      <c r="D1302">
        <v>799470.10696891847</v>
      </c>
      <c r="E1302">
        <v>1.306505608394029E-5</v>
      </c>
      <c r="F1302">
        <v>1.3051628850669111E-5</v>
      </c>
      <c r="G1302">
        <v>1.3427233271179031E-8</v>
      </c>
      <c r="H1302" t="b">
        <v>0</v>
      </c>
    </row>
    <row r="1303" spans="1:8" x14ac:dyDescent="0.15">
      <c r="A1303">
        <v>56</v>
      </c>
      <c r="B1303">
        <v>1</v>
      </c>
      <c r="C1303">
        <v>6050000</v>
      </c>
      <c r="D1303">
        <v>3.6348235974924406E+18</v>
      </c>
      <c r="E1303">
        <v>536.87092200000006</v>
      </c>
      <c r="F1303">
        <v>1.3313705153450428E-5</v>
      </c>
      <c r="G1303">
        <v>536.87090868629491</v>
      </c>
      <c r="H1303" t="b">
        <v>0</v>
      </c>
    </row>
    <row r="1304" spans="1:8" x14ac:dyDescent="0.15">
      <c r="A1304">
        <v>56</v>
      </c>
      <c r="B1304">
        <v>2</v>
      </c>
      <c r="C1304">
        <v>3075000</v>
      </c>
      <c r="D1304">
        <v>3.3216775326704112E+16</v>
      </c>
      <c r="E1304">
        <v>8.7661639430177498</v>
      </c>
      <c r="F1304">
        <v>1.3313705165884926E-5</v>
      </c>
      <c r="G1304">
        <v>8.7661506293125839</v>
      </c>
      <c r="H1304" t="b">
        <v>0</v>
      </c>
    </row>
    <row r="1305" spans="1:8" x14ac:dyDescent="0.15">
      <c r="A1305">
        <v>56</v>
      </c>
      <c r="B1305">
        <v>3</v>
      </c>
      <c r="C1305">
        <v>1587500</v>
      </c>
      <c r="D1305">
        <v>151613082823.4444</v>
      </c>
      <c r="E1305">
        <v>3.7433971911820119E-4</v>
      </c>
      <c r="F1305">
        <v>1.3313705165212124E-5</v>
      </c>
      <c r="G1305">
        <v>3.6102601395298907E-4</v>
      </c>
      <c r="H1305" t="b">
        <v>0</v>
      </c>
    </row>
    <row r="1306" spans="1:8" x14ac:dyDescent="0.15">
      <c r="A1306">
        <v>56</v>
      </c>
      <c r="B1306">
        <v>4</v>
      </c>
      <c r="C1306">
        <v>843750</v>
      </c>
      <c r="D1306">
        <v>-53324.285932155843</v>
      </c>
      <c r="E1306">
        <v>-2.9534155206749459E-6</v>
      </c>
      <c r="F1306">
        <v>1.3313705165212128E-5</v>
      </c>
      <c r="G1306">
        <v>-1.6267120685887074E-5</v>
      </c>
      <c r="H1306" t="b">
        <v>1</v>
      </c>
    </row>
    <row r="1307" spans="1:8" x14ac:dyDescent="0.15">
      <c r="A1307">
        <v>56</v>
      </c>
      <c r="B1307">
        <v>5</v>
      </c>
      <c r="C1307">
        <v>1215625</v>
      </c>
      <c r="D1307">
        <v>-6330939.2192179747</v>
      </c>
      <c r="E1307">
        <v>6.3422532266615012E-6</v>
      </c>
      <c r="F1307">
        <v>1.3313705165212129E-5</v>
      </c>
      <c r="G1307">
        <v>-6.9714519385506282E-6</v>
      </c>
      <c r="H1307" t="b">
        <v>1</v>
      </c>
    </row>
    <row r="1308" spans="1:8" x14ac:dyDescent="0.15">
      <c r="A1308">
        <v>56</v>
      </c>
      <c r="B1308">
        <v>6</v>
      </c>
      <c r="C1308">
        <v>1401562.5</v>
      </c>
      <c r="D1308">
        <v>5976747226.5276423</v>
      </c>
      <c r="E1308">
        <v>4.5403350850483952E-5</v>
      </c>
      <c r="F1308">
        <v>1.3313705165212131E-5</v>
      </c>
      <c r="G1308">
        <v>3.2089645685271821E-5</v>
      </c>
      <c r="H1308" t="b">
        <v>0</v>
      </c>
    </row>
    <row r="1309" spans="1:8" x14ac:dyDescent="0.15">
      <c r="A1309">
        <v>56</v>
      </c>
      <c r="B1309">
        <v>7</v>
      </c>
      <c r="C1309">
        <v>1308593.75</v>
      </c>
      <c r="D1309">
        <v>-11299385.509306615</v>
      </c>
      <c r="E1309">
        <v>1.31144797713462E-5</v>
      </c>
      <c r="F1309">
        <v>1.3313705165212129E-5</v>
      </c>
      <c r="G1309">
        <v>-1.9922539386592923E-7</v>
      </c>
      <c r="H1309" t="b">
        <v>1</v>
      </c>
    </row>
    <row r="1310" spans="1:8" x14ac:dyDescent="0.15">
      <c r="A1310">
        <v>56</v>
      </c>
      <c r="B1310">
        <v>8</v>
      </c>
      <c r="C1310">
        <v>1355078.125</v>
      </c>
      <c r="D1310">
        <v>1550748567.5715733</v>
      </c>
      <c r="E1310">
        <v>2.4858825575602606E-5</v>
      </c>
      <c r="F1310">
        <v>1.3313705165212129E-5</v>
      </c>
      <c r="G1310">
        <v>1.1545120410390477E-5</v>
      </c>
      <c r="H1310" t="b">
        <v>0</v>
      </c>
    </row>
    <row r="1311" spans="1:8" x14ac:dyDescent="0.15">
      <c r="A1311">
        <v>56</v>
      </c>
      <c r="B1311">
        <v>9</v>
      </c>
      <c r="C1311">
        <v>1331835.9375</v>
      </c>
      <c r="D1311">
        <v>508241437.54751629</v>
      </c>
      <c r="E1311">
        <v>1.8146112075448147E-5</v>
      </c>
      <c r="F1311">
        <v>1.3313705165212129E-5</v>
      </c>
      <c r="G1311">
        <v>4.8324069102360177E-6</v>
      </c>
      <c r="H1311" t="b">
        <v>0</v>
      </c>
    </row>
    <row r="1312" spans="1:8" x14ac:dyDescent="0.15">
      <c r="A1312">
        <v>56</v>
      </c>
      <c r="B1312">
        <v>10</v>
      </c>
      <c r="C1312">
        <v>1320214.84375</v>
      </c>
      <c r="D1312">
        <v>170656071.29803202</v>
      </c>
      <c r="E1312">
        <v>1.5446299398312526E-5</v>
      </c>
      <c r="F1312">
        <v>1.3313705165212129E-5</v>
      </c>
      <c r="G1312">
        <v>2.1325942331003966E-6</v>
      </c>
      <c r="H1312" t="b">
        <v>0</v>
      </c>
    </row>
    <row r="1313" spans="1:8" x14ac:dyDescent="0.15">
      <c r="A1313">
        <v>56</v>
      </c>
      <c r="B1313">
        <v>11</v>
      </c>
      <c r="C1313">
        <v>1314404.296875</v>
      </c>
      <c r="D1313">
        <v>62905025.032309979</v>
      </c>
      <c r="E1313">
        <v>1.4237113026066492E-5</v>
      </c>
      <c r="F1313">
        <v>1.3313705165212129E-5</v>
      </c>
      <c r="G1313">
        <v>9.234078608543628E-7</v>
      </c>
      <c r="H1313" t="b">
        <v>0</v>
      </c>
    </row>
    <row r="1314" spans="1:8" x14ac:dyDescent="0.15">
      <c r="A1314">
        <v>56</v>
      </c>
      <c r="B1314">
        <v>12</v>
      </c>
      <c r="C1314">
        <v>1311499.0234375</v>
      </c>
      <c r="D1314">
        <v>21926029.62895257</v>
      </c>
      <c r="E1314">
        <v>1.3665334508590492E-5</v>
      </c>
      <c r="F1314">
        <v>1.3313705165212129E-5</v>
      </c>
      <c r="G1314">
        <v>3.516293433783624E-7</v>
      </c>
      <c r="H1314" t="b">
        <v>0</v>
      </c>
    </row>
    <row r="1315" spans="1:8" x14ac:dyDescent="0.15">
      <c r="A1315">
        <v>56</v>
      </c>
      <c r="B1315">
        <v>13</v>
      </c>
      <c r="C1315">
        <v>1310046.38671875</v>
      </c>
      <c r="D1315">
        <v>4382433.60370092</v>
      </c>
      <c r="E1315">
        <v>1.3387335167129203E-5</v>
      </c>
      <c r="F1315">
        <v>1.3313705165212129E-5</v>
      </c>
      <c r="G1315">
        <v>7.3630001917073581E-8</v>
      </c>
      <c r="H1315" t="b">
        <v>0</v>
      </c>
    </row>
    <row r="1316" spans="1:8" x14ac:dyDescent="0.15">
      <c r="A1316">
        <v>56</v>
      </c>
      <c r="B1316">
        <v>14</v>
      </c>
      <c r="C1316">
        <v>1308846.38671875</v>
      </c>
      <c r="D1316">
        <v>-8702578.2756117452</v>
      </c>
      <c r="E1316">
        <v>1.3161566690902401E-5</v>
      </c>
      <c r="F1316">
        <v>1.3313705165212129E-5</v>
      </c>
      <c r="G1316">
        <v>-1.5213847430972798E-7</v>
      </c>
      <c r="H1316" t="b">
        <v>1</v>
      </c>
    </row>
    <row r="1317" spans="1:8" x14ac:dyDescent="0.15">
      <c r="A1317">
        <v>56</v>
      </c>
      <c r="B1317">
        <v>15</v>
      </c>
      <c r="C1317">
        <v>1309446.38671875</v>
      </c>
      <c r="D1317">
        <v>-2316184.5902406019</v>
      </c>
      <c r="E1317">
        <v>1.3274015836645939E-5</v>
      </c>
      <c r="F1317">
        <v>1.3313705165212129E-5</v>
      </c>
      <c r="G1317">
        <v>-3.9689328566189913E-8</v>
      </c>
      <c r="H1317" t="b">
        <v>1</v>
      </c>
    </row>
    <row r="1318" spans="1:8" x14ac:dyDescent="0.15">
      <c r="A1318">
        <v>56</v>
      </c>
      <c r="B1318">
        <v>16</v>
      </c>
      <c r="C1318">
        <v>1310046.38671875</v>
      </c>
      <c r="D1318">
        <v>4382433.60370092</v>
      </c>
      <c r="E1318">
        <v>1.3387335167129203E-5</v>
      </c>
      <c r="F1318">
        <v>1.3313705165212129E-5</v>
      </c>
      <c r="G1318">
        <v>7.3630001917073581E-8</v>
      </c>
      <c r="H1318" t="b">
        <v>0</v>
      </c>
    </row>
    <row r="1319" spans="1:8" x14ac:dyDescent="0.15">
      <c r="A1319">
        <v>56</v>
      </c>
      <c r="B1319">
        <v>17</v>
      </c>
      <c r="C1319">
        <v>1309746.38671875</v>
      </c>
      <c r="D1319">
        <v>993679.86620661232</v>
      </c>
      <c r="E1319">
        <v>1.3330564898128889E-5</v>
      </c>
      <c r="F1319">
        <v>1.3313705165212129E-5</v>
      </c>
      <c r="G1319">
        <v>1.6859732916759681E-8</v>
      </c>
      <c r="H1319" t="b">
        <v>0</v>
      </c>
    </row>
    <row r="1320" spans="1:8" x14ac:dyDescent="0.15">
      <c r="A1320">
        <v>56</v>
      </c>
      <c r="B1320">
        <v>18</v>
      </c>
      <c r="C1320">
        <v>1309896.38671875</v>
      </c>
      <c r="D1320">
        <v>2678134.9276056006</v>
      </c>
      <c r="E1320">
        <v>1.3358922023438845E-5</v>
      </c>
      <c r="F1320">
        <v>1.3313705165212129E-5</v>
      </c>
      <c r="G1320">
        <v>4.5216858226715953E-8</v>
      </c>
      <c r="H1320" t="b">
        <v>0</v>
      </c>
    </row>
    <row r="1321" spans="1:8" x14ac:dyDescent="0.15">
      <c r="A1321">
        <v>56</v>
      </c>
      <c r="B1321">
        <v>19</v>
      </c>
      <c r="C1321">
        <v>1309821.38671875</v>
      </c>
      <c r="D1321">
        <v>1833516.6121272158</v>
      </c>
      <c r="E1321">
        <v>1.3344737884120726E-5</v>
      </c>
      <c r="F1321">
        <v>1.3313705165212129E-5</v>
      </c>
      <c r="G1321">
        <v>3.1032718908596672E-8</v>
      </c>
      <c r="H1321" t="b">
        <v>0</v>
      </c>
    </row>
    <row r="1322" spans="1:8" x14ac:dyDescent="0.15">
      <c r="A1322">
        <v>56</v>
      </c>
      <c r="B1322">
        <v>20</v>
      </c>
      <c r="C1322">
        <v>1309731.38671875</v>
      </c>
      <c r="D1322">
        <v>826392.75344710413</v>
      </c>
      <c r="E1322">
        <v>1.3327733453075584E-5</v>
      </c>
      <c r="F1322">
        <v>1.3313705165212129E-5</v>
      </c>
      <c r="G1322">
        <v>1.4028287863454382E-8</v>
      </c>
      <c r="H1322" t="b">
        <v>0</v>
      </c>
    </row>
    <row r="1323" spans="1:8" x14ac:dyDescent="0.15">
      <c r="A1323">
        <v>56</v>
      </c>
      <c r="B1323">
        <v>21</v>
      </c>
      <c r="C1323">
        <v>1309776.38671875</v>
      </c>
      <c r="D1323">
        <v>1328993.4830409274</v>
      </c>
      <c r="E1323">
        <v>1.3336231947532215E-5</v>
      </c>
      <c r="F1323">
        <v>1.3313705165212129E-5</v>
      </c>
      <c r="G1323">
        <v>2.2526782320085443E-8</v>
      </c>
      <c r="H1323" t="b">
        <v>0</v>
      </c>
    </row>
    <row r="1324" spans="1:8" x14ac:dyDescent="0.15">
      <c r="A1324">
        <v>56</v>
      </c>
      <c r="B1324">
        <v>22</v>
      </c>
      <c r="C1324">
        <v>1309753.88671875</v>
      </c>
      <c r="D1324">
        <v>1077508.9550607547</v>
      </c>
      <c r="E1324">
        <v>1.3331982715653398E-5</v>
      </c>
      <c r="F1324">
        <v>1.3313705165212129E-5</v>
      </c>
      <c r="G1324">
        <v>1.8277550441268996E-8</v>
      </c>
      <c r="H1324" t="b">
        <v>0</v>
      </c>
    </row>
    <row r="1325" spans="1:8" x14ac:dyDescent="0.15">
      <c r="A1325">
        <v>56</v>
      </c>
      <c r="B1325">
        <v>23</v>
      </c>
      <c r="C1325">
        <v>1309765.13671875</v>
      </c>
      <c r="D1325">
        <v>1203233.1590611862</v>
      </c>
      <c r="E1325">
        <v>1.3334107808138503E-5</v>
      </c>
      <c r="F1325">
        <v>1.3313705165212129E-5</v>
      </c>
      <c r="G1325">
        <v>2.040264292637357E-8</v>
      </c>
      <c r="H1325" t="b">
        <v>0</v>
      </c>
    </row>
    <row r="1326" spans="1:8" x14ac:dyDescent="0.15">
      <c r="A1326">
        <v>56</v>
      </c>
      <c r="B1326">
        <v>24</v>
      </c>
      <c r="C1326">
        <v>1309778.63671875</v>
      </c>
      <c r="D1326">
        <v>1354248.4393760089</v>
      </c>
      <c r="E1326">
        <v>1.3336658325046604E-5</v>
      </c>
      <c r="F1326">
        <v>1.3313705165212129E-5</v>
      </c>
      <c r="G1326">
        <v>2.2953159834474468E-8</v>
      </c>
      <c r="H1326" t="b">
        <v>0</v>
      </c>
    </row>
    <row r="1327" spans="1:8" x14ac:dyDescent="0.15">
      <c r="A1327">
        <v>56</v>
      </c>
      <c r="B1327">
        <v>25</v>
      </c>
      <c r="C1327">
        <v>1309771.88671875</v>
      </c>
      <c r="D1327">
        <v>1278720.8546266316</v>
      </c>
      <c r="E1327">
        <v>1.3335383011234799E-5</v>
      </c>
      <c r="F1327">
        <v>1.3313705165212129E-5</v>
      </c>
      <c r="G1327">
        <v>2.1677846022669607E-8</v>
      </c>
      <c r="H1327" t="b">
        <v>0</v>
      </c>
    </row>
    <row r="1328" spans="1:8" x14ac:dyDescent="0.15">
      <c r="A1328">
        <v>56</v>
      </c>
      <c r="B1328">
        <v>26</v>
      </c>
      <c r="C1328">
        <v>1309775.26171875</v>
      </c>
      <c r="D1328">
        <v>1316479.6603743481</v>
      </c>
      <c r="E1328">
        <v>1.3336020654300623E-5</v>
      </c>
      <c r="F1328">
        <v>1.3313705165212129E-5</v>
      </c>
      <c r="G1328">
        <v>2.2315489088493289E-8</v>
      </c>
      <c r="H1328" t="b">
        <v>0</v>
      </c>
    </row>
    <row r="1329" spans="1:8" x14ac:dyDescent="0.15">
      <c r="A1329">
        <v>57</v>
      </c>
      <c r="B1329">
        <v>1</v>
      </c>
      <c r="C1329">
        <v>6050000</v>
      </c>
      <c r="D1329">
        <v>4.7111520612050003E+17</v>
      </c>
      <c r="E1329">
        <v>152.01362062600657</v>
      </c>
      <c r="F1329">
        <v>1.7411654511079178E-5</v>
      </c>
      <c r="G1329">
        <v>152.01360321435206</v>
      </c>
      <c r="H1329" t="b">
        <v>0</v>
      </c>
    </row>
    <row r="1330" spans="1:8" x14ac:dyDescent="0.15">
      <c r="A1330">
        <v>57</v>
      </c>
      <c r="B1330">
        <v>2</v>
      </c>
      <c r="C1330">
        <v>3075000</v>
      </c>
      <c r="D1330">
        <v>226156133643771.06</v>
      </c>
      <c r="E1330">
        <v>0.21325319219807859</v>
      </c>
      <c r="F1330">
        <v>1.7411654504362328E-5</v>
      </c>
      <c r="G1330">
        <v>0.21323578054357423</v>
      </c>
      <c r="H1330" t="b">
        <v>0</v>
      </c>
    </row>
    <row r="1331" spans="1:8" x14ac:dyDescent="0.15">
      <c r="A1331">
        <v>57</v>
      </c>
      <c r="B1331">
        <v>3</v>
      </c>
      <c r="C1331">
        <v>1587500</v>
      </c>
      <c r="D1331">
        <v>9164997502.0416164</v>
      </c>
      <c r="E1331">
        <v>9.0328526694059426E-5</v>
      </c>
      <c r="F1331">
        <v>1.741165450435356E-5</v>
      </c>
      <c r="G1331">
        <v>7.2916872189705866E-5</v>
      </c>
      <c r="H1331" t="b">
        <v>0</v>
      </c>
    </row>
    <row r="1332" spans="1:8" x14ac:dyDescent="0.15">
      <c r="A1332">
        <v>57</v>
      </c>
      <c r="B1332">
        <v>4</v>
      </c>
      <c r="C1332">
        <v>843750</v>
      </c>
      <c r="D1332">
        <v>-75611.388528296622</v>
      </c>
      <c r="E1332">
        <v>-2.7395214709163774E-6</v>
      </c>
      <c r="F1332">
        <v>1.741165450435356E-5</v>
      </c>
      <c r="G1332">
        <v>-2.0151175975269937E-5</v>
      </c>
      <c r="H1332" t="b">
        <v>1</v>
      </c>
    </row>
    <row r="1333" spans="1:8" x14ac:dyDescent="0.15">
      <c r="A1333">
        <v>57</v>
      </c>
      <c r="B1333">
        <v>5</v>
      </c>
      <c r="C1333">
        <v>1215625</v>
      </c>
      <c r="D1333">
        <v>-1034528.4644348341</v>
      </c>
      <c r="E1333">
        <v>5.483142941178036E-6</v>
      </c>
      <c r="F1333">
        <v>1.741165450435356E-5</v>
      </c>
      <c r="G1333">
        <v>-1.1928511563175523E-5</v>
      </c>
      <c r="H1333" t="b">
        <v>1</v>
      </c>
    </row>
    <row r="1334" spans="1:8" x14ac:dyDescent="0.15">
      <c r="A1334">
        <v>57</v>
      </c>
      <c r="B1334">
        <v>6</v>
      </c>
      <c r="C1334">
        <v>1401562.5</v>
      </c>
      <c r="D1334">
        <v>-42500273.55797372</v>
      </c>
      <c r="E1334">
        <v>1.5658517905788766E-5</v>
      </c>
      <c r="F1334">
        <v>1.741165450435356E-5</v>
      </c>
      <c r="G1334">
        <v>-1.7531365985647941E-6</v>
      </c>
      <c r="H1334" t="b">
        <v>1</v>
      </c>
    </row>
    <row r="1335" spans="1:8" x14ac:dyDescent="0.15">
      <c r="A1335">
        <v>57</v>
      </c>
      <c r="B1335">
        <v>7</v>
      </c>
      <c r="C1335">
        <v>1494531.25</v>
      </c>
      <c r="D1335">
        <v>1745550929.9018414</v>
      </c>
      <c r="E1335">
        <v>3.8484328519044717E-5</v>
      </c>
      <c r="F1335">
        <v>1.741165450435356E-5</v>
      </c>
      <c r="G1335">
        <v>2.1072674014691158E-5</v>
      </c>
      <c r="H1335" t="b">
        <v>0</v>
      </c>
    </row>
    <row r="1336" spans="1:8" x14ac:dyDescent="0.15">
      <c r="A1336">
        <v>57</v>
      </c>
      <c r="B1336">
        <v>8</v>
      </c>
      <c r="C1336">
        <v>1448046.875</v>
      </c>
      <c r="D1336">
        <v>398697985.53121543</v>
      </c>
      <c r="E1336">
        <v>2.4187133204801123E-5</v>
      </c>
      <c r="F1336">
        <v>1.741165450435356E-5</v>
      </c>
      <c r="G1336">
        <v>6.7754787004475629E-6</v>
      </c>
      <c r="H1336" t="b">
        <v>0</v>
      </c>
    </row>
    <row r="1337" spans="1:8" x14ac:dyDescent="0.15">
      <c r="A1337">
        <v>57</v>
      </c>
      <c r="B1337">
        <v>9</v>
      </c>
      <c r="C1337">
        <v>1424804.6875</v>
      </c>
      <c r="D1337">
        <v>59972197.03805875</v>
      </c>
      <c r="E1337">
        <v>1.897361765428847E-5</v>
      </c>
      <c r="F1337">
        <v>1.741165450435356E-5</v>
      </c>
      <c r="G1337">
        <v>1.5619631499349097E-6</v>
      </c>
      <c r="H1337" t="b">
        <v>0</v>
      </c>
    </row>
    <row r="1338" spans="1:8" x14ac:dyDescent="0.15">
      <c r="A1338">
        <v>57</v>
      </c>
      <c r="B1338">
        <v>10</v>
      </c>
      <c r="C1338">
        <v>1413183.59375</v>
      </c>
      <c r="D1338">
        <v>-18987078.918824241</v>
      </c>
      <c r="E1338">
        <v>1.6757466576135806E-5</v>
      </c>
      <c r="F1338">
        <v>1.741165450435356E-5</v>
      </c>
      <c r="G1338">
        <v>-6.5418792821775424E-7</v>
      </c>
      <c r="H1338" t="b">
        <v>1</v>
      </c>
    </row>
    <row r="1339" spans="1:8" x14ac:dyDescent="0.15">
      <c r="A1339">
        <v>57</v>
      </c>
      <c r="B1339">
        <v>11</v>
      </c>
      <c r="C1339">
        <v>1418994.140625</v>
      </c>
      <c r="D1339">
        <v>14248082.104057349</v>
      </c>
      <c r="E1339">
        <v>1.7835314008225642E-5</v>
      </c>
      <c r="F1339">
        <v>1.741165450435356E-5</v>
      </c>
      <c r="G1339">
        <v>4.2365950387208227E-7</v>
      </c>
      <c r="H1339" t="b">
        <v>0</v>
      </c>
    </row>
    <row r="1340" spans="1:8" x14ac:dyDescent="0.15">
      <c r="A1340">
        <v>57</v>
      </c>
      <c r="B1340">
        <v>12</v>
      </c>
      <c r="C1340">
        <v>1416088.8671875</v>
      </c>
      <c r="D1340">
        <v>-3839675.8707542662</v>
      </c>
      <c r="E1340">
        <v>1.7289008646000155E-5</v>
      </c>
      <c r="F1340">
        <v>1.741165450435356E-5</v>
      </c>
      <c r="G1340">
        <v>-1.226458583534046E-7</v>
      </c>
      <c r="H1340" t="b">
        <v>1</v>
      </c>
    </row>
    <row r="1341" spans="1:8" x14ac:dyDescent="0.15">
      <c r="A1341">
        <v>57</v>
      </c>
      <c r="B1341">
        <v>13</v>
      </c>
      <c r="C1341">
        <v>1417541.50390625</v>
      </c>
      <c r="D1341">
        <v>4825502.1009869259</v>
      </c>
      <c r="E1341">
        <v>1.7560296134209498E-5</v>
      </c>
      <c r="F1341">
        <v>1.741165450435356E-5</v>
      </c>
      <c r="G1341">
        <v>1.4864162985593851E-7</v>
      </c>
      <c r="H1341" t="b">
        <v>0</v>
      </c>
    </row>
    <row r="1342" spans="1:8" x14ac:dyDescent="0.15">
      <c r="A1342">
        <v>57</v>
      </c>
      <c r="B1342">
        <v>14</v>
      </c>
      <c r="C1342">
        <v>1416341.50390625</v>
      </c>
      <c r="D1342">
        <v>-2386049.4687426356</v>
      </c>
      <c r="E1342">
        <v>1.7335924964998806E-5</v>
      </c>
      <c r="F1342">
        <v>1.741165450435356E-5</v>
      </c>
      <c r="G1342">
        <v>-7.5729539354753994E-8</v>
      </c>
      <c r="H1342" t="b">
        <v>1</v>
      </c>
    </row>
    <row r="1343" spans="1:8" x14ac:dyDescent="0.15">
      <c r="A1343">
        <v>57</v>
      </c>
      <c r="B1343">
        <v>15</v>
      </c>
      <c r="C1343">
        <v>1416941.50390625</v>
      </c>
      <c r="D1343">
        <v>1155845.6408847102</v>
      </c>
      <c r="E1343">
        <v>1.7447791744730583E-5</v>
      </c>
      <c r="F1343">
        <v>1.741165450435356E-5</v>
      </c>
      <c r="G1343">
        <v>3.6137240377022781E-8</v>
      </c>
      <c r="H1343" t="b">
        <v>0</v>
      </c>
    </row>
    <row r="1344" spans="1:8" x14ac:dyDescent="0.15">
      <c r="A1344">
        <v>57</v>
      </c>
      <c r="B1344">
        <v>16</v>
      </c>
      <c r="C1344">
        <v>1417661.50390625</v>
      </c>
      <c r="D1344">
        <v>5574818.834587072</v>
      </c>
      <c r="E1344">
        <v>1.7582871194106864E-5</v>
      </c>
      <c r="F1344">
        <v>1.741165450435356E-5</v>
      </c>
      <c r="G1344">
        <v>1.7121668975330454E-7</v>
      </c>
      <c r="H1344" t="b">
        <v>0</v>
      </c>
    </row>
    <row r="1345" spans="1:8" x14ac:dyDescent="0.15">
      <c r="A1345">
        <v>57</v>
      </c>
      <c r="B1345">
        <v>17</v>
      </c>
      <c r="C1345">
        <v>1417301.50390625</v>
      </c>
      <c r="D1345">
        <v>3342243.565492616</v>
      </c>
      <c r="E1345">
        <v>1.7515218819928917E-5</v>
      </c>
      <c r="F1345">
        <v>1.741165450435356E-5</v>
      </c>
      <c r="G1345">
        <v>1.0356431557535686E-7</v>
      </c>
      <c r="H1345" t="b">
        <v>0</v>
      </c>
    </row>
    <row r="1346" spans="1:8" x14ac:dyDescent="0.15">
      <c r="A1346">
        <v>57</v>
      </c>
      <c r="B1346">
        <v>18</v>
      </c>
      <c r="C1346">
        <v>1416869.50390625</v>
      </c>
      <c r="D1346">
        <v>724160.42701097124</v>
      </c>
      <c r="E1346">
        <v>1.7434335891060892E-5</v>
      </c>
      <c r="F1346">
        <v>1.741165450435356E-5</v>
      </c>
      <c r="G1346">
        <v>2.2681386707332479E-8</v>
      </c>
      <c r="H1346" t="b">
        <v>0</v>
      </c>
    </row>
    <row r="1347" spans="1:8" x14ac:dyDescent="0.15">
      <c r="A1347">
        <v>57</v>
      </c>
      <c r="B1347">
        <v>19</v>
      </c>
      <c r="C1347">
        <v>1417085.50390625</v>
      </c>
      <c r="D1347">
        <v>2024905.9156378168</v>
      </c>
      <c r="E1347">
        <v>1.7474736224302868E-5</v>
      </c>
      <c r="F1347">
        <v>1.741165450435356E-5</v>
      </c>
      <c r="G1347">
        <v>6.3081719949308518E-8</v>
      </c>
      <c r="H1347" t="b">
        <v>0</v>
      </c>
    </row>
    <row r="1348" spans="1:8" x14ac:dyDescent="0.15">
      <c r="A1348">
        <v>57</v>
      </c>
      <c r="B1348">
        <v>20</v>
      </c>
      <c r="C1348">
        <v>1416977.50390625</v>
      </c>
      <c r="D1348">
        <v>1372463.777091204</v>
      </c>
      <c r="E1348">
        <v>1.7454525783732622E-5</v>
      </c>
      <c r="F1348">
        <v>1.741165450435356E-5</v>
      </c>
      <c r="G1348">
        <v>4.2871279379062219E-8</v>
      </c>
      <c r="H1348" t="b">
        <v>0</v>
      </c>
    </row>
    <row r="1349" spans="1:8" x14ac:dyDescent="0.15">
      <c r="A1349">
        <v>57</v>
      </c>
      <c r="B1349">
        <v>21</v>
      </c>
      <c r="C1349">
        <v>1417031.50390625</v>
      </c>
      <c r="D1349">
        <v>1698108.9915703982</v>
      </c>
      <c r="E1349">
        <v>1.7464626640002764E-5</v>
      </c>
      <c r="F1349">
        <v>1.741165450435356E-5</v>
      </c>
      <c r="G1349">
        <v>5.2972135649203737E-8</v>
      </c>
      <c r="H1349" t="b">
        <v>0</v>
      </c>
    </row>
    <row r="1350" spans="1:8" x14ac:dyDescent="0.15">
      <c r="A1350">
        <v>57</v>
      </c>
      <c r="B1350">
        <v>22</v>
      </c>
      <c r="C1350">
        <v>1417004.50390625</v>
      </c>
      <c r="D1350">
        <v>1535185.9390622354</v>
      </c>
      <c r="E1350">
        <v>1.7459576466817857E-5</v>
      </c>
      <c r="F1350">
        <v>1.741165450435356E-5</v>
      </c>
      <c r="G1350">
        <v>4.7921962464297555E-8</v>
      </c>
      <c r="H1350" t="b">
        <v>0</v>
      </c>
    </row>
    <row r="1351" spans="1:8" x14ac:dyDescent="0.15">
      <c r="A1351">
        <v>57</v>
      </c>
      <c r="B1351">
        <v>23</v>
      </c>
      <c r="C1351">
        <v>1416972.1039062501</v>
      </c>
      <c r="D1351">
        <v>1339950.3902211343</v>
      </c>
      <c r="E1351">
        <v>1.7453515801233377E-5</v>
      </c>
      <c r="F1351">
        <v>1.741165450435356E-5</v>
      </c>
      <c r="G1351">
        <v>4.1861296879817114E-8</v>
      </c>
      <c r="H1351" t="b">
        <v>0</v>
      </c>
    </row>
    <row r="1352" spans="1:8" x14ac:dyDescent="0.15">
      <c r="A1352">
        <v>57</v>
      </c>
      <c r="B1352">
        <v>24</v>
      </c>
      <c r="C1352">
        <v>1416988.30390625</v>
      </c>
      <c r="D1352">
        <v>1437521.5928783282</v>
      </c>
      <c r="E1352">
        <v>1.7456545902841988E-5</v>
      </c>
      <c r="F1352">
        <v>1.741165450435356E-5</v>
      </c>
      <c r="G1352">
        <v>4.4891398488427695E-8</v>
      </c>
      <c r="H1352" t="b">
        <v>0</v>
      </c>
    </row>
    <row r="1353" spans="1:8" x14ac:dyDescent="0.15">
      <c r="A1353">
        <v>57</v>
      </c>
      <c r="B1353">
        <v>25</v>
      </c>
      <c r="C1353">
        <v>1416980.20390625</v>
      </c>
      <c r="D1353">
        <v>1388724.350563314</v>
      </c>
      <c r="E1353">
        <v>1.7455030794245624E-5</v>
      </c>
      <c r="F1353">
        <v>1.741165450435356E-5</v>
      </c>
      <c r="G1353">
        <v>4.3376289892063912E-8</v>
      </c>
      <c r="H1353" t="b">
        <v>0</v>
      </c>
    </row>
    <row r="1354" spans="1:8" x14ac:dyDescent="0.15">
      <c r="A1354">
        <v>57</v>
      </c>
      <c r="B1354">
        <v>26</v>
      </c>
      <c r="C1354">
        <v>1416984.25390625</v>
      </c>
      <c r="D1354">
        <v>1413062.2997446833</v>
      </c>
      <c r="E1354">
        <v>1.7455786540654948E-5</v>
      </c>
      <c r="F1354">
        <v>1.741165450435356E-5</v>
      </c>
      <c r="G1354">
        <v>4.4132036301388602E-8</v>
      </c>
      <c r="H1354" t="b">
        <v>0</v>
      </c>
    </row>
    <row r="1355" spans="1:8" x14ac:dyDescent="0.15">
      <c r="A1355">
        <v>58</v>
      </c>
      <c r="B1355">
        <v>1</v>
      </c>
      <c r="C1355">
        <v>6050000</v>
      </c>
      <c r="D1355">
        <v>3.6851858444484946E+18</v>
      </c>
      <c r="E1355">
        <v>536.87092200000006</v>
      </c>
      <c r="F1355">
        <v>1.3176498327993613E-5</v>
      </c>
      <c r="G1355">
        <v>536.87090882350174</v>
      </c>
      <c r="H1355" t="b">
        <v>0</v>
      </c>
    </row>
    <row r="1356" spans="1:8" x14ac:dyDescent="0.15">
      <c r="A1356">
        <v>58</v>
      </c>
      <c r="B1356">
        <v>2</v>
      </c>
      <c r="C1356">
        <v>3075000</v>
      </c>
      <c r="D1356">
        <v>1.49744117235026E+16</v>
      </c>
      <c r="E1356">
        <v>4.3543641608506549</v>
      </c>
      <c r="F1356">
        <v>1.3176498316447294E-5</v>
      </c>
      <c r="G1356">
        <v>4.3543509843523385</v>
      </c>
      <c r="H1356" t="b">
        <v>0</v>
      </c>
    </row>
    <row r="1357" spans="1:8" x14ac:dyDescent="0.15">
      <c r="A1357">
        <v>58</v>
      </c>
      <c r="B1357">
        <v>3</v>
      </c>
      <c r="C1357">
        <v>1587500</v>
      </c>
      <c r="D1357">
        <v>44542607156.564972</v>
      </c>
      <c r="E1357">
        <v>1.5486513989838391E-4</v>
      </c>
      <c r="F1357">
        <v>1.3176498316423441E-5</v>
      </c>
      <c r="G1357">
        <v>1.4168864158196047E-4</v>
      </c>
      <c r="H1357" t="b">
        <v>0</v>
      </c>
    </row>
    <row r="1358" spans="1:8" x14ac:dyDescent="0.15">
      <c r="A1358">
        <v>58</v>
      </c>
      <c r="B1358">
        <v>4</v>
      </c>
      <c r="C1358">
        <v>843750</v>
      </c>
      <c r="D1358">
        <v>-42129.615725279597</v>
      </c>
      <c r="E1358">
        <v>-3.9890546944371645E-6</v>
      </c>
      <c r="F1358">
        <v>1.3176498316423433E-5</v>
      </c>
      <c r="G1358">
        <v>-1.7165553010860597E-5</v>
      </c>
      <c r="H1358" t="b">
        <v>1</v>
      </c>
    </row>
    <row r="1359" spans="1:8" x14ac:dyDescent="0.15">
      <c r="A1359">
        <v>58</v>
      </c>
      <c r="B1359">
        <v>5</v>
      </c>
      <c r="C1359">
        <v>1215625</v>
      </c>
      <c r="D1359">
        <v>-890899.06427795719</v>
      </c>
      <c r="E1359">
        <v>3.9946958865248959E-6</v>
      </c>
      <c r="F1359">
        <v>1.3176498316423431E-5</v>
      </c>
      <c r="G1359">
        <v>-9.1818024298985344E-6</v>
      </c>
      <c r="H1359" t="b">
        <v>1</v>
      </c>
    </row>
    <row r="1360" spans="1:8" x14ac:dyDescent="0.15">
      <c r="A1360">
        <v>58</v>
      </c>
      <c r="B1360">
        <v>6</v>
      </c>
      <c r="C1360">
        <v>1401562.5</v>
      </c>
      <c r="D1360">
        <v>531790811.33584905</v>
      </c>
      <c r="E1360">
        <v>1.8133665604432181E-5</v>
      </c>
      <c r="F1360">
        <v>1.3176498316423431E-5</v>
      </c>
      <c r="G1360">
        <v>4.9571672880087495E-6</v>
      </c>
      <c r="H1360" t="b">
        <v>0</v>
      </c>
    </row>
    <row r="1361" spans="1:8" x14ac:dyDescent="0.15">
      <c r="A1361">
        <v>58</v>
      </c>
      <c r="B1361">
        <v>7</v>
      </c>
      <c r="C1361">
        <v>1308593.75</v>
      </c>
      <c r="D1361">
        <v>-28443130.708574455</v>
      </c>
      <c r="E1361">
        <v>7.8964906193959842E-6</v>
      </c>
      <c r="F1361">
        <v>1.3176498316423431E-5</v>
      </c>
      <c r="G1361">
        <v>-5.280007697027447E-6</v>
      </c>
      <c r="H1361" t="b">
        <v>1</v>
      </c>
    </row>
    <row r="1362" spans="1:8" x14ac:dyDescent="0.15">
      <c r="A1362">
        <v>58</v>
      </c>
      <c r="B1362">
        <v>8</v>
      </c>
      <c r="C1362">
        <v>1355078.125</v>
      </c>
      <c r="D1362">
        <v>-79445509.064494327</v>
      </c>
      <c r="E1362">
        <v>1.0833844209850226E-5</v>
      </c>
      <c r="F1362">
        <v>1.3176498316423431E-5</v>
      </c>
      <c r="G1362">
        <v>-2.3426541065732056E-6</v>
      </c>
      <c r="H1362" t="b">
        <v>1</v>
      </c>
    </row>
    <row r="1363" spans="1:8" x14ac:dyDescent="0.15">
      <c r="A1363">
        <v>58</v>
      </c>
      <c r="B1363">
        <v>9</v>
      </c>
      <c r="C1363">
        <v>1378320.3125</v>
      </c>
      <c r="D1363">
        <v>12845008.719689237</v>
      </c>
      <c r="E1363">
        <v>1.3386626726609049E-5</v>
      </c>
      <c r="F1363">
        <v>1.3176498316423431E-5</v>
      </c>
      <c r="G1363">
        <v>2.1012841018561821E-7</v>
      </c>
      <c r="H1363" t="b">
        <v>0</v>
      </c>
    </row>
    <row r="1364" spans="1:8" x14ac:dyDescent="0.15">
      <c r="A1364">
        <v>58</v>
      </c>
      <c r="B1364">
        <v>10</v>
      </c>
      <c r="C1364">
        <v>1366699.21875</v>
      </c>
      <c r="D1364">
        <v>-64035182.437895715</v>
      </c>
      <c r="E1364">
        <v>1.1695161088361833E-5</v>
      </c>
      <c r="F1364">
        <v>1.3176498316423431E-5</v>
      </c>
      <c r="G1364">
        <v>-1.4813372280615984E-6</v>
      </c>
      <c r="H1364" t="b">
        <v>1</v>
      </c>
    </row>
    <row r="1365" spans="1:8" x14ac:dyDescent="0.15">
      <c r="A1365">
        <v>58</v>
      </c>
      <c r="B1365">
        <v>11</v>
      </c>
      <c r="C1365">
        <v>1372509.765625</v>
      </c>
      <c r="D1365">
        <v>-39792466.972849563</v>
      </c>
      <c r="E1365">
        <v>1.2391241588958185E-5</v>
      </c>
      <c r="F1365">
        <v>1.3176498316423431E-5</v>
      </c>
      <c r="G1365">
        <v>-7.8525672746524657E-7</v>
      </c>
      <c r="H1365" t="b">
        <v>1</v>
      </c>
    </row>
    <row r="1366" spans="1:8" x14ac:dyDescent="0.15">
      <c r="A1366">
        <v>58</v>
      </c>
      <c r="B1366">
        <v>12</v>
      </c>
      <c r="C1366">
        <v>1375415.0390625</v>
      </c>
      <c r="D1366">
        <v>-16543932.126173284</v>
      </c>
      <c r="E1366">
        <v>1.2880233572967037E-5</v>
      </c>
      <c r="F1366">
        <v>1.3176498316423431E-5</v>
      </c>
      <c r="G1366">
        <v>-2.9626474345639377E-7</v>
      </c>
      <c r="H1366" t="b">
        <v>1</v>
      </c>
    </row>
    <row r="1367" spans="1:8" x14ac:dyDescent="0.15">
      <c r="A1367">
        <v>58</v>
      </c>
      <c r="B1367">
        <v>13</v>
      </c>
      <c r="C1367">
        <v>1376867.67578125</v>
      </c>
      <c r="D1367">
        <v>-2647386.6257149647</v>
      </c>
      <c r="E1367">
        <v>1.3131221276226817E-5</v>
      </c>
      <c r="F1367">
        <v>1.3176498316423431E-5</v>
      </c>
      <c r="G1367">
        <v>-4.5277040196614084E-8</v>
      </c>
      <c r="H1367" t="b">
        <v>1</v>
      </c>
    </row>
    <row r="1368" spans="1:8" x14ac:dyDescent="0.15">
      <c r="A1368">
        <v>58</v>
      </c>
      <c r="B1368">
        <v>14</v>
      </c>
      <c r="C1368">
        <v>1377367.67578125</v>
      </c>
      <c r="D1368">
        <v>2501845.1696888786</v>
      </c>
      <c r="E1368">
        <v>1.321862925843879E-5</v>
      </c>
      <c r="F1368">
        <v>1.3176498316423431E-5</v>
      </c>
      <c r="G1368">
        <v>4.2130942015359033E-8</v>
      </c>
      <c r="H1368" t="b">
        <v>0</v>
      </c>
    </row>
    <row r="1369" spans="1:8" x14ac:dyDescent="0.15">
      <c r="A1369">
        <v>58</v>
      </c>
      <c r="B1369">
        <v>15</v>
      </c>
      <c r="C1369">
        <v>1377117.67578125</v>
      </c>
      <c r="D1369">
        <v>-96524.448644265271</v>
      </c>
      <c r="E1369">
        <v>1.3174860262560678E-5</v>
      </c>
      <c r="F1369">
        <v>1.3176498316423431E-5</v>
      </c>
      <c r="G1369">
        <v>-1.6380538627530167E-9</v>
      </c>
      <c r="H1369" t="b">
        <v>1</v>
      </c>
    </row>
    <row r="1370" spans="1:8" x14ac:dyDescent="0.15">
      <c r="A1370">
        <v>58</v>
      </c>
      <c r="B1370">
        <v>16</v>
      </c>
      <c r="C1370">
        <v>1377242.67578125</v>
      </c>
      <c r="D1370">
        <v>1196729.8276316242</v>
      </c>
      <c r="E1370">
        <v>1.3196728947329172E-5</v>
      </c>
      <c r="F1370">
        <v>1.3176498316423431E-5</v>
      </c>
      <c r="G1370">
        <v>2.0230630905740561E-8</v>
      </c>
      <c r="H1370" t="b">
        <v>0</v>
      </c>
    </row>
    <row r="1371" spans="1:8" x14ac:dyDescent="0.15">
      <c r="A1371">
        <v>58</v>
      </c>
      <c r="B1371">
        <v>17</v>
      </c>
      <c r="C1371">
        <v>1377392.67578125</v>
      </c>
      <c r="D1371">
        <v>2764318.3679505773</v>
      </c>
      <c r="E1371">
        <v>1.3223013511796862E-5</v>
      </c>
      <c r="F1371">
        <v>1.3176498316423431E-5</v>
      </c>
      <c r="G1371">
        <v>4.6515195373431054E-8</v>
      </c>
      <c r="H1371" t="b">
        <v>0</v>
      </c>
    </row>
    <row r="1372" spans="1:8" x14ac:dyDescent="0.15">
      <c r="A1372">
        <v>58</v>
      </c>
      <c r="B1372">
        <v>18</v>
      </c>
      <c r="C1372">
        <v>1377317.67578125</v>
      </c>
      <c r="D1372">
        <v>1978408.4145948216</v>
      </c>
      <c r="E1372">
        <v>1.3209865924833823E-5</v>
      </c>
      <c r="F1372">
        <v>1.3176498316423431E-5</v>
      </c>
      <c r="G1372">
        <v>3.3367608410391479E-8</v>
      </c>
      <c r="H1372" t="b">
        <v>0</v>
      </c>
    </row>
    <row r="1373" spans="1:8" x14ac:dyDescent="0.15">
      <c r="A1373">
        <v>58</v>
      </c>
      <c r="B1373">
        <v>19</v>
      </c>
      <c r="C1373">
        <v>1377227.67578125</v>
      </c>
      <c r="D1373">
        <v>1040837.3410239007</v>
      </c>
      <c r="E1373">
        <v>1.3194101747169181E-5</v>
      </c>
      <c r="F1373">
        <v>1.3176498316423431E-5</v>
      </c>
      <c r="G1373">
        <v>1.7603430745750253E-8</v>
      </c>
      <c r="H1373" t="b">
        <v>0</v>
      </c>
    </row>
    <row r="1374" spans="1:8" x14ac:dyDescent="0.15">
      <c r="A1374">
        <v>58</v>
      </c>
      <c r="B1374">
        <v>20</v>
      </c>
      <c r="C1374">
        <v>1377272.67578125</v>
      </c>
      <c r="D1374">
        <v>1508885.2191439045</v>
      </c>
      <c r="E1374">
        <v>1.3201982318546824E-5</v>
      </c>
      <c r="F1374">
        <v>1.3176498316423431E-5</v>
      </c>
      <c r="G1374">
        <v>2.5484002123392582E-8</v>
      </c>
      <c r="H1374" t="b">
        <v>0</v>
      </c>
    </row>
    <row r="1375" spans="1:8" x14ac:dyDescent="0.15">
      <c r="A1375">
        <v>58</v>
      </c>
      <c r="B1375">
        <v>21</v>
      </c>
      <c r="C1375">
        <v>1377250.17578125</v>
      </c>
      <c r="D1375">
        <v>1274704.2083230033</v>
      </c>
      <c r="E1375">
        <v>1.3198042112703888E-5</v>
      </c>
      <c r="F1375">
        <v>1.3176498316423431E-5</v>
      </c>
      <c r="G1375">
        <v>2.1543796280456604E-8</v>
      </c>
      <c r="H1375" t="b">
        <v>0</v>
      </c>
    </row>
    <row r="1376" spans="1:8" x14ac:dyDescent="0.15">
      <c r="A1376">
        <v>58</v>
      </c>
      <c r="B1376">
        <v>22</v>
      </c>
      <c r="C1376">
        <v>1377261.42578125</v>
      </c>
      <c r="D1376">
        <v>1391746.355386165</v>
      </c>
      <c r="E1376">
        <v>1.3200012082544135E-5</v>
      </c>
      <c r="F1376">
        <v>1.3176498316423431E-5</v>
      </c>
      <c r="G1376">
        <v>2.3513766120703922E-8</v>
      </c>
      <c r="H1376" t="b">
        <v>0</v>
      </c>
    </row>
    <row r="1377" spans="1:8" x14ac:dyDescent="0.15">
      <c r="A1377">
        <v>58</v>
      </c>
      <c r="B1377">
        <v>23</v>
      </c>
      <c r="C1377">
        <v>1377255.80078125</v>
      </c>
      <c r="D1377">
        <v>1333213.1940413879</v>
      </c>
      <c r="E1377">
        <v>1.3199027064355436E-5</v>
      </c>
      <c r="F1377">
        <v>1.3176498316423431E-5</v>
      </c>
      <c r="G1377">
        <v>2.252874793200516E-8</v>
      </c>
      <c r="H1377" t="b">
        <v>0</v>
      </c>
    </row>
    <row r="1378" spans="1:8" x14ac:dyDescent="0.15">
      <c r="A1378">
        <v>58</v>
      </c>
      <c r="B1378">
        <v>24</v>
      </c>
      <c r="C1378">
        <v>1377258.61328125</v>
      </c>
      <c r="D1378">
        <v>1362476.7525444985</v>
      </c>
      <c r="E1378">
        <v>1.3199519565132522E-5</v>
      </c>
      <c r="F1378">
        <v>1.3176498316423431E-5</v>
      </c>
      <c r="G1378">
        <v>2.3021248709090698E-8</v>
      </c>
      <c r="H1378" t="b">
        <v>0</v>
      </c>
    </row>
    <row r="1379" spans="1:8" x14ac:dyDescent="0.15">
      <c r="A1379">
        <v>58</v>
      </c>
      <c r="B1379">
        <v>25</v>
      </c>
      <c r="C1379">
        <v>1377261.98828125</v>
      </c>
      <c r="D1379">
        <v>1397601.0013048651</v>
      </c>
      <c r="E1379">
        <v>1.3200110588022483E-5</v>
      </c>
      <c r="F1379">
        <v>1.3176498316423431E-5</v>
      </c>
      <c r="G1379">
        <v>2.3612271599051575E-8</v>
      </c>
      <c r="H1379" t="b">
        <v>0</v>
      </c>
    </row>
    <row r="1380" spans="1:8" x14ac:dyDescent="0.15">
      <c r="A1380">
        <v>58</v>
      </c>
      <c r="B1380">
        <v>26</v>
      </c>
      <c r="C1380">
        <v>1377260.30078125</v>
      </c>
      <c r="D1380">
        <v>1380037.788902954</v>
      </c>
      <c r="E1380">
        <v>1.3199815073583359E-5</v>
      </c>
      <c r="F1380">
        <v>1.3176498316423431E-5</v>
      </c>
      <c r="G1380">
        <v>2.3316757159928253E-8</v>
      </c>
      <c r="H1380" t="b">
        <v>0</v>
      </c>
    </row>
    <row r="1381" spans="1:8" x14ac:dyDescent="0.15">
      <c r="A1381">
        <v>59</v>
      </c>
      <c r="B1381">
        <v>1</v>
      </c>
      <c r="C1381">
        <v>6050000</v>
      </c>
      <c r="D1381">
        <v>1.3803951205305482E+18</v>
      </c>
      <c r="E1381">
        <v>536.87092200000006</v>
      </c>
      <c r="F1381">
        <v>2.4778381430223817E-5</v>
      </c>
      <c r="G1381">
        <v>536.87089722161863</v>
      </c>
      <c r="H1381" t="b">
        <v>0</v>
      </c>
    </row>
    <row r="1382" spans="1:8" x14ac:dyDescent="0.15">
      <c r="A1382">
        <v>59</v>
      </c>
      <c r="B1382">
        <v>2</v>
      </c>
      <c r="C1382">
        <v>3075000</v>
      </c>
      <c r="D1382">
        <v>4.4471787390754278E+17</v>
      </c>
      <c r="E1382">
        <v>197.48775015396964</v>
      </c>
      <c r="F1382">
        <v>2.4778381401802108E-5</v>
      </c>
      <c r="G1382">
        <v>197.48772537558824</v>
      </c>
      <c r="H1382" t="b">
        <v>0</v>
      </c>
    </row>
    <row r="1383" spans="1:8" x14ac:dyDescent="0.15">
      <c r="A1383">
        <v>59</v>
      </c>
      <c r="B1383">
        <v>3</v>
      </c>
      <c r="C1383">
        <v>1587500</v>
      </c>
      <c r="D1383">
        <v>4940191442490.5518</v>
      </c>
      <c r="E1383">
        <v>1.2254476094035538E-2</v>
      </c>
      <c r="F1383">
        <v>2.4778381409832143E-5</v>
      </c>
      <c r="G1383">
        <v>1.2229697712625706E-2</v>
      </c>
      <c r="H1383" t="b">
        <v>0</v>
      </c>
    </row>
    <row r="1384" spans="1:8" x14ac:dyDescent="0.15">
      <c r="A1384">
        <v>59</v>
      </c>
      <c r="B1384">
        <v>4</v>
      </c>
      <c r="C1384">
        <v>843750</v>
      </c>
      <c r="D1384">
        <v>-135076.10489154968</v>
      </c>
      <c r="E1384">
        <v>1.80626405673598E-6</v>
      </c>
      <c r="F1384">
        <v>2.4778381409831509E-5</v>
      </c>
      <c r="G1384">
        <v>-2.297211735309553E-5</v>
      </c>
      <c r="H1384" t="b">
        <v>1</v>
      </c>
    </row>
    <row r="1385" spans="1:8" x14ac:dyDescent="0.15">
      <c r="A1385">
        <v>59</v>
      </c>
      <c r="B1385">
        <v>5</v>
      </c>
      <c r="C1385">
        <v>1215625</v>
      </c>
      <c r="D1385">
        <v>19534071743.045391</v>
      </c>
      <c r="E1385">
        <v>1.8822457982109854E-4</v>
      </c>
      <c r="F1385">
        <v>2.4778381409831519E-5</v>
      </c>
      <c r="G1385">
        <v>1.6344619841126702E-4</v>
      </c>
      <c r="H1385" t="b">
        <v>0</v>
      </c>
    </row>
    <row r="1386" spans="1:8" x14ac:dyDescent="0.15">
      <c r="A1386">
        <v>59</v>
      </c>
      <c r="B1386">
        <v>6</v>
      </c>
      <c r="C1386">
        <v>1029687.5</v>
      </c>
      <c r="D1386">
        <v>-11636970.007410286</v>
      </c>
      <c r="E1386">
        <v>1.2625343994025068E-5</v>
      </c>
      <c r="F1386">
        <v>2.4778381409831509E-5</v>
      </c>
      <c r="G1386">
        <v>-1.2153037415806441E-5</v>
      </c>
      <c r="H1386" t="b">
        <v>1</v>
      </c>
    </row>
    <row r="1387" spans="1:8" x14ac:dyDescent="0.15">
      <c r="A1387">
        <v>59</v>
      </c>
      <c r="B1387">
        <v>7</v>
      </c>
      <c r="C1387">
        <v>1122656.25</v>
      </c>
      <c r="D1387">
        <v>1457652969.5538108</v>
      </c>
      <c r="E1387">
        <v>4.7444239593291525E-5</v>
      </c>
      <c r="F1387">
        <v>2.4778381409831509E-5</v>
      </c>
      <c r="G1387">
        <v>2.2665858183460016E-5</v>
      </c>
      <c r="H1387" t="b">
        <v>0</v>
      </c>
    </row>
    <row r="1388" spans="1:8" x14ac:dyDescent="0.15">
      <c r="A1388">
        <v>59</v>
      </c>
      <c r="B1388">
        <v>8</v>
      </c>
      <c r="C1388">
        <v>1076171.875</v>
      </c>
      <c r="D1388">
        <v>-73159998.408957407</v>
      </c>
      <c r="E1388">
        <v>2.2039854982047847E-5</v>
      </c>
      <c r="F1388">
        <v>2.4778381409831509E-5</v>
      </c>
      <c r="G1388">
        <v>-2.7385264277836617E-6</v>
      </c>
      <c r="H1388" t="b">
        <v>1</v>
      </c>
    </row>
    <row r="1389" spans="1:8" x14ac:dyDescent="0.15">
      <c r="A1389">
        <v>59</v>
      </c>
      <c r="B1389">
        <v>9</v>
      </c>
      <c r="C1389">
        <v>1099414.0625</v>
      </c>
      <c r="D1389">
        <v>393418329.9941532</v>
      </c>
      <c r="E1389">
        <v>3.2570273520022971E-5</v>
      </c>
      <c r="F1389">
        <v>2.4778381409831509E-5</v>
      </c>
      <c r="G1389">
        <v>7.7918921101914619E-6</v>
      </c>
      <c r="H1389" t="b">
        <v>0</v>
      </c>
    </row>
    <row r="1390" spans="1:8" x14ac:dyDescent="0.15">
      <c r="A1390">
        <v>59</v>
      </c>
      <c r="B1390">
        <v>10</v>
      </c>
      <c r="C1390">
        <v>1087792.96875</v>
      </c>
      <c r="D1390">
        <v>83489646.864279434</v>
      </c>
      <c r="E1390">
        <v>2.6842564707666342E-5</v>
      </c>
      <c r="F1390">
        <v>2.4778381409831509E-5</v>
      </c>
      <c r="G1390">
        <v>2.0641832978348326E-6</v>
      </c>
      <c r="H1390" t="b">
        <v>0</v>
      </c>
    </row>
    <row r="1391" spans="1:8" x14ac:dyDescent="0.15">
      <c r="A1391">
        <v>59</v>
      </c>
      <c r="B1391">
        <v>11</v>
      </c>
      <c r="C1391">
        <v>1081982.421875</v>
      </c>
      <c r="D1391">
        <v>-14823426.242909037</v>
      </c>
      <c r="E1391">
        <v>2.4335368468926693E-5</v>
      </c>
      <c r="F1391">
        <v>2.4778381409831509E-5</v>
      </c>
      <c r="G1391">
        <v>-4.4301294090481644E-7</v>
      </c>
      <c r="H1391" t="b">
        <v>1</v>
      </c>
    </row>
    <row r="1392" spans="1:8" x14ac:dyDescent="0.15">
      <c r="A1392">
        <v>59</v>
      </c>
      <c r="B1392">
        <v>12</v>
      </c>
      <c r="C1392">
        <v>1084887.6953125</v>
      </c>
      <c r="D1392">
        <v>28903488.755636927</v>
      </c>
      <c r="E1392">
        <v>2.5561162017908439E-5</v>
      </c>
      <c r="F1392">
        <v>2.4778381409831509E-5</v>
      </c>
      <c r="G1392">
        <v>7.827806080769304E-7</v>
      </c>
      <c r="H1392" t="b">
        <v>0</v>
      </c>
    </row>
    <row r="1393" spans="1:8" x14ac:dyDescent="0.15">
      <c r="A1393">
        <v>59</v>
      </c>
      <c r="B1393">
        <v>13</v>
      </c>
      <c r="C1393">
        <v>1083435.05859375</v>
      </c>
      <c r="D1393">
        <v>5737479.1051997514</v>
      </c>
      <c r="E1393">
        <v>2.4941448521111772E-5</v>
      </c>
      <c r="F1393">
        <v>2.4778381409831509E-5</v>
      </c>
      <c r="G1393">
        <v>1.6306711128026287E-7</v>
      </c>
      <c r="H1393" t="b">
        <v>0</v>
      </c>
    </row>
    <row r="1394" spans="1:8" x14ac:dyDescent="0.15">
      <c r="A1394">
        <v>59</v>
      </c>
      <c r="B1394">
        <v>14</v>
      </c>
      <c r="C1394">
        <v>1082235.05859375</v>
      </c>
      <c r="D1394">
        <v>-11429968.951821163</v>
      </c>
      <c r="E1394">
        <v>2.4439808639843533E-5</v>
      </c>
      <c r="F1394">
        <v>2.4778381409831509E-5</v>
      </c>
      <c r="G1394">
        <v>-3.3857276998797609E-7</v>
      </c>
      <c r="H1394" t="b">
        <v>1</v>
      </c>
    </row>
    <row r="1395" spans="1:8" x14ac:dyDescent="0.15">
      <c r="A1395">
        <v>59</v>
      </c>
      <c r="B1395">
        <v>15</v>
      </c>
      <c r="C1395">
        <v>1082835.05859375</v>
      </c>
      <c r="D1395">
        <v>-3064609.7249161634</v>
      </c>
      <c r="E1395">
        <v>2.4689476710905468E-5</v>
      </c>
      <c r="F1395">
        <v>2.4778381409831509E-5</v>
      </c>
      <c r="G1395">
        <v>-8.8904698926040796E-8</v>
      </c>
      <c r="H1395" t="b">
        <v>1</v>
      </c>
    </row>
    <row r="1396" spans="1:8" x14ac:dyDescent="0.15">
      <c r="A1396">
        <v>59</v>
      </c>
      <c r="B1396">
        <v>16</v>
      </c>
      <c r="C1396">
        <v>1083435.05859375</v>
      </c>
      <c r="D1396">
        <v>5737479.1051997514</v>
      </c>
      <c r="E1396">
        <v>2.4941448521111772E-5</v>
      </c>
      <c r="F1396">
        <v>2.4778381409831509E-5</v>
      </c>
      <c r="G1396">
        <v>1.6306711128026287E-7</v>
      </c>
      <c r="H1396" t="b">
        <v>0</v>
      </c>
    </row>
    <row r="1397" spans="1:8" x14ac:dyDescent="0.15">
      <c r="A1397">
        <v>59</v>
      </c>
      <c r="B1397">
        <v>17</v>
      </c>
      <c r="C1397">
        <v>1083135.05859375</v>
      </c>
      <c r="D1397">
        <v>1281322.8924540593</v>
      </c>
      <c r="E1397">
        <v>2.4815172039823304E-5</v>
      </c>
      <c r="F1397">
        <v>2.4778381409831509E-5</v>
      </c>
      <c r="G1397">
        <v>3.6790629991795119E-8</v>
      </c>
      <c r="H1397" t="b">
        <v>0</v>
      </c>
    </row>
    <row r="1398" spans="1:8" x14ac:dyDescent="0.15">
      <c r="A1398">
        <v>59</v>
      </c>
      <c r="B1398">
        <v>18</v>
      </c>
      <c r="C1398">
        <v>1082775.05859375</v>
      </c>
      <c r="D1398">
        <v>-3920755.4831116353</v>
      </c>
      <c r="E1398">
        <v>2.4664404166960245E-5</v>
      </c>
      <c r="F1398">
        <v>2.4778381409831509E-5</v>
      </c>
      <c r="G1398">
        <v>-1.1397724287126436E-7</v>
      </c>
      <c r="H1398" t="b">
        <v>1</v>
      </c>
    </row>
    <row r="1399" spans="1:8" x14ac:dyDescent="0.15">
      <c r="A1399">
        <v>59</v>
      </c>
      <c r="B1399">
        <v>19</v>
      </c>
      <c r="C1399">
        <v>1082955.05859375</v>
      </c>
      <c r="D1399">
        <v>-1339440.4399210073</v>
      </c>
      <c r="E1399">
        <v>2.4739684161792728E-5</v>
      </c>
      <c r="F1399">
        <v>2.4778381409831509E-5</v>
      </c>
      <c r="G1399">
        <v>-3.8697248038780893E-8</v>
      </c>
      <c r="H1399" t="b">
        <v>1</v>
      </c>
    </row>
    <row r="1400" spans="1:8" x14ac:dyDescent="0.15">
      <c r="A1400">
        <v>59</v>
      </c>
      <c r="B1400">
        <v>20</v>
      </c>
      <c r="C1400">
        <v>1083135.05859375</v>
      </c>
      <c r="D1400">
        <v>1281322.8924540593</v>
      </c>
      <c r="E1400">
        <v>2.4815172039823304E-5</v>
      </c>
      <c r="F1400">
        <v>2.4778381409831509E-5</v>
      </c>
      <c r="G1400">
        <v>3.6790629991795119E-8</v>
      </c>
      <c r="H1400" t="b">
        <v>0</v>
      </c>
    </row>
    <row r="1401" spans="1:8" x14ac:dyDescent="0.15">
      <c r="A1401">
        <v>59</v>
      </c>
      <c r="B1401">
        <v>21</v>
      </c>
      <c r="C1401">
        <v>1083045.05859375</v>
      </c>
      <c r="D1401">
        <v>-33923.120619817986</v>
      </c>
      <c r="E1401">
        <v>2.4777404371345321E-5</v>
      </c>
      <c r="F1401">
        <v>2.4778381409831509E-5</v>
      </c>
      <c r="G1401">
        <v>-9.7703848618801948E-10</v>
      </c>
      <c r="H1401" t="b">
        <v>1</v>
      </c>
    </row>
    <row r="1402" spans="1:8" x14ac:dyDescent="0.15">
      <c r="A1402">
        <v>59</v>
      </c>
      <c r="B1402">
        <v>22</v>
      </c>
      <c r="C1402">
        <v>1083090.05859375</v>
      </c>
      <c r="D1402">
        <v>622422.63318859052</v>
      </c>
      <c r="E1402">
        <v>2.4796280553333092E-5</v>
      </c>
      <c r="F1402">
        <v>2.4778381409831509E-5</v>
      </c>
      <c r="G1402">
        <v>1.7899143501583513E-8</v>
      </c>
      <c r="H1402" t="b">
        <v>0</v>
      </c>
    </row>
    <row r="1403" spans="1:8" x14ac:dyDescent="0.15">
      <c r="A1403">
        <v>59</v>
      </c>
      <c r="B1403">
        <v>23</v>
      </c>
      <c r="C1403">
        <v>1083144.05859375</v>
      </c>
      <c r="D1403">
        <v>1413400.2342969861</v>
      </c>
      <c r="E1403">
        <v>2.4818951899821348E-5</v>
      </c>
      <c r="F1403">
        <v>2.4778381409831509E-5</v>
      </c>
      <c r="G1403">
        <v>4.0570489989839392E-8</v>
      </c>
      <c r="H1403" t="b">
        <v>0</v>
      </c>
    </row>
    <row r="1404" spans="1:8" x14ac:dyDescent="0.15">
      <c r="A1404">
        <v>59</v>
      </c>
      <c r="B1404">
        <v>24</v>
      </c>
      <c r="C1404">
        <v>1083117.05859375</v>
      </c>
      <c r="D1404">
        <v>1017465.5753592148</v>
      </c>
      <c r="E1404">
        <v>2.4807613882718827E-5</v>
      </c>
      <c r="F1404">
        <v>2.4778381409831509E-5</v>
      </c>
      <c r="G1404">
        <v>2.9232472887317541E-8</v>
      </c>
      <c r="H1404" t="b">
        <v>0</v>
      </c>
    </row>
    <row r="1405" spans="1:8" x14ac:dyDescent="0.15">
      <c r="A1405">
        <v>59</v>
      </c>
      <c r="B1405">
        <v>25</v>
      </c>
      <c r="C1405">
        <v>1083130.55859375</v>
      </c>
      <c r="D1405">
        <v>1215321.3971416997</v>
      </c>
      <c r="E1405">
        <v>2.4813282305197622E-5</v>
      </c>
      <c r="F1405">
        <v>2.4778381409831509E-5</v>
      </c>
      <c r="G1405">
        <v>3.4900895366112884E-8</v>
      </c>
      <c r="H1405" t="b">
        <v>0</v>
      </c>
    </row>
    <row r="1406" spans="1:8" x14ac:dyDescent="0.15">
      <c r="A1406">
        <v>59</v>
      </c>
      <c r="B1406">
        <v>26</v>
      </c>
      <c r="C1406">
        <v>1083123.80859375</v>
      </c>
      <c r="D1406">
        <v>1116445.5888166113</v>
      </c>
      <c r="E1406">
        <v>2.4810450238651847E-5</v>
      </c>
      <c r="F1406">
        <v>2.4778381409831509E-5</v>
      </c>
      <c r="G1406">
        <v>3.2068828820337942E-8</v>
      </c>
      <c r="H1406" t="b">
        <v>0</v>
      </c>
    </row>
    <row r="1407" spans="1:8" x14ac:dyDescent="0.15">
      <c r="A1407">
        <v>59</v>
      </c>
      <c r="B1407">
        <v>27</v>
      </c>
      <c r="C1407">
        <v>1083115.7085937499</v>
      </c>
      <c r="D1407">
        <v>997772.17366436624</v>
      </c>
      <c r="E1407">
        <v>2.4807049395785156E-5</v>
      </c>
      <c r="F1407">
        <v>2.4778381409831509E-5</v>
      </c>
      <c r="G1407">
        <v>2.8667985953646921E-8</v>
      </c>
      <c r="H1407" t="b">
        <v>0</v>
      </c>
    </row>
    <row r="1408" spans="1:8" x14ac:dyDescent="0.15">
      <c r="A1408">
        <v>59</v>
      </c>
      <c r="B1408">
        <v>28</v>
      </c>
      <c r="C1408">
        <v>1083119.75859375</v>
      </c>
      <c r="D1408">
        <v>1057018.9026432026</v>
      </c>
      <c r="E1408">
        <v>2.4808747473453925E-5</v>
      </c>
      <c r="F1408">
        <v>2.4778381409831509E-5</v>
      </c>
      <c r="G1408">
        <v>3.0366063622415889E-8</v>
      </c>
      <c r="H1408" t="b">
        <v>0</v>
      </c>
    </row>
    <row r="1409" spans="1:8" x14ac:dyDescent="0.15">
      <c r="A1409">
        <v>59</v>
      </c>
      <c r="B1409">
        <v>29</v>
      </c>
      <c r="C1409">
        <v>1083124.6185937501</v>
      </c>
      <c r="D1409">
        <v>1128317.3449110764</v>
      </c>
      <c r="E1409">
        <v>2.4810790346145071E-5</v>
      </c>
      <c r="F1409">
        <v>2.4778381409831509E-5</v>
      </c>
      <c r="G1409">
        <v>3.2408936313562401E-8</v>
      </c>
      <c r="H1409" t="b">
        <v>0</v>
      </c>
    </row>
    <row r="1410" spans="1:8" x14ac:dyDescent="0.15">
      <c r="A1410">
        <v>59</v>
      </c>
      <c r="B1410">
        <v>30</v>
      </c>
      <c r="C1410">
        <v>1083122.1885937501</v>
      </c>
      <c r="D1410">
        <v>1092624.5218902389</v>
      </c>
      <c r="E1410">
        <v>2.4809767745195298E-5</v>
      </c>
      <c r="F1410">
        <v>2.4778381409831509E-5</v>
      </c>
      <c r="G1410">
        <v>3.1386335363789121E-8</v>
      </c>
      <c r="H1410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bousaikanri</cp:lastModifiedBy>
  <cp:lastPrinted>2025-10-30T02:56:27Z</cp:lastPrinted>
  <dcterms:created xsi:type="dcterms:W3CDTF">2025-01-15T00:20:19Z</dcterms:created>
  <dcterms:modified xsi:type="dcterms:W3CDTF">2026-06-16T07:47:18Z</dcterms:modified>
</cp:coreProperties>
</file>